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880" windowWidth="31580" windowHeight="21120" tabRatio="713" firstSheet="0" activeTab="0" autoFilterDateGrouping="1"/>
  </bookViews>
  <sheets>
    <sheet xmlns:r="http://schemas.openxmlformats.org/officeDocument/2006/relationships" name="Doc Info" sheetId="1" state="visible" r:id="rId1"/>
    <sheet xmlns:r="http://schemas.openxmlformats.org/officeDocument/2006/relationships" name="Review Log" sheetId="2" state="visible" r:id="rId2"/>
    <sheet xmlns:r="http://schemas.openxmlformats.org/officeDocument/2006/relationships" name="Test Step" sheetId="3" state="visible" r:id="rId3"/>
    <sheet xmlns:r="http://schemas.openxmlformats.org/officeDocument/2006/relationships" name="Review &amp; Rework Effort" sheetId="4" state="visible" r:id="rId4"/>
    <sheet xmlns:r="http://schemas.openxmlformats.org/officeDocument/2006/relationships" name="Pareto Analysis" sheetId="5" state="visible" r:id="rId5"/>
    <sheet xmlns:r="http://schemas.openxmlformats.org/officeDocument/2006/relationships" name="CAPA" sheetId="6" state="visible" r:id="rId6"/>
  </sheets>
  <definedNames>
    <definedName name="valuevx">42.314159</definedName>
    <definedName name="_xlnm._FilterDatabase" localSheetId="2" hidden="1">'Test Step'!$A$1:$M$1</definedName>
    <definedName name="_xlnm.Print_Titles" localSheetId="4">'Pareto Analysis'!$1:$2</definedName>
    <definedName name="_xlnm.Print_Area" localSheetId="4">'Pareto Analysis'!$A$1:$G$47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0.0"/>
    <numFmt numFmtId="166" formatCode="[$-409]d\-mmm;@"/>
    <numFmt numFmtId="167" formatCode="0.0%"/>
  </numFmts>
  <fonts count="27">
    <font>
      <name val="Calibri"/>
      <family val="2"/>
      <color theme="1"/>
      <sz val="11"/>
      <scheme val="minor"/>
    </font>
    <font>
      <name val="Arial"/>
      <charset val="134"/>
      <family val="2"/>
      <b val="1"/>
      <color indexed="8"/>
      <sz val="10"/>
    </font>
    <font>
      <name val="Arial"/>
      <charset val="134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sz val="10"/>
    </font>
    <font>
      <name val="Arial"/>
      <family val="2"/>
      <b val="1"/>
      <color indexed="53"/>
      <sz val="18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color indexed="9"/>
      <sz val="8"/>
    </font>
    <font>
      <name val="Arial"/>
      <family val="2"/>
      <b val="1"/>
      <color indexed="53"/>
      <sz val="12"/>
    </font>
    <font>
      <name val="Arial"/>
      <family val="2"/>
      <color indexed="9"/>
      <sz val="12"/>
    </font>
    <font>
      <name val="Arial"/>
      <family val="2"/>
      <b val="1"/>
      <color indexed="9"/>
      <sz val="12"/>
    </font>
    <font>
      <name val="Arial"/>
      <family val="2"/>
      <color indexed="23"/>
      <sz val="12"/>
    </font>
    <font>
      <name val="Arial"/>
      <family val="2"/>
      <color indexed="55"/>
      <sz val="10"/>
    </font>
    <font>
      <name val="Arial"/>
      <family val="2"/>
      <color indexed="23"/>
      <sz val="8"/>
    </font>
    <font>
      <name val="Arial"/>
      <family val="2"/>
      <b val="1"/>
      <sz val="14"/>
    </font>
    <font>
      <name val="Arial"/>
      <family val="2"/>
      <color theme="1"/>
      <sz val="10"/>
    </font>
    <font>
      <name val="Arial"/>
      <charset val="134"/>
      <family val="2"/>
      <b val="1"/>
      <color indexed="8"/>
      <sz val="12"/>
    </font>
    <font>
      <name val="Arial"/>
      <family val="2"/>
      <b val="1"/>
      <color indexed="8"/>
      <sz val="20"/>
    </font>
    <font>
      <name val="Calibri"/>
      <family val="2"/>
      <sz val="8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9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FF002060"/>
        <bgColor rgb="FF000000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2" fillId="0" borderId="0" applyAlignment="1">
      <alignment vertical="center"/>
    </xf>
    <xf numFmtId="0" fontId="7" fillId="0" borderId="0"/>
    <xf numFmtId="0" fontId="10" fillId="0" borderId="0" applyAlignment="1" applyProtection="1">
      <alignment vertical="top"/>
      <protection locked="0" hidden="0"/>
    </xf>
    <xf numFmtId="9" fontId="7" fillId="0" borderId="0"/>
    <xf numFmtId="0" fontId="9" fillId="0" borderId="26"/>
    <xf numFmtId="0" fontId="7" fillId="0" borderId="0" applyAlignment="1">
      <alignment vertical="center"/>
    </xf>
    <xf numFmtId="0" fontId="7" fillId="0" borderId="0"/>
  </cellStyleXfs>
  <cellXfs count="186">
    <xf numFmtId="0" fontId="0" fillId="0" borderId="0" pivotButton="0" quotePrefix="0" xfId="0"/>
    <xf numFmtId="0" fontId="2" fillId="0" borderId="3" applyAlignment="1" applyProtection="1" pivotButton="0" quotePrefix="0" xfId="1">
      <alignment horizontal="center" vertical="center"/>
      <protection locked="0" hidden="0"/>
    </xf>
    <xf numFmtId="15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/>
      <protection locked="0" hidden="0"/>
    </xf>
    <xf numFmtId="0" fontId="2" fillId="0" borderId="3" applyAlignment="1" applyProtection="1" pivotButton="0" quotePrefix="0" xfId="1">
      <alignment horizontal="left" vertical="top" wrapText="1"/>
      <protection locked="0" hidden="0"/>
    </xf>
    <xf numFmtId="0" fontId="2" fillId="0" borderId="4" applyAlignment="1" applyProtection="1" pivotButton="0" quotePrefix="0" xfId="1">
      <alignment horizontal="center" vertical="center"/>
      <protection locked="0" hidden="0"/>
    </xf>
    <xf numFmtId="0" fontId="2" fillId="0" borderId="4" applyAlignment="1" applyProtection="1" pivotButton="0" quotePrefix="0" xfId="1">
      <alignment horizontal="left" vertical="top"/>
      <protection locked="0" hidden="0"/>
    </xf>
    <xf numFmtId="0" fontId="2" fillId="0" borderId="4" applyAlignment="1" applyProtection="1" pivotButton="0" quotePrefix="0" xfId="1">
      <alignment horizontal="left" vertical="top" wrapText="1"/>
      <protection locked="0" hidden="0"/>
    </xf>
    <xf numFmtId="0" fontId="2" fillId="0" borderId="5" applyAlignment="1" applyProtection="1" pivotButton="0" quotePrefix="0" xfId="1">
      <alignment horizontal="center" vertical="center"/>
      <protection locked="0" hidden="0"/>
    </xf>
    <xf numFmtId="0" fontId="2" fillId="0" borderId="5" applyAlignment="1" applyProtection="1" pivotButton="0" quotePrefix="0" xfId="1">
      <alignment horizontal="left" vertical="top"/>
      <protection locked="0" hidden="0"/>
    </xf>
    <xf numFmtId="0" fontId="2" fillId="0" borderId="5" applyAlignment="1" applyProtection="1" pivotButton="0" quotePrefix="0" xfId="1">
      <alignment horizontal="left" vertical="top" wrapText="1"/>
      <protection locked="0" hidden="0"/>
    </xf>
    <xf numFmtId="0" fontId="2" fillId="0" borderId="14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left" vertical="top"/>
      <protection locked="0" hidden="0"/>
    </xf>
    <xf numFmtId="0" fontId="2" fillId="0" borderId="16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 wrapText="1"/>
      <protection locked="0" hidden="0"/>
    </xf>
    <xf numFmtId="0" fontId="2" fillId="0" borderId="17" applyAlignment="1" applyProtection="1" pivotButton="0" quotePrefix="0" xfId="1">
      <alignment horizontal="left" vertical="top"/>
      <protection locked="0" hidden="0"/>
    </xf>
    <xf numFmtId="0" fontId="2" fillId="0" borderId="18" applyAlignment="1" applyProtection="1" pivotButton="0" quotePrefix="0" xfId="1">
      <alignment horizontal="left" vertical="top"/>
      <protection locked="0" hidden="0"/>
    </xf>
    <xf numFmtId="0" fontId="2" fillId="0" borderId="20" applyAlignment="1" applyProtection="1" pivotButton="0" quotePrefix="0" xfId="1">
      <alignment horizontal="center" vertical="center"/>
      <protection locked="0" hidden="0"/>
    </xf>
    <xf numFmtId="15" fontId="2" fillId="0" borderId="20" applyAlignment="1" applyProtection="1" pivotButton="0" quotePrefix="0" xfId="1">
      <alignment horizontal="left" vertical="top"/>
      <protection locked="0" hidden="0"/>
    </xf>
    <xf numFmtId="0" fontId="2" fillId="0" borderId="21" applyAlignment="1" applyProtection="1" pivotButton="0" quotePrefix="0" xfId="1">
      <alignment horizontal="left" vertical="top"/>
      <protection locked="0" hidden="0"/>
    </xf>
    <xf numFmtId="0" fontId="6" fillId="2" borderId="0" applyAlignment="1" pivotButton="0" quotePrefix="0" xfId="2">
      <alignment horizontal="left"/>
    </xf>
    <xf numFmtId="0" fontId="5" fillId="2" borderId="0" pivotButton="0" quotePrefix="0" xfId="2"/>
    <xf numFmtId="0" fontId="7" fillId="0" borderId="0" pivotButton="0" quotePrefix="0" xfId="2"/>
    <xf numFmtId="0" fontId="8" fillId="0" borderId="0" applyAlignment="1" pivotButton="0" quotePrefix="0" xfId="2">
      <alignment horizontal="left"/>
    </xf>
    <xf numFmtId="0" fontId="8" fillId="0" borderId="0" applyProtection="1" pivotButton="0" quotePrefix="0" xfId="2">
      <protection locked="0" hidden="0"/>
    </xf>
    <xf numFmtId="0" fontId="9" fillId="0" borderId="0" applyAlignment="1" pivotButton="0" quotePrefix="0" xfId="2">
      <alignment horizontal="right"/>
    </xf>
    <xf numFmtId="0" fontId="10" fillId="0" borderId="0" pivotButton="0" quotePrefix="0" xfId="3"/>
    <xf numFmtId="0" fontId="11" fillId="0" borderId="0" pivotButton="0" quotePrefix="0" xfId="2"/>
    <xf numFmtId="0" fontId="12" fillId="0" borderId="0" applyAlignment="1" pivotButton="0" quotePrefix="0" xfId="2">
      <alignment horizontal="center"/>
    </xf>
    <xf numFmtId="0" fontId="13" fillId="4" borderId="23" applyAlignment="1" pivotButton="0" quotePrefix="0" xfId="2">
      <alignment horizontal="center"/>
    </xf>
    <xf numFmtId="0" fontId="14" fillId="4" borderId="23" applyProtection="1" pivotButton="0" quotePrefix="0" xfId="2">
      <protection locked="0" hidden="0"/>
    </xf>
    <xf numFmtId="0" fontId="14" fillId="4" borderId="23" applyAlignment="1" applyProtection="1" pivotButton="0" quotePrefix="0" xfId="2">
      <alignment horizontal="center"/>
      <protection locked="0" hidden="0"/>
    </xf>
    <xf numFmtId="0" fontId="15" fillId="0" borderId="0" applyAlignment="1" pivotButton="0" quotePrefix="0" xfId="2">
      <alignment horizontal="center"/>
    </xf>
    <xf numFmtId="0" fontId="16" fillId="0" borderId="24" applyAlignment="1" pivotButton="0" quotePrefix="0" xfId="4">
      <alignment horizontal="center"/>
    </xf>
    <xf numFmtId="0" fontId="16" fillId="0" borderId="0" applyAlignment="1" pivotButton="0" quotePrefix="0" xfId="4">
      <alignment horizontal="center"/>
    </xf>
    <xf numFmtId="9" fontId="16" fillId="0" borderId="25" applyAlignment="1" pivotButton="0" quotePrefix="0" xfId="2">
      <alignment horizontal="center"/>
    </xf>
    <xf numFmtId="0" fontId="17" fillId="2" borderId="0" pivotButton="0" quotePrefix="0" xfId="2"/>
    <xf numFmtId="0" fontId="0" fillId="0" borderId="20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6" borderId="0" pivotButton="0" quotePrefix="0" xfId="0"/>
    <xf numFmtId="0" fontId="5" fillId="0" borderId="3" applyAlignment="1" pivotButton="0" quotePrefix="0" xfId="0">
      <alignment horizontal="left" vertical="top" wrapText="1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7" borderId="15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0" fontId="1" fillId="7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 wrapText="1"/>
    </xf>
    <xf numFmtId="1" fontId="5" fillId="0" borderId="3" applyAlignment="1" pivotButton="0" quotePrefix="0" xfId="0">
      <alignment horizontal="center" vertical="center" wrapText="1"/>
    </xf>
    <xf numFmtId="1" fontId="5" fillId="0" borderId="3" applyAlignment="1" pivotButton="0" quotePrefix="0" xfId="7">
      <alignment horizontal="center" vertical="center" wrapText="1"/>
    </xf>
    <xf numFmtId="1" fontId="5" fillId="0" borderId="3" applyAlignment="1" pivotButton="0" quotePrefix="0" xfId="0">
      <alignment horizontal="center" vertical="center"/>
    </xf>
    <xf numFmtId="1" fontId="5" fillId="0" borderId="3" applyAlignment="1" pivotButton="0" quotePrefix="0" xfId="7">
      <alignment horizontal="center" vertical="center"/>
    </xf>
    <xf numFmtId="1" fontId="2" fillId="0" borderId="19" applyAlignment="1" applyProtection="1" pivotButton="0" quotePrefix="0" xfId="1">
      <alignment horizontal="center" vertical="center" wrapText="1"/>
      <protection locked="0" hidden="0"/>
    </xf>
    <xf numFmtId="1" fontId="2" fillId="0" borderId="13" applyAlignment="1" applyProtection="1" pivotButton="0" quotePrefix="0" xfId="1">
      <alignment horizontal="center" vertical="center" wrapText="1"/>
      <protection locked="0" hidden="0"/>
    </xf>
    <xf numFmtId="1" fontId="2" fillId="0" borderId="1" applyAlignment="1" applyProtection="1" pivotButton="0" quotePrefix="0" xfId="1">
      <alignment horizontal="center" vertical="center" wrapText="1"/>
      <protection locked="0" hidden="0"/>
    </xf>
    <xf numFmtId="1" fontId="2" fillId="0" borderId="15" applyAlignment="1" applyProtection="1" pivotButton="0" quotePrefix="0" xfId="1">
      <alignment horizontal="center" vertical="center" wrapText="1"/>
      <protection locked="0" hidden="0"/>
    </xf>
    <xf numFmtId="1" fontId="2" fillId="0" borderId="3" applyAlignment="1" applyProtection="1" pivotButton="0" quotePrefix="0" xfId="1">
      <alignment horizontal="left" vertical="top" wrapText="1"/>
      <protection locked="0" hidden="0"/>
    </xf>
    <xf numFmtId="1" fontId="2" fillId="0" borderId="3" applyAlignment="1" applyProtection="1" pivotButton="0" quotePrefix="0" xfId="1">
      <alignment horizontal="left" vertical="top"/>
      <protection locked="0" hidden="0"/>
    </xf>
    <xf numFmtId="1" fontId="0" fillId="0" borderId="19" applyAlignment="1" pivotButton="0" quotePrefix="0" xfId="0">
      <alignment horizontal="left" vertical="top" wrapText="1"/>
    </xf>
    <xf numFmtId="1" fontId="0" fillId="0" borderId="13" applyAlignment="1" pivotButton="0" quotePrefix="0" xfId="0">
      <alignment horizontal="left" vertical="top" wrapText="1"/>
    </xf>
    <xf numFmtId="1" fontId="0" fillId="0" borderId="15" applyAlignment="1" pivotButton="0" quotePrefix="0" xfId="0">
      <alignment horizontal="left" vertical="top" wrapText="1"/>
    </xf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4" applyAlignment="1" applyProtection="1" pivotButton="0" quotePrefix="0" xfId="1">
      <alignment horizontal="left" vertical="top"/>
      <protection locked="0" hidden="0"/>
    </xf>
    <xf numFmtId="1" fontId="2" fillId="0" borderId="5" applyAlignment="1" applyProtection="1" pivotButton="0" quotePrefix="0" xfId="1">
      <alignment horizontal="left" vertical="top"/>
      <protection locked="0" hidden="0"/>
    </xf>
    <xf numFmtId="1" fontId="2" fillId="0" borderId="16" applyAlignment="1" applyProtection="1" pivotButton="0" quotePrefix="0" xfId="1">
      <alignment horizontal="left" vertical="top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165" fontId="2" fillId="0" borderId="3" applyAlignment="1" applyProtection="1" pivotButton="0" quotePrefix="0" xfId="1">
      <alignment horizontal="center" vertical="center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  <xf numFmtId="1" fontId="2" fillId="0" borderId="20" applyAlignment="1" applyProtection="1" pivotButton="0" quotePrefix="0" xfId="1">
      <alignment horizontal="center" vertical="top"/>
      <protection locked="0" hidden="0"/>
    </xf>
    <xf numFmtId="1" fontId="2" fillId="0" borderId="20" applyAlignment="1" applyProtection="1" pivotButton="0" quotePrefix="0" xfId="1">
      <alignment horizontal="center" vertical="top" wrapText="1"/>
      <protection locked="0" hidden="0"/>
    </xf>
    <xf numFmtId="0" fontId="5" fillId="0" borderId="0" pivotButton="0" quotePrefix="0" xfId="2"/>
    <xf numFmtId="0" fontId="5" fillId="0" borderId="0" applyAlignment="1" pivotButton="0" quotePrefix="0" xfId="2">
      <alignment horizontal="left"/>
    </xf>
    <xf numFmtId="0" fontId="5" fillId="0" borderId="0" applyProtection="1" pivotButton="0" quotePrefix="0" xfId="2">
      <protection locked="0" hidden="0"/>
    </xf>
    <xf numFmtId="0" fontId="5" fillId="0" borderId="0" applyAlignment="1" applyProtection="1" pivotButton="0" quotePrefix="0" xfId="2">
      <alignment horizontal="left"/>
      <protection locked="0" hidden="0"/>
    </xf>
    <xf numFmtId="0" fontId="5" fillId="0" borderId="0" applyAlignment="1" pivotButton="0" quotePrefix="0" xfId="2">
      <alignment horizontal="right"/>
    </xf>
    <xf numFmtId="9" fontId="5" fillId="3" borderId="0" applyAlignment="1" applyProtection="1" pivotButton="0" quotePrefix="0" xfId="2">
      <alignment horizontal="center"/>
      <protection locked="0" hidden="0"/>
    </xf>
    <xf numFmtId="0" fontId="5" fillId="0" borderId="0" applyAlignment="1" pivotButton="0" quotePrefix="0" xfId="2">
      <alignment horizontal="center"/>
    </xf>
    <xf numFmtId="0" fontId="5" fillId="3" borderId="0" applyProtection="1" pivotButton="0" quotePrefix="0" xfId="2">
      <protection locked="0" hidden="0"/>
    </xf>
    <xf numFmtId="0" fontId="5" fillId="3" borderId="0" applyAlignment="1" applyProtection="1" pivotButton="0" quotePrefix="0" xfId="2">
      <alignment horizontal="center"/>
      <protection locked="0" hidden="0"/>
    </xf>
    <xf numFmtId="167" fontId="5" fillId="0" borderId="0" applyAlignment="1" pivotButton="0" quotePrefix="0" xfId="4">
      <alignment horizontal="center"/>
    </xf>
    <xf numFmtId="0" fontId="5" fillId="0" borderId="3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/>
    </xf>
    <xf numFmtId="0" fontId="24" fillId="0" borderId="0" pivotButton="0" quotePrefix="0" xfId="0"/>
    <xf numFmtId="0" fontId="0" fillId="0" borderId="32" applyAlignment="1" pivotButton="0" quotePrefix="0" xfId="0">
      <alignment horizontal="left"/>
    </xf>
    <xf numFmtId="0" fontId="0" fillId="0" borderId="36" pivotButton="0" quotePrefix="0" xfId="0"/>
    <xf numFmtId="0" fontId="19" fillId="6" borderId="34" applyAlignment="1" pivotButton="0" quotePrefix="0" xfId="0">
      <alignment horizontal="right"/>
    </xf>
    <xf numFmtId="0" fontId="9" fillId="6" borderId="33" pivotButton="0" quotePrefix="0" xfId="2"/>
    <xf numFmtId="0" fontId="0" fillId="6" borderId="35" pivotButton="0" quotePrefix="0" xfId="0"/>
    <xf numFmtId="0" fontId="0" fillId="0" borderId="37" pivotButton="0" quotePrefix="0" xfId="0"/>
    <xf numFmtId="0" fontId="0" fillId="0" borderId="0" applyAlignment="1" pivotButton="0" quotePrefix="0" xfId="0">
      <alignment wrapText="1"/>
    </xf>
    <xf numFmtId="0" fontId="23" fillId="8" borderId="32" applyAlignment="1" pivotButton="0" quotePrefix="0" xfId="0">
      <alignment horizontal="center" vertical="center" wrapText="1"/>
    </xf>
    <xf numFmtId="1" fontId="23" fillId="8" borderId="32" applyAlignment="1" pivotButton="0" quotePrefix="0" xfId="0">
      <alignment horizontal="left" vertical="center" wrapText="1"/>
    </xf>
    <xf numFmtId="0" fontId="23" fillId="8" borderId="32" applyAlignment="1" pivotButton="0" quotePrefix="0" xfId="0">
      <alignment horizontal="left" vertical="center" wrapText="1"/>
    </xf>
    <xf numFmtId="0" fontId="1" fillId="7" borderId="6" applyAlignment="1" pivotButton="0" quotePrefix="0" xfId="0">
      <alignment horizontal="center" vertical="center" wrapText="1"/>
    </xf>
    <xf numFmtId="1" fontId="2" fillId="0" borderId="39" applyAlignment="1" applyProtection="1" pivotButton="0" quotePrefix="0" xfId="1">
      <alignment horizontal="center" vertical="center" wrapText="1"/>
      <protection locked="0" hidden="0"/>
    </xf>
    <xf numFmtId="0" fontId="2" fillId="0" borderId="40" applyAlignment="1" applyProtection="1" pivotButton="0" quotePrefix="0" xfId="1">
      <alignment horizontal="center" vertical="center"/>
      <protection locked="0" hidden="0"/>
    </xf>
    <xf numFmtId="0" fontId="2" fillId="0" borderId="40" applyAlignment="1" applyProtection="1" pivotButton="0" quotePrefix="0" xfId="1">
      <alignment horizontal="left" vertical="top"/>
      <protection locked="0" hidden="0"/>
    </xf>
    <xf numFmtId="1" fontId="2" fillId="0" borderId="41" applyAlignment="1" applyProtection="1" pivotButton="0" quotePrefix="0" xfId="1">
      <alignment horizontal="left" vertical="top" wrapText="1"/>
      <protection locked="0" hidden="0"/>
    </xf>
    <xf numFmtId="1" fontId="2" fillId="0" borderId="41" applyAlignment="1" applyProtection="1" pivotButton="0" quotePrefix="0" xfId="1">
      <alignment horizontal="left" vertical="top"/>
      <protection locked="0" hidden="0"/>
    </xf>
    <xf numFmtId="0" fontId="2" fillId="0" borderId="42" applyAlignment="1" applyProtection="1" pivotButton="0" quotePrefix="0" xfId="1">
      <alignment horizontal="left" vertical="top"/>
      <protection locked="0" hidden="0"/>
    </xf>
    <xf numFmtId="1" fontId="2" fillId="0" borderId="43" applyAlignment="1" applyProtection="1" pivotButton="0" quotePrefix="0" xfId="1">
      <alignment horizontal="center" vertical="center" wrapText="1"/>
      <protection locked="0" hidden="0"/>
    </xf>
    <xf numFmtId="0" fontId="2" fillId="0" borderId="44" applyAlignment="1" applyProtection="1" pivotButton="0" quotePrefix="0" xfId="1">
      <alignment horizontal="center" vertical="center"/>
      <protection locked="0" hidden="0"/>
    </xf>
    <xf numFmtId="0" fontId="2" fillId="0" borderId="44" applyAlignment="1" applyProtection="1" pivotButton="0" quotePrefix="0" xfId="1">
      <alignment horizontal="left" vertical="top"/>
      <protection locked="0" hidden="0"/>
    </xf>
    <xf numFmtId="1" fontId="2" fillId="0" borderId="45" applyAlignment="1" applyProtection="1" pivotButton="0" quotePrefix="0" xfId="1">
      <alignment horizontal="left" vertical="top" wrapText="1"/>
      <protection locked="0" hidden="0"/>
    </xf>
    <xf numFmtId="1" fontId="2" fillId="0" borderId="45" applyAlignment="1" applyProtection="1" pivotButton="0" quotePrefix="0" xfId="1">
      <alignment horizontal="left" vertical="top"/>
      <protection locked="0" hidden="0"/>
    </xf>
    <xf numFmtId="0" fontId="2" fillId="0" borderId="46" applyAlignment="1" applyProtection="1" pivotButton="0" quotePrefix="0" xfId="1">
      <alignment horizontal="left" vertical="top"/>
      <protection locked="0" hidden="0"/>
    </xf>
    <xf numFmtId="0" fontId="9" fillId="5" borderId="7" applyAlignment="1" pivotButton="0" quotePrefix="0" xfId="0">
      <alignment horizontal="left" vertical="top" wrapText="1"/>
    </xf>
    <xf numFmtId="0" fontId="9" fillId="5" borderId="6" applyAlignment="1" pivotButton="0" quotePrefix="0" xfId="0">
      <alignment horizontal="left" vertical="top" wrapText="1"/>
    </xf>
    <xf numFmtId="0" fontId="1" fillId="7" borderId="7" applyAlignment="1" pivotButton="0" quotePrefix="0" xfId="0">
      <alignment horizontal="center" vertical="center" wrapText="1"/>
    </xf>
    <xf numFmtId="0" fontId="21" fillId="5" borderId="7" applyAlignment="1" pivotButton="0" quotePrefix="0" xfId="0">
      <alignment horizontal="center"/>
    </xf>
    <xf numFmtId="0" fontId="21" fillId="5" borderId="8" applyAlignment="1" pivotButton="0" quotePrefix="0" xfId="0">
      <alignment horizontal="center"/>
    </xf>
    <xf numFmtId="0" fontId="21" fillId="5" borderId="9" applyAlignment="1" pivotButton="0" quotePrefix="0" xfId="0">
      <alignment horizontal="center"/>
    </xf>
    <xf numFmtId="0" fontId="1" fillId="7" borderId="6" applyAlignment="1" pivotButton="0" quotePrefix="0" xfId="0">
      <alignment horizontal="center" vertical="center" wrapText="1"/>
    </xf>
    <xf numFmtId="0" fontId="18" fillId="5" borderId="2" pivotButton="0" quotePrefix="0" xfId="2"/>
    <xf numFmtId="0" fontId="0" fillId="5" borderId="27" pivotButton="0" quotePrefix="0" xfId="0"/>
    <xf numFmtId="0" fontId="0" fillId="5" borderId="23" pivotButton="0" quotePrefix="0" xfId="0"/>
    <xf numFmtId="0" fontId="0" fillId="5" borderId="31" pivotButton="0" quotePrefix="0" xfId="0"/>
    <xf numFmtId="0" fontId="18" fillId="5" borderId="2" applyAlignment="1" pivotButton="0" quotePrefix="0" xfId="5">
      <alignment horizontal="left" vertical="center"/>
    </xf>
    <xf numFmtId="0" fontId="18" fillId="5" borderId="27" applyAlignment="1" pivotButton="0" quotePrefix="0" xfId="5">
      <alignment horizontal="left" vertical="center"/>
    </xf>
    <xf numFmtId="0" fontId="18" fillId="5" borderId="28" applyAlignment="1" pivotButton="0" quotePrefix="0" xfId="5">
      <alignment horizontal="left" vertical="center"/>
    </xf>
    <xf numFmtId="0" fontId="5" fillId="6" borderId="29" applyAlignment="1" pivotButton="0" quotePrefix="0" xfId="6">
      <alignment horizontal="center"/>
    </xf>
    <xf numFmtId="0" fontId="5" fillId="6" borderId="30" applyAlignment="1" pivotButton="0" quotePrefix="0" xfId="6">
      <alignment horizontal="center"/>
    </xf>
    <xf numFmtId="0" fontId="9" fillId="5" borderId="2" applyAlignment="1" pivotButton="0" quotePrefix="0" xfId="2">
      <alignment horizontal="left" vertical="center"/>
    </xf>
    <xf numFmtId="0" fontId="9" fillId="5" borderId="27" applyAlignment="1" pivotButton="0" quotePrefix="0" xfId="2">
      <alignment horizontal="left" vertical="center"/>
    </xf>
    <xf numFmtId="0" fontId="5" fillId="6" borderId="35" applyAlignment="1" pivotButton="0" quotePrefix="0" xfId="2">
      <alignment horizontal="left" vertical="top"/>
    </xf>
    <xf numFmtId="0" fontId="5" fillId="6" borderId="38" applyAlignment="1" pivotButton="0" quotePrefix="0" xfId="2">
      <alignment horizontal="left" vertical="top"/>
    </xf>
    <xf numFmtId="0" fontId="20" fillId="7" borderId="10" applyAlignment="1" pivotButton="0" quotePrefix="0" xfId="0">
      <alignment horizontal="center" vertical="center" wrapText="1"/>
    </xf>
    <xf numFmtId="0" fontId="20" fillId="7" borderId="11" applyAlignment="1" pivotButton="0" quotePrefix="0" xfId="0">
      <alignment horizontal="center" vertical="center" wrapText="1"/>
    </xf>
    <xf numFmtId="0" fontId="20" fillId="7" borderId="12" applyAlignment="1" pivotButton="0" quotePrefix="0" xfId="0">
      <alignment horizontal="center" vertical="center" wrapText="1"/>
    </xf>
    <xf numFmtId="0" fontId="18" fillId="5" borderId="7" applyAlignment="1" pivotButton="0" quotePrefix="0" xfId="0">
      <alignment horizontal="center" vertical="center"/>
    </xf>
    <xf numFmtId="0" fontId="18" fillId="5" borderId="8" applyAlignment="1" pivotButton="0" quotePrefix="0" xfId="0">
      <alignment horizontal="center" vertical="center"/>
    </xf>
    <xf numFmtId="0" fontId="18" fillId="5" borderId="9" applyAlignment="1" pivotButton="0" quotePrefix="0" xfId="0">
      <alignment horizontal="center" vertical="center"/>
    </xf>
    <xf numFmtId="0" fontId="18" fillId="5" borderId="3" applyAlignment="1" pivotButton="0" quotePrefix="0" xfId="5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49" pivotButton="0" quotePrefix="0" xfId="0"/>
    <xf numFmtId="0" fontId="0" fillId="0" borderId="50" pivotButton="0" quotePrefix="0" xfId="0"/>
    <xf numFmtId="0" fontId="18" fillId="5" borderId="3" pivotButton="0" quotePrefix="0" xfId="2"/>
    <xf numFmtId="164" fontId="5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7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0" fontId="21" fillId="5" borderId="6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165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3" applyAlignment="1" applyProtection="1" pivotButton="0" quotePrefix="0" xfId="1">
      <alignment horizontal="center" vertical="center"/>
      <protection locked="0" hidden="0"/>
    </xf>
    <xf numFmtId="164" fontId="2" fillId="0" borderId="2" applyAlignment="1" applyProtection="1" pivotButton="0" quotePrefix="0" xfId="1">
      <alignment horizontal="left" vertical="top"/>
      <protection locked="0" hidden="0"/>
    </xf>
    <xf numFmtId="165" fontId="2" fillId="0" borderId="4" applyAlignment="1" applyProtection="1" pivotButton="0" quotePrefix="0" xfId="1">
      <alignment horizontal="center" vertical="center"/>
      <protection locked="0" hidden="0"/>
    </xf>
    <xf numFmtId="164" fontId="2" fillId="0" borderId="4" applyAlignment="1" applyProtection="1" pivotButton="0" quotePrefix="0" xfId="1">
      <alignment horizontal="center" vertical="center"/>
      <protection locked="0" hidden="0"/>
    </xf>
    <xf numFmtId="165" fontId="2" fillId="0" borderId="5" applyAlignment="1" applyProtection="1" pivotButton="0" quotePrefix="0" xfId="1">
      <alignment horizontal="center" vertical="center"/>
      <protection locked="0" hidden="0"/>
    </xf>
    <xf numFmtId="164" fontId="2" fillId="0" borderId="5" applyAlignment="1" applyProtection="1" pivotButton="0" quotePrefix="0" xfId="1">
      <alignment horizontal="center" vertical="center"/>
      <protection locked="0" hidden="0"/>
    </xf>
    <xf numFmtId="165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16" applyAlignment="1" applyProtection="1" pivotButton="0" quotePrefix="0" xfId="1">
      <alignment horizontal="center" vertical="center"/>
      <protection locked="0" hidden="0"/>
    </xf>
    <xf numFmtId="164" fontId="2" fillId="0" borderId="22" applyAlignment="1" applyProtection="1" pivotButton="0" quotePrefix="0" xfId="1">
      <alignment horizontal="left" vertical="top"/>
      <protection locked="0" hidden="0"/>
    </xf>
    <xf numFmtId="0" fontId="0" fillId="0" borderId="0" applyAlignment="1" pivotButton="0" quotePrefix="0" xfId="0">
      <alignment vertical="top" wrapText="1"/>
    </xf>
    <xf numFmtId="167" fontId="5" fillId="0" borderId="0" applyAlignment="1" pivotButton="0" quotePrefix="0" xfId="4">
      <alignment horizontal="center"/>
    </xf>
    <xf numFmtId="0" fontId="18" fillId="5" borderId="6" applyAlignment="1" pivotButton="0" quotePrefix="0" xfId="0">
      <alignment horizontal="center" vertical="center"/>
    </xf>
    <xf numFmtId="166" fontId="0" fillId="0" borderId="20" applyAlignment="1" pivotButton="0" quotePrefix="0" xfId="0">
      <alignment horizontal="left" vertical="top" wrapText="1"/>
    </xf>
    <xf numFmtId="166" fontId="0" fillId="0" borderId="21" applyAlignment="1" pivotButton="0" quotePrefix="0" xfId="0">
      <alignment horizontal="left" vertical="top" wrapText="1"/>
    </xf>
    <xf numFmtId="166" fontId="0" fillId="0" borderId="3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166" fontId="0" fillId="0" borderId="17" applyAlignment="1" pivotButton="0" quotePrefix="0" xfId="0">
      <alignment horizontal="left" vertical="top" wrapText="1"/>
    </xf>
    <xf numFmtId="166" fontId="0" fillId="0" borderId="18" applyAlignment="1" pivotButton="0" quotePrefix="0" xfId="0">
      <alignment horizontal="left" vertical="top" wrapText="1"/>
    </xf>
  </cellXfs>
  <cellStyles count="8">
    <cellStyle name="Normal" xfId="0" builtinId="0"/>
    <cellStyle name="Normal 2 2" xfId="1"/>
    <cellStyle name="Normal 2" xfId="2"/>
    <cellStyle name="Hyperlink" xfId="3" builtinId="8"/>
    <cellStyle name="Percent 2" xfId="4"/>
    <cellStyle name="Header 1" xfId="5"/>
    <cellStyle name="Normal_Doc. Info 2" xfId="6"/>
    <cellStyle name="Comma_UM HPC Pricing Summary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MY"/>
              <a:t>[Chart Title]</a:t>
            </a:r>
          </a:p>
        </rich>
      </tx>
      <layout>
        <manualLayout>
          <xMode val="edge"/>
          <yMode val="edge"/>
          <wMode val="factor"/>
          <hMode val="factor"/>
          <x val="0.3971298563756085"/>
          <y val="0.0135501355013550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12453605421409"/>
          <y val="0.1029813023514311"/>
          <w val="0.8070188008043024"/>
          <h val="0.7452594249116725"/>
        </manualLayout>
      </layout>
      <barChart>
        <barDir val="col"/>
        <grouping val="clustered"/>
        <varyColors val="0"/>
        <ser>
          <idx val="0"/>
          <order val="0"/>
          <tx>
            <strRef>
              <f>'Pareto Analysis'!$I$32</f>
              <strCache>
                <ptCount val="1"/>
                <pt idx="0">
                  <v>Vital Few</v>
                </pt>
              </strCache>
            </strRef>
          </tx>
          <spPr>
            <a:solidFill xmlns:a="http://schemas.openxmlformats.org/drawingml/2006/main">
              <a:srgbClr val="8394C9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Analysis'!$I$33:$I$48</f>
              <numCache>
                <formatCode>General</formatCode>
                <ptCount val="16"/>
                <pt idx="0">
                  <v>50</v>
                </pt>
                <pt idx="1">
                  <v>30</v>
                </pt>
                <pt idx="2">
                  <v>15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1"/>
          <order val="1"/>
          <tx>
            <strRef>
              <f>'Pareto Analysis'!$J$32</f>
              <strCache>
                <ptCount val="1"/>
                <pt idx="0">
                  <v>Useful Many</v>
                </pt>
              </strCache>
            </strRef>
          </tx>
          <spPr>
            <a:solidFill xmlns:a="http://schemas.openxmlformats.org/drawingml/2006/main">
              <a:srgbClr val="BCC5E1"/>
            </a:solidFill>
            <a:ln xmlns:a="http://schemas.openxmlformats.org/drawingml/2006/main" w="25400">
              <a:noFill/>
              <a:prstDash val="solid"/>
            </a:ln>
          </spPr>
          <invertIfNegative val="0"/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Analysis'!$J$33:$J$48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5</v>
                </pt>
                <pt idx="4">
                  <v>3</v>
                </pt>
                <pt idx="5">
                  <v>2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2"/>
          <order val="2"/>
          <tx>
            <v>Labels</v>
          </tx>
          <spPr>
            <a:solidFill xmlns:a="http://schemas.openxmlformats.org/drawingml/2006/main">
              <a:srgbClr val="660066"/>
            </a:solidFill>
            <a:ln xmlns:a="http://schemas.openxmlformats.org/drawingml/2006/main" w="1270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rot="-5400000" vert="horz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 algn="ctr"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cat>
            <strRef>
              <f>'Pareto Analysis'!$C$33:$C$48</f>
              <strCache>
                <ptCount val="9"/>
                <pt idx="0">
                  <v>Glue</v>
                </pt>
                <pt idx="1">
                  <v>Binding</v>
                </pt>
                <pt idx="2">
                  <v>Button</v>
                </pt>
                <pt idx="3">
                  <v>Pressure Applied</v>
                </pt>
                <pt idx="4">
                  <v>Cause # 5</v>
                </pt>
                <pt idx="5">
                  <v>Cause # 6</v>
                </pt>
                <pt idx="6">
                  <v>Cause # 7</v>
                </pt>
                <pt idx="7">
                  <v>Cause # 8</v>
                </pt>
                <pt idx="8">
                  <v>Cause # 9</v>
                </pt>
              </strCache>
            </strRef>
          </cat>
          <val>
            <numRef>
              <f>'Pareto Analysis'!$C$33:$C$48</f>
              <numCache>
                <formatCode>General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"/>
        <overlap val="100"/>
        <axId val="1200295535"/>
        <axId val="1"/>
      </barChart>
      <lineChart>
        <grouping val="standard"/>
        <varyColors val="0"/>
        <ser>
          <idx val="3"/>
          <order val="3"/>
          <tx>
            <strRef>
              <f>'Pareto Analysis'!$E$32</f>
              <strCache>
                <ptCount val="1"/>
                <pt idx="0">
                  <v>Cumulative%</v>
                </pt>
              </strCache>
            </strRef>
          </tx>
          <spPr>
            <a:ln xmlns:a="http://schemas.openxmlformats.org/drawingml/2006/main" w="25400">
              <a:solidFill>
                <a:srgbClr val="6B0C00"/>
              </a:solidFill>
              <a:prstDash val="solid"/>
            </a:ln>
          </spPr>
          <marker>
            <symbol val="diamond"/>
            <size val="6"/>
            <spPr>
              <a:solidFill xmlns:a="http://schemas.openxmlformats.org/drawingml/2006/main">
                <a:srgbClr val="6B0C00"/>
              </a:solidFill>
              <a:ln xmlns:a="http://schemas.openxmlformats.org/drawingml/2006/main">
                <a:solidFill>
                  <a:srgbClr val="6B0C00"/>
                </a:solidFill>
                <a:prstDash val="solid"/>
              </a:ln>
            </spPr>
          </marker>
          <val>
            <numRef>
              <f>'Pareto Analysis'!$E$33:$E$48</f>
              <numCache>
                <formatCode>0.0%</formatCode>
                <ptCount val="16"/>
                <pt idx="0">
                  <v>0.462962962962963</v>
                </pt>
                <pt idx="1">
                  <v>0.7407407407407407</v>
                </pt>
                <pt idx="2">
                  <v>0.8796296296296297</v>
                </pt>
                <pt idx="3">
                  <v>0.9259259259259259</v>
                </pt>
                <pt idx="4">
                  <v>0.9537037037037037</v>
                </pt>
                <pt idx="5">
                  <v>0.9722222222222222</v>
                </pt>
                <pt idx="6">
                  <v>0.9814814814814815</v>
                </pt>
                <pt idx="7">
                  <v>0.9907407407407407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</numCache>
            </numRef>
          </val>
          <smooth val="0"/>
        </ser>
        <ser>
          <idx val="4"/>
          <order val="4"/>
          <tx>
            <strRef>
              <f>'Pareto Analysis'!$K$32</f>
              <strCache>
                <ptCount val="1"/>
                <pt idx="0">
                  <v>Cut Off %</v>
                </pt>
              </strCache>
            </strRef>
          </tx>
          <spPr>
            <a:ln xmlns:a="http://schemas.openxmlformats.org/drawingml/2006/main" w="12700">
              <a:solidFill>
                <a:srgbClr val="6B0C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'Pareto Analysis'!$K$33:$K$48</f>
              <numCache>
                <formatCode>0%</formatCode>
                <ptCount val="16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  <pt idx="12">
                  <v>0.8</v>
                </pt>
                <pt idx="13">
                  <v>0.8</v>
                </pt>
                <pt idx="14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"/>
        <axId val="4"/>
      </lineChart>
      <catAx>
        <axId val="1200295535"/>
        <scaling>
          <orientation val="minMax"/>
        </scaling>
        <delete val="0"/>
        <axPos val="b"/>
        <title>
          <tx>
            <strRef>
              <f>'Pareto Analysis'!$C$32</f>
              <strCache>
                <ptCount val="1"/>
                <pt idx="0">
                  <v>Causes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4322175756738542"/>
              <y val="0.861790894024425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out"/>
        <minorTickMark val="none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crossAx val="1"/>
        <crosses val="autoZero"/>
        <auto val="1"/>
        <lblAlgn val="ctr"/>
        <lblOffset val="100"/>
        <tickMarkSkip val="1"/>
        <noMultiLvlLbl val="0"/>
      </catAx>
      <valAx>
        <axId val="1"/>
        <scaling>
          <orientation val="minMax"/>
        </scaling>
        <delete val="0"/>
        <axPos val="l"/>
        <title>
          <tx>
            <strRef>
              <f>'Pareto Analysis'!$D$32</f>
              <strCache>
                <ptCount val="1"/>
                <pt idx="0">
                  <v>Defects</v>
                </pt>
              </strCache>
            </strRef>
          </tx>
          <layout>
            <manualLayout>
              <xMode val="edge"/>
              <yMode val="edge"/>
              <wMode val="factor"/>
              <hMode val="factor"/>
              <x val="0.006379585326953748"/>
              <y val="0.3848249863076059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  <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 i="0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1200295535"/>
        <crosses val="autoZero"/>
        <crossBetween val="between"/>
      </valAx>
      <catAx>
        <axId val="3"/>
        <scaling>
          <orientation val="minMax"/>
        </scaling>
        <delete val="1"/>
        <axPos val="b"/>
        <majorTickMark val="out"/>
        <minorTickMark val="none"/>
        <tickLblPos val="nextTo"/>
        <crossAx val="4"/>
        <crosses val="autoZero"/>
        <auto val="1"/>
        <lblAlgn val="ctr"/>
        <lblOffset val="100"/>
        <noMultiLvlLbl val="0"/>
      </catAx>
      <valAx>
        <axId val="4"/>
        <scaling>
          <orientation val="minMax"/>
          <max val="1"/>
          <min val="0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MY"/>
                  <a:t>Cumulative %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553444096999837"/>
              <y val="0.352304376587073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3"/>
        <crosses val="max"/>
        <crossBetween val="between"/>
        <majorUnit val="0.2"/>
      </valAx>
    </plotArea>
    <legend>
      <legendPos val="r"/>
      <legendEntry>
        <idx val="2"/>
        <delete val="1"/>
      </legendEntry>
      <layout>
        <manualLayout>
          <xMode val="edge"/>
          <yMode val="edge"/>
          <wMode val="factor"/>
          <hMode val="factor"/>
          <x val="0.06858070970793721"/>
          <y val="0.9322518831487527"/>
          <w val="0.8405117063716318"/>
          <h val="0.0596208807232429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omments/comment1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D4" authorId="0" shapeId="0">
      <text>
        <t>bestinet:
Version number of the document OR code/module reviewed</t>
      </text>
    </comment>
    <comment ref="E4" authorId="0" shapeId="0">
      <text>
        <t>bestinet:
Comment entry date</t>
      </text>
    </comment>
    <comment ref="F4" authorId="0" shapeId="0">
      <text>
        <t xml:space="preserve">bestinet:
If more than one reviewer but review comment is same by both/multiple reviewers then mention one comment and mention name of reviewers together </t>
      </text>
    </comment>
    <comment ref="G4" authorId="0" shapeId="0">
      <text>
        <t>bestinet:
Total number of pages or code lines reviewed</t>
      </text>
    </comment>
    <comment ref="I4" authorId="0" shapeId="0">
      <text>
        <t>bestinet:
Mention page, section number, line number where the comment was found</t>
      </text>
    </comment>
    <comment ref="K4" authorId="0" shapeId="0">
      <text>
        <t xml:space="preserve">bestinet:
Select severity of the comment </t>
      </text>
    </comment>
  </commentList>
</comments>
</file>

<file path=xl/comments/comment2.xml><?xml version="1.0" encoding="utf-8"?>
<comments xmlns="http://schemas.openxmlformats.org/spreadsheetml/2006/main">
  <authors>
    <author>bestinet</author>
  </authors>
  <commentList>
    <comment ref="C4" authorId="0" shapeId="0">
      <text>
        <t>bestinet:
Mention as number "1st, 2nd or 3rd" review cycle, depending on the number of times document OR code/module was reviewed</t>
      </text>
    </comment>
    <comment ref="E4" authorId="0" shapeId="0">
      <text>
        <t>bestinet:
Time taken by the reviewers (if multiple reviewers sum all reviewers effort) to review the document / code in each review cycle</t>
      </text>
    </comment>
    <comment ref="F4" authorId="0" shapeId="0">
      <text>
        <t>bestinet:
Time taken by the authors (if multiple authors sum all authors effort) to close/fix the review comments on the document / code in each review cycle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6</col>
      <colOff>57150</colOff>
      <row>0</row>
      <rowOff>38100</rowOff>
    </from>
    <to>
      <col>6</col>
      <colOff>1543050</colOff>
      <row>2</row>
      <rowOff>295275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715125" y="38100"/>
          <a:ext cx="1485900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5</row>
      <rowOff>47625</rowOff>
    </from>
    <to>
      <col>6</col>
      <colOff>828675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8"/>
  <sheetViews>
    <sheetView showGridLines="0" tabSelected="1" topLeftCell="A4" workbookViewId="0">
      <selection activeCell="K34" sqref="K34"/>
    </sheetView>
  </sheetViews>
  <sheetFormatPr baseColWidth="10" defaultColWidth="8.83203125" defaultRowHeight="15"/>
  <cols>
    <col width="2.5" customWidth="1" min="1" max="1"/>
    <col width="6" customWidth="1" min="2" max="2"/>
    <col width="12.6640625" customWidth="1" min="3" max="3"/>
    <col width="16.33203125" customWidth="1" style="99" min="4" max="4"/>
    <col width="53.6640625" customWidth="1" min="5" max="5"/>
    <col width="16.33203125" customWidth="1" min="6" max="6"/>
    <col width="24" customWidth="1" min="7" max="7"/>
  </cols>
  <sheetData>
    <row r="1" ht="28.5" customHeight="1">
      <c r="B1" s="152" t="inlineStr">
        <is>
          <t>Review</t>
        </is>
      </c>
      <c r="C1" s="153" t="n"/>
      <c r="D1" s="153" t="n"/>
      <c r="E1" s="153" t="n"/>
      <c r="F1" s="154" t="n"/>
      <c r="G1" s="140" t="n"/>
    </row>
    <row r="2">
      <c r="B2" s="41" t="n"/>
      <c r="C2" s="41" t="n"/>
      <c r="D2" s="98" t="n"/>
      <c r="E2" s="41" t="n"/>
      <c r="F2" s="41" t="n"/>
      <c r="G2" s="155" t="n"/>
    </row>
    <row r="3" ht="26.25" customHeight="1">
      <c r="B3" s="152" t="inlineStr">
        <is>
          <t>Review Log</t>
        </is>
      </c>
      <c r="C3" s="153" t="n"/>
      <c r="D3" s="153" t="n"/>
      <c r="E3" s="153" t="n"/>
      <c r="F3" s="154" t="n"/>
      <c r="G3" s="155" t="n"/>
    </row>
    <row r="4">
      <c r="B4" s="41" t="n"/>
      <c r="C4" s="41" t="n"/>
      <c r="D4" s="98" t="n"/>
      <c r="E4" s="41" t="n"/>
      <c r="F4" s="41" t="n"/>
      <c r="G4" s="105" t="inlineStr">
        <is>
          <t>Ref. No.: BSB-QA-FWCMS-153-CRD-V1.0</t>
        </is>
      </c>
    </row>
    <row r="5">
      <c r="B5" s="142" t="inlineStr">
        <is>
          <t>Project Name</t>
        </is>
      </c>
      <c r="C5" s="153" t="n"/>
      <c r="D5" s="103" t="inlineStr">
        <is>
          <t>FWCMS IDM - #32484 - IDM - Audit Finding</t>
        </is>
      </c>
      <c r="E5" s="104" t="n"/>
      <c r="F5" s="108" t="n"/>
      <c r="G5" s="106" t="n"/>
    </row>
    <row r="6">
      <c r="B6" s="41" t="n"/>
      <c r="C6" s="41" t="n"/>
      <c r="D6" s="144" t="n"/>
      <c r="E6" s="156" t="n"/>
      <c r="F6" s="157" t="n"/>
      <c r="G6" s="107" t="n"/>
    </row>
    <row r="7" ht="18" customHeight="1">
      <c r="B7" s="158" t="inlineStr">
        <is>
          <t>Document Information</t>
        </is>
      </c>
      <c r="C7" s="153" t="n"/>
      <c r="D7" s="153" t="n"/>
      <c r="E7" s="153" t="n"/>
      <c r="F7" s="153" t="n"/>
      <c r="G7" s="154" t="n"/>
    </row>
    <row r="8">
      <c r="B8" s="43" t="inlineStr">
        <is>
          <t>Sl #</t>
        </is>
      </c>
      <c r="C8" s="44" t="inlineStr">
        <is>
          <t>Date</t>
        </is>
      </c>
      <c r="D8" s="43" t="inlineStr">
        <is>
          <t>Updated By</t>
        </is>
      </c>
      <c r="E8" s="43" t="inlineStr">
        <is>
          <t xml:space="preserve">Update Summary </t>
        </is>
      </c>
      <c r="F8" s="44" t="inlineStr">
        <is>
          <t>Reviewed By</t>
        </is>
      </c>
      <c r="G8" s="44" t="inlineStr">
        <is>
          <t>Reviewed Date</t>
        </is>
      </c>
    </row>
    <row r="9">
      <c r="B9" s="50" t="n">
        <v>1</v>
      </c>
      <c r="C9" s="159" t="n">
        <v>45799</v>
      </c>
      <c r="D9" s="97" t="inlineStr">
        <is>
          <t>Taqinah</t>
        </is>
      </c>
      <c r="E9" s="42" t="inlineStr">
        <is>
          <t>Draft TC</t>
        </is>
      </c>
      <c r="F9" s="42" t="inlineStr">
        <is>
          <t>Syamil</t>
        </is>
      </c>
      <c r="G9" s="159" t="n">
        <v>45800</v>
      </c>
    </row>
    <row r="10">
      <c r="B10" s="51" t="n">
        <v>2</v>
      </c>
      <c r="C10" s="160" t="n"/>
      <c r="D10" s="97" t="n"/>
      <c r="E10" s="42" t="n"/>
      <c r="F10" s="42" t="n"/>
      <c r="G10" s="160" t="n"/>
    </row>
    <row r="11">
      <c r="B11" s="52" t="n">
        <v>3</v>
      </c>
      <c r="C11" s="160" t="n"/>
      <c r="D11" s="97" t="n"/>
      <c r="E11" s="42" t="n"/>
      <c r="F11" s="42" t="n"/>
      <c r="G11" s="161" t="n"/>
    </row>
    <row r="12">
      <c r="B12" s="53" t="n">
        <v>4</v>
      </c>
      <c r="C12" s="160" t="n"/>
      <c r="D12" s="97" t="n"/>
      <c r="E12" s="42" t="n"/>
      <c r="F12" s="42" t="n"/>
      <c r="G12" s="160" t="n"/>
    </row>
    <row r="13">
      <c r="B13" s="53" t="n">
        <v>5</v>
      </c>
      <c r="C13" s="160" t="n"/>
      <c r="D13" s="97" t="n"/>
      <c r="E13" s="42" t="n"/>
      <c r="F13" s="42" t="n"/>
      <c r="G13" s="160" t="n"/>
    </row>
    <row r="14">
      <c r="B14" s="50" t="n">
        <v>6</v>
      </c>
      <c r="C14" s="159" t="n"/>
      <c r="D14" s="97" t="n"/>
      <c r="E14" s="42" t="n"/>
      <c r="F14" s="42" t="n"/>
      <c r="G14" s="159" t="n"/>
    </row>
    <row r="15">
      <c r="B15" s="51" t="n">
        <v>7</v>
      </c>
      <c r="C15" s="160" t="n"/>
      <c r="D15" s="97" t="n"/>
      <c r="E15" s="42" t="n"/>
      <c r="F15" s="42" t="n"/>
      <c r="G15" s="160" t="n"/>
    </row>
    <row r="16">
      <c r="B16" s="52" t="n">
        <v>8</v>
      </c>
      <c r="C16" s="160" t="n"/>
      <c r="D16" s="97" t="n"/>
      <c r="E16" s="42" t="n"/>
      <c r="F16" s="42" t="n"/>
      <c r="G16" s="161" t="n"/>
    </row>
    <row r="17">
      <c r="B17" s="53" t="n">
        <v>9</v>
      </c>
      <c r="C17" s="160" t="n"/>
      <c r="D17" s="97" t="n"/>
      <c r="E17" s="42" t="n"/>
      <c r="F17" s="42" t="n"/>
      <c r="G17" s="160" t="n"/>
    </row>
    <row r="18">
      <c r="B18" s="53" t="n">
        <v>10</v>
      </c>
      <c r="C18" s="160" t="n"/>
      <c r="D18" s="97" t="n"/>
      <c r="E18" s="42" t="n"/>
      <c r="F18" s="42" t="n"/>
      <c r="G18" s="160" t="n"/>
    </row>
    <row r="19">
      <c r="B19" s="50" t="n">
        <v>11</v>
      </c>
      <c r="C19" s="159" t="n"/>
      <c r="D19" s="97" t="n"/>
      <c r="E19" s="42" t="n"/>
      <c r="F19" s="42" t="n"/>
      <c r="G19" s="159" t="n"/>
    </row>
    <row r="20">
      <c r="B20" s="51" t="n">
        <v>12</v>
      </c>
      <c r="C20" s="160" t="n"/>
      <c r="D20" s="97" t="n"/>
      <c r="E20" s="42" t="n"/>
      <c r="F20" s="42" t="n"/>
      <c r="G20" s="160" t="n"/>
    </row>
    <row r="21">
      <c r="B21" s="52" t="n">
        <v>13</v>
      </c>
      <c r="C21" s="160" t="n"/>
      <c r="D21" s="97" t="n"/>
      <c r="E21" s="42" t="n"/>
      <c r="F21" s="42" t="n"/>
      <c r="G21" s="161" t="n"/>
    </row>
    <row r="22">
      <c r="B22" s="53" t="n">
        <v>14</v>
      </c>
      <c r="C22" s="160" t="n"/>
      <c r="D22" s="97" t="n"/>
      <c r="E22" s="42" t="n"/>
      <c r="F22" s="42" t="n"/>
      <c r="G22" s="160" t="n"/>
    </row>
    <row r="23">
      <c r="B23" s="53" t="n">
        <v>15</v>
      </c>
      <c r="C23" s="160" t="n"/>
      <c r="D23" s="97" t="n"/>
      <c r="E23" s="42" t="n"/>
      <c r="F23" s="42" t="n"/>
      <c r="G23" s="160" t="n"/>
    </row>
    <row r="24">
      <c r="B24" s="50" t="n">
        <v>16</v>
      </c>
      <c r="C24" s="159" t="n"/>
      <c r="D24" s="97" t="n"/>
      <c r="E24" s="42" t="n"/>
      <c r="F24" s="42" t="n"/>
      <c r="G24" s="159" t="n"/>
    </row>
    <row r="25">
      <c r="B25" s="51" t="n">
        <v>17</v>
      </c>
      <c r="C25" s="160" t="n"/>
      <c r="D25" s="97" t="n"/>
      <c r="E25" s="42" t="n"/>
      <c r="F25" s="42" t="n"/>
      <c r="G25" s="160" t="n"/>
    </row>
    <row r="26">
      <c r="B26" s="52" t="n">
        <v>18</v>
      </c>
      <c r="C26" s="160" t="n"/>
      <c r="D26" s="97" t="n"/>
      <c r="E26" s="42" t="n"/>
      <c r="F26" s="42" t="n"/>
      <c r="G26" s="161" t="n"/>
    </row>
    <row r="27">
      <c r="B27" s="53" t="n">
        <v>19</v>
      </c>
      <c r="C27" s="160" t="n"/>
      <c r="D27" s="97" t="n"/>
      <c r="E27" s="42" t="n"/>
      <c r="F27" s="42" t="n"/>
      <c r="G27" s="160" t="n"/>
    </row>
    <row r="28">
      <c r="B28" s="53" t="n">
        <v>20</v>
      </c>
      <c r="C28" s="160" t="n"/>
      <c r="D28" s="97" t="n"/>
      <c r="E28" s="42" t="n"/>
      <c r="F28" s="42" t="n"/>
      <c r="G28" s="160" t="n"/>
    </row>
    <row r="29">
      <c r="B29" s="50" t="n">
        <v>21</v>
      </c>
      <c r="C29" s="159" t="n"/>
      <c r="D29" s="97" t="n"/>
      <c r="E29" s="42" t="n"/>
      <c r="F29" s="42" t="n"/>
      <c r="G29" s="159" t="n"/>
    </row>
    <row r="30">
      <c r="B30" s="51" t="n">
        <v>22</v>
      </c>
      <c r="C30" s="160" t="n"/>
      <c r="D30" s="97" t="n"/>
      <c r="E30" s="42" t="n"/>
      <c r="F30" s="42" t="n"/>
      <c r="G30" s="160" t="n"/>
    </row>
    <row r="31">
      <c r="B31" s="52" t="n">
        <v>23</v>
      </c>
      <c r="C31" s="160" t="n"/>
      <c r="D31" s="97" t="n"/>
      <c r="E31" s="42" t="n"/>
      <c r="F31" s="42" t="n"/>
      <c r="G31" s="161" t="n"/>
    </row>
    <row r="32">
      <c r="B32" s="53" t="n">
        <v>24</v>
      </c>
      <c r="C32" s="160" t="n"/>
      <c r="D32" s="97" t="n"/>
      <c r="E32" s="42" t="n"/>
      <c r="F32" s="42" t="n"/>
      <c r="G32" s="160" t="n"/>
    </row>
    <row r="33">
      <c r="B33" s="53" t="n">
        <v>25</v>
      </c>
      <c r="C33" s="160" t="n"/>
      <c r="D33" s="97" t="n"/>
      <c r="E33" s="42" t="n"/>
      <c r="F33" s="42" t="n"/>
      <c r="G33" s="160" t="n"/>
    </row>
    <row r="34">
      <c r="B34" s="50" t="n">
        <v>26</v>
      </c>
      <c r="C34" s="159" t="n"/>
      <c r="D34" s="97" t="n"/>
      <c r="E34" s="42" t="n"/>
      <c r="F34" s="42" t="n"/>
      <c r="G34" s="159" t="n"/>
    </row>
    <row r="35">
      <c r="B35" s="51" t="n">
        <v>27</v>
      </c>
      <c r="C35" s="160" t="n"/>
      <c r="D35" s="97" t="n"/>
      <c r="E35" s="42" t="n"/>
      <c r="F35" s="42" t="n"/>
      <c r="G35" s="160" t="n"/>
    </row>
    <row r="36">
      <c r="B36" s="52" t="n">
        <v>28</v>
      </c>
      <c r="C36" s="160" t="n"/>
      <c r="D36" s="97" t="n"/>
      <c r="E36" s="42" t="n"/>
      <c r="F36" s="42" t="n"/>
      <c r="G36" s="161" t="n"/>
    </row>
    <row r="37">
      <c r="B37" s="53" t="n">
        <v>29</v>
      </c>
      <c r="C37" s="160" t="n"/>
      <c r="D37" s="97" t="n"/>
      <c r="E37" s="42" t="n"/>
      <c r="F37" s="42" t="n"/>
      <c r="G37" s="160" t="n"/>
    </row>
    <row r="38">
      <c r="B38" s="53" t="n">
        <v>30</v>
      </c>
      <c r="C38" s="160" t="n"/>
      <c r="D38" s="97" t="n"/>
      <c r="E38" s="42" t="n"/>
      <c r="F38" s="42" t="n"/>
      <c r="G38" s="160" t="n"/>
    </row>
    <row r="39">
      <c r="B39" s="50" t="n">
        <v>31</v>
      </c>
      <c r="C39" s="159" t="n"/>
      <c r="D39" s="97" t="n"/>
      <c r="E39" s="42" t="n"/>
      <c r="F39" s="42" t="n"/>
      <c r="G39" s="159" t="n"/>
    </row>
    <row r="40">
      <c r="B40" s="51" t="n">
        <v>32</v>
      </c>
      <c r="C40" s="160" t="n"/>
      <c r="D40" s="97" t="n"/>
      <c r="E40" s="42" t="n"/>
      <c r="F40" s="42" t="n"/>
      <c r="G40" s="160" t="n"/>
    </row>
    <row r="41">
      <c r="B41" s="52" t="n">
        <v>33</v>
      </c>
      <c r="C41" s="160" t="n"/>
      <c r="D41" s="97" t="n"/>
      <c r="E41" s="42" t="n"/>
      <c r="F41" s="42" t="n"/>
      <c r="G41" s="161" t="n"/>
    </row>
    <row r="42">
      <c r="B42" s="53" t="n">
        <v>34</v>
      </c>
      <c r="C42" s="160" t="n"/>
      <c r="D42" s="97" t="n"/>
      <c r="E42" s="42" t="n"/>
      <c r="F42" s="42" t="n"/>
      <c r="G42" s="160" t="n"/>
    </row>
    <row r="43">
      <c r="B43" s="53" t="n">
        <v>35</v>
      </c>
      <c r="C43" s="160" t="n"/>
      <c r="D43" s="97" t="n"/>
      <c r="E43" s="42" t="n"/>
      <c r="F43" s="42" t="n"/>
      <c r="G43" s="160" t="n"/>
    </row>
    <row r="44">
      <c r="B44" s="50" t="n">
        <v>36</v>
      </c>
      <c r="C44" s="159" t="n"/>
      <c r="D44" s="97" t="n"/>
      <c r="E44" s="42" t="n"/>
      <c r="F44" s="42" t="n"/>
      <c r="G44" s="159" t="n"/>
    </row>
    <row r="45">
      <c r="B45" s="51" t="n">
        <v>37</v>
      </c>
      <c r="C45" s="160" t="n"/>
      <c r="D45" s="97" t="n"/>
      <c r="E45" s="42" t="n"/>
      <c r="F45" s="42" t="n"/>
      <c r="G45" s="160" t="n"/>
    </row>
    <row r="46">
      <c r="B46" s="52" t="n">
        <v>38</v>
      </c>
      <c r="C46" s="160" t="n"/>
      <c r="D46" s="97" t="n"/>
      <c r="E46" s="42" t="n"/>
      <c r="F46" s="42" t="n"/>
      <c r="G46" s="161" t="n"/>
    </row>
    <row r="47">
      <c r="B47" s="53" t="n">
        <v>39</v>
      </c>
      <c r="C47" s="160" t="n"/>
      <c r="D47" s="97" t="n"/>
      <c r="E47" s="42" t="n"/>
      <c r="F47" s="42" t="n"/>
      <c r="G47" s="160" t="n"/>
    </row>
    <row r="48">
      <c r="B48" s="53" t="n">
        <v>40</v>
      </c>
      <c r="C48" s="160" t="n"/>
      <c r="D48" s="97" t="n"/>
      <c r="E48" s="42" t="n"/>
      <c r="F48" s="42" t="n"/>
      <c r="G48" s="160" t="n"/>
    </row>
  </sheetData>
  <mergeCells count="6">
    <mergeCell ref="G1:G3"/>
    <mergeCell ref="B5:C5"/>
    <mergeCell ref="B3:F3"/>
    <mergeCell ref="B1:F1"/>
    <mergeCell ref="D6:F6"/>
    <mergeCell ref="B7:G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7"/>
  <sheetViews>
    <sheetView showGridLines="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29" sqref="G29"/>
    </sheetView>
  </sheetViews>
  <sheetFormatPr baseColWidth="10" defaultColWidth="8.83203125" defaultRowHeight="15"/>
  <cols>
    <col width="1.83203125" customWidth="1" min="1" max="1"/>
    <col width="4.6640625" customWidth="1" min="2" max="2"/>
    <col width="12.33203125" customWidth="1" min="5" max="5"/>
    <col width="17.83203125" customWidth="1" min="6" max="6"/>
    <col width="16.83203125" customWidth="1" min="8" max="8"/>
    <col width="14.1640625" customWidth="1" min="9" max="9"/>
    <col width="37.83203125" customWidth="1" min="10" max="10"/>
    <col width="10" customWidth="1" min="11" max="11"/>
    <col width="22.5" customWidth="1" min="12" max="12"/>
    <col width="10.5" customWidth="1" min="13" max="13"/>
    <col width="15.1640625" customWidth="1" min="14" max="15"/>
    <col width="19.6640625" customWidth="1" min="16" max="16"/>
  </cols>
  <sheetData>
    <row r="1" ht="16" customHeight="1" thickBot="1"/>
    <row r="2" ht="26" customHeight="1" thickBot="1">
      <c r="B2" s="162" t="inlineStr">
        <is>
          <t xml:space="preserve">Review Log </t>
        </is>
      </c>
      <c r="C2" s="163" t="n"/>
      <c r="D2" s="163" t="n"/>
      <c r="E2" s="163" t="n"/>
      <c r="F2" s="163" t="n"/>
      <c r="G2" s="163" t="n"/>
      <c r="H2" s="163" t="n"/>
      <c r="I2" s="163" t="n"/>
      <c r="J2" s="163" t="n"/>
      <c r="K2" s="163" t="n"/>
      <c r="L2" s="163" t="n"/>
      <c r="M2" s="163" t="n"/>
      <c r="N2" s="163" t="n"/>
      <c r="O2" s="163" t="n"/>
      <c r="P2" s="164" t="n"/>
    </row>
    <row r="3" ht="23.25" customHeight="1">
      <c r="B3" s="146" t="inlineStr">
        <is>
          <t>To be filled by Reviewer</t>
        </is>
      </c>
      <c r="C3" s="165" t="n"/>
      <c r="D3" s="165" t="n"/>
      <c r="E3" s="165" t="n"/>
      <c r="F3" s="165" t="n"/>
      <c r="G3" s="165" t="n"/>
      <c r="H3" s="165" t="n"/>
      <c r="I3" s="165" t="n"/>
      <c r="J3" s="165" t="n"/>
      <c r="K3" s="165" t="n"/>
      <c r="L3" s="45" t="n"/>
      <c r="M3" s="148" t="inlineStr">
        <is>
          <t>To be filled by Author &amp; Reviewer</t>
        </is>
      </c>
      <c r="N3" s="165" t="n"/>
      <c r="O3" s="165" t="n"/>
      <c r="P3" s="166" t="n"/>
    </row>
    <row r="4" ht="71" customHeight="1" thickBot="1">
      <c r="B4" s="46" t="inlineStr">
        <is>
          <t>Sl #</t>
        </is>
      </c>
      <c r="C4" s="47" t="inlineStr">
        <is>
          <t xml:space="preserve">Review Cycle </t>
        </is>
      </c>
      <c r="D4" s="47" t="inlineStr">
        <is>
          <t>Version
Number</t>
        </is>
      </c>
      <c r="E4" s="47" t="inlineStr">
        <is>
          <t xml:space="preserve">Posted Date
</t>
        </is>
      </c>
      <c r="F4" s="47" t="inlineStr">
        <is>
          <t>Reviewer Name</t>
        </is>
      </c>
      <c r="G4" s="47" t="inlineStr">
        <is>
          <t>Size of Work Product (LOC, Pages )</t>
        </is>
      </c>
      <c r="H4" s="47" t="inlineStr">
        <is>
          <t>Document Name / 
Code, Module Name</t>
        </is>
      </c>
      <c r="I4" s="47" t="inlineStr">
        <is>
          <t xml:space="preserve"> Section ID, Line OR
Page Number</t>
        </is>
      </c>
      <c r="J4" s="47" t="inlineStr">
        <is>
          <t>Comment Description</t>
        </is>
      </c>
      <c r="K4" s="47" t="inlineStr">
        <is>
          <t>Severity</t>
        </is>
      </c>
      <c r="L4" s="48" t="inlineStr">
        <is>
          <t>Action required for comment resolution</t>
        </is>
      </c>
      <c r="M4" s="46" t="inlineStr">
        <is>
          <t>Comment Status</t>
        </is>
      </c>
      <c r="N4" s="47" t="inlineStr">
        <is>
          <t>Comment Target Closure Date</t>
        </is>
      </c>
      <c r="O4" s="47" t="inlineStr">
        <is>
          <t>Comment Actual Closure Date</t>
        </is>
      </c>
      <c r="P4" s="48" t="inlineStr">
        <is>
          <t>Remarks</t>
        </is>
      </c>
    </row>
    <row r="5">
      <c r="B5" s="56" t="n">
        <v>1</v>
      </c>
      <c r="C5" s="1" t="inlineStr">
        <is>
          <t>1st</t>
        </is>
      </c>
      <c r="D5" s="167" t="n">
        <v>1</v>
      </c>
      <c r="E5" s="168" t="n"/>
      <c r="F5" s="3" t="inlineStr">
        <is>
          <t>Syamil</t>
        </is>
      </c>
      <c r="G5" s="59" t="inlineStr">
        <is>
          <t>Small</t>
        </is>
      </c>
      <c r="H5" s="3" t="inlineStr">
        <is>
          <t>FWCMS</t>
        </is>
      </c>
      <c r="I5" s="59" t="n">
        <v>28</v>
      </c>
      <c r="J5" s="4" t="inlineStr">
        <is>
          <t>add more tc to cover scenario</t>
        </is>
      </c>
      <c r="K5" s="4" t="inlineStr">
        <is>
          <t>Low</t>
        </is>
      </c>
      <c r="L5" s="3" t="inlineStr">
        <is>
          <t>Add new test case</t>
        </is>
      </c>
      <c r="M5" s="3" t="inlineStr">
        <is>
          <t>Closed</t>
        </is>
      </c>
      <c r="N5" s="169" t="n">
        <v>45803</v>
      </c>
      <c r="O5" s="169" t="n">
        <v>45803</v>
      </c>
      <c r="P5" s="11" t="n"/>
    </row>
    <row r="6">
      <c r="B6" s="55" t="n"/>
      <c r="C6" s="1" t="n"/>
      <c r="D6" s="167" t="n"/>
      <c r="E6" s="168" t="n"/>
      <c r="F6" s="3" t="n"/>
      <c r="G6" s="59" t="n"/>
      <c r="H6" s="3" t="n"/>
      <c r="I6" s="59" t="n"/>
      <c r="J6" s="4" t="n"/>
      <c r="K6" s="4" t="n"/>
      <c r="L6" s="3" t="n"/>
      <c r="M6" s="3" t="n"/>
      <c r="N6" s="169" t="n"/>
      <c r="O6" s="169" t="n"/>
      <c r="P6" s="11" t="n"/>
    </row>
    <row r="7">
      <c r="B7" s="55" t="n"/>
      <c r="C7" s="1" t="n"/>
      <c r="D7" s="167" t="n"/>
      <c r="E7" s="168" t="n"/>
      <c r="F7" s="3" t="n"/>
      <c r="G7" s="59" t="n"/>
      <c r="H7" s="3" t="n"/>
      <c r="I7" s="59" t="n"/>
      <c r="J7" s="4" t="n"/>
      <c r="K7" s="4" t="n"/>
      <c r="L7" s="3" t="n"/>
      <c r="M7" s="3" t="n"/>
      <c r="N7" s="169" t="n"/>
      <c r="O7" s="169" t="n"/>
      <c r="P7" s="11" t="n"/>
    </row>
    <row r="8">
      <c r="B8" s="55" t="n"/>
      <c r="C8" s="1" t="n"/>
      <c r="D8" s="167" t="n"/>
      <c r="E8" s="168" t="n"/>
      <c r="F8" s="3" t="n"/>
      <c r="G8" s="59" t="n"/>
      <c r="H8" s="3" t="n"/>
      <c r="I8" s="59" t="n"/>
      <c r="J8" s="4" t="n"/>
      <c r="K8" s="4" t="n"/>
      <c r="L8" s="3" t="n"/>
      <c r="M8" s="3" t="n"/>
      <c r="N8" s="169" t="n"/>
      <c r="O8" s="169" t="n"/>
      <c r="P8" s="11" t="n"/>
    </row>
    <row r="9">
      <c r="B9" s="55" t="n"/>
      <c r="C9" s="1" t="n"/>
      <c r="D9" s="167" t="n"/>
      <c r="E9" s="168" t="n"/>
      <c r="F9" s="3" t="n"/>
      <c r="G9" s="59" t="n"/>
      <c r="H9" s="3" t="n"/>
      <c r="I9" s="59" t="n"/>
      <c r="J9" s="4" t="n"/>
      <c r="K9" s="4" t="n"/>
      <c r="L9" s="3" t="n"/>
      <c r="M9" s="3" t="n"/>
      <c r="N9" s="169" t="n"/>
      <c r="O9" s="169" t="n"/>
      <c r="P9" s="11" t="n"/>
    </row>
    <row r="10">
      <c r="B10" s="55" t="n"/>
      <c r="C10" s="1" t="n"/>
      <c r="D10" s="167" t="n"/>
      <c r="E10" s="168" t="n"/>
      <c r="F10" s="3" t="n"/>
      <c r="G10" s="59" t="n"/>
      <c r="H10" s="3" t="n"/>
      <c r="I10" s="59" t="n"/>
      <c r="J10" s="4" t="inlineStr">
        <is>
          <t xml:space="preserve"> </t>
        </is>
      </c>
      <c r="K10" s="4" t="n"/>
      <c r="L10" s="3" t="n"/>
      <c r="M10" s="3" t="n"/>
      <c r="N10" s="169" t="n"/>
      <c r="O10" s="169" t="n"/>
      <c r="P10" s="11" t="n"/>
    </row>
    <row r="11">
      <c r="B11" s="55" t="n"/>
      <c r="C11" s="1" t="n"/>
      <c r="D11" s="167" t="n"/>
      <c r="E11" s="168" t="n"/>
      <c r="F11" s="3" t="n"/>
      <c r="G11" s="59" t="n"/>
      <c r="H11" s="3" t="n"/>
      <c r="I11" s="59" t="n"/>
      <c r="J11" s="4" t="inlineStr">
        <is>
          <t xml:space="preserve">   </t>
        </is>
      </c>
      <c r="K11" s="4" t="n"/>
      <c r="L11" s="3" t="n"/>
      <c r="M11" s="3" t="n"/>
      <c r="N11" s="169" t="n"/>
      <c r="O11" s="169" t="n"/>
      <c r="P11" s="11" t="n"/>
    </row>
    <row r="12">
      <c r="B12" s="55" t="n"/>
      <c r="C12" s="5" t="n"/>
      <c r="D12" s="170" t="n"/>
      <c r="E12" s="171" t="n"/>
      <c r="F12" s="6" t="n"/>
      <c r="G12" s="70" t="n"/>
      <c r="H12" s="6" t="n"/>
      <c r="I12" s="70" t="n"/>
      <c r="J12" s="7" t="n"/>
      <c r="K12" s="4" t="n"/>
      <c r="L12" s="6" t="n"/>
      <c r="M12" s="3" t="n"/>
      <c r="N12" s="169" t="n"/>
      <c r="O12" s="169" t="n"/>
      <c r="P12" s="11" t="n"/>
    </row>
    <row r="13">
      <c r="B13" s="55" t="n"/>
      <c r="C13" s="8" t="n"/>
      <c r="D13" s="172" t="n"/>
      <c r="E13" s="173" t="n"/>
      <c r="F13" s="9" t="n"/>
      <c r="G13" s="71" t="n"/>
      <c r="H13" s="9" t="n"/>
      <c r="I13" s="71" t="n"/>
      <c r="J13" s="10" t="n"/>
      <c r="K13" s="4" t="n"/>
      <c r="L13" s="9" t="n"/>
      <c r="M13" s="3" t="n"/>
      <c r="N13" s="169" t="n"/>
      <c r="O13" s="169" t="n"/>
      <c r="P13" s="11" t="n"/>
    </row>
    <row r="14">
      <c r="B14" s="55" t="n"/>
      <c r="C14" s="8" t="n"/>
      <c r="D14" s="172" t="n"/>
      <c r="E14" s="173" t="n"/>
      <c r="F14" s="9" t="n"/>
      <c r="G14" s="71" t="n"/>
      <c r="H14" s="9" t="n"/>
      <c r="I14" s="71" t="n"/>
      <c r="J14" s="10" t="n"/>
      <c r="K14" s="4" t="n"/>
      <c r="L14" s="9" t="n"/>
      <c r="M14" s="3" t="n"/>
      <c r="N14" s="169" t="n"/>
      <c r="O14" s="169" t="n"/>
      <c r="P14" s="11" t="n"/>
    </row>
    <row r="15">
      <c r="B15" s="55" t="n"/>
      <c r="C15" s="8" t="n"/>
      <c r="D15" s="172" t="n"/>
      <c r="E15" s="173" t="n"/>
      <c r="F15" s="9" t="n"/>
      <c r="G15" s="71" t="n"/>
      <c r="H15" s="9" t="n"/>
      <c r="I15" s="71" t="n"/>
      <c r="J15" s="10" t="n"/>
      <c r="K15" s="4" t="n"/>
      <c r="L15" s="9" t="n"/>
      <c r="M15" s="3" t="n"/>
      <c r="N15" s="169" t="n"/>
      <c r="O15" s="169" t="n"/>
      <c r="P15" s="11" t="n"/>
    </row>
    <row r="16">
      <c r="B16" s="55" t="n"/>
      <c r="C16" s="8" t="n"/>
      <c r="D16" s="172" t="n"/>
      <c r="E16" s="173" t="n"/>
      <c r="F16" s="9" t="n"/>
      <c r="G16" s="71" t="n"/>
      <c r="H16" s="9" t="n"/>
      <c r="I16" s="71" t="n"/>
      <c r="J16" s="10" t="n"/>
      <c r="K16" s="4" t="n"/>
      <c r="L16" s="9" t="n"/>
      <c r="M16" s="3" t="n"/>
      <c r="N16" s="169" t="n"/>
      <c r="O16" s="169" t="n"/>
      <c r="P16" s="11" t="n"/>
    </row>
    <row r="17" ht="16" customHeight="1" thickBot="1">
      <c r="B17" s="57" t="n"/>
      <c r="C17" s="12" t="n"/>
      <c r="D17" s="174" t="n"/>
      <c r="E17" s="175" t="n"/>
      <c r="F17" s="13" t="n"/>
      <c r="G17" s="72" t="n"/>
      <c r="H17" s="13" t="n"/>
      <c r="I17" s="72" t="n"/>
      <c r="J17" s="14" t="n"/>
      <c r="K17" s="15" t="n"/>
      <c r="L17" s="13" t="n"/>
      <c r="M17" s="16" t="n"/>
      <c r="N17" s="176" t="n"/>
      <c r="O17" s="176" t="n"/>
      <c r="P17" s="17" t="n"/>
    </row>
  </sheetData>
  <mergeCells count="3">
    <mergeCell ref="M3:P3"/>
    <mergeCell ref="B3:K3"/>
    <mergeCell ref="B2:P2"/>
  </mergeCells>
  <dataValidations count="3">
    <dataValidation sqref="M5:M17" showDropDown="0" showInputMessage="1" showErrorMessage="1" allowBlank="1" type="list">
      <formula1>"Open,Fixed, Closed, Deferred,Re-open, Rejected"</formula1>
    </dataValidation>
    <dataValidation sqref="K5:K17" showDropDown="0" showInputMessage="1" showErrorMessage="1" allowBlank="1" type="list">
      <formula1>"High, Medium, Low"</formula1>
    </dataValidation>
    <dataValidation sqref="C5:C17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zoomScaleNormal="100" workbookViewId="0">
      <pane ySplit="1" topLeftCell="A2" activePane="bottomLeft" state="frozen"/>
      <selection pane="bottomLeft" activeCell="D40" sqref="D40"/>
    </sheetView>
  </sheetViews>
  <sheetFormatPr baseColWidth="10" defaultColWidth="9.1640625" defaultRowHeight="15"/>
  <cols>
    <col width="12" customWidth="1" style="99" min="1" max="1"/>
    <col width="17.5" customWidth="1" style="100" min="2" max="2"/>
    <col width="16" customWidth="1" min="3" max="3"/>
    <col width="16" customWidth="1" min="4" max="4"/>
    <col width="26" customWidth="1" style="109" min="5" max="5"/>
    <col width="34" customWidth="1" min="6" max="6"/>
    <col width="48" customWidth="1" min="7" max="7"/>
    <col width="18" customWidth="1" style="101" min="8" max="8"/>
    <col width="48" customWidth="1" min="9" max="9"/>
    <col width="19.6640625" customWidth="1" style="102" min="10" max="10"/>
    <col width="37.33203125" customWidth="1" min="11" max="11"/>
    <col width="24" customWidth="1" min="12" max="12"/>
    <col width="12" customWidth="1" style="100" min="13" max="13"/>
  </cols>
  <sheetData>
    <row r="1" ht="32.5" customHeight="1">
      <c r="A1" s="110" t="inlineStr">
        <is>
          <t>Case ID</t>
        </is>
      </c>
      <c r="B1" s="110" t="inlineStr">
        <is>
          <t>Redmine User Story</t>
        </is>
      </c>
      <c r="C1" s="110" t="inlineStr">
        <is>
          <t>Tracker</t>
        </is>
      </c>
      <c r="D1" s="110" t="inlineStr">
        <is>
          <t>Scenario</t>
        </is>
      </c>
      <c r="E1" s="110" t="inlineStr">
        <is>
          <t>Pre Condition</t>
        </is>
      </c>
      <c r="F1" s="110" t="inlineStr">
        <is>
          <t>Case</t>
        </is>
      </c>
      <c r="G1" s="110" t="inlineStr">
        <is>
          <t>Steps</t>
        </is>
      </c>
      <c r="H1" s="111" t="inlineStr">
        <is>
          <t>Test Data</t>
        </is>
      </c>
      <c r="I1" s="110" t="inlineStr">
        <is>
          <t>Expected Result</t>
        </is>
      </c>
      <c r="J1" s="110" t="inlineStr">
        <is>
          <t>Result</t>
        </is>
      </c>
      <c r="K1" s="110" t="inlineStr">
        <is>
          <t>Redmine Defect</t>
        </is>
      </c>
      <c r="L1" s="112" t="inlineStr">
        <is>
          <t>Additional/Comments/Issues</t>
        </is>
      </c>
      <c r="M1" s="110" t="inlineStr">
        <is>
          <t>QA PIC</t>
        </is>
      </c>
    </row>
    <row r="2">
      <c r="A2" s="177" t="inlineStr">
        <is>
          <t>FUNC-001</t>
        </is>
      </c>
      <c r="B2" s="177" t="inlineStr"/>
      <c r="C2" s="177" t="inlineStr">
        <is>
          <t>Authentication</t>
        </is>
      </c>
      <c r="D2" s="177" t="inlineStr">
        <is>
          <t>Authentication</t>
        </is>
      </c>
      <c r="E2" s="177" t="inlineStr">
        <is>
          <t>Login page open</t>
        </is>
      </c>
      <c r="F2" s="177" t="inlineStr">
        <is>
          <t>Remember-me persists session</t>
        </is>
      </c>
      <c r="G2" s="177" t="inlineStr">
        <is>
          <t>1. Login with 'Remember me' checked
2. Close and reopen the browser</t>
        </is>
      </c>
      <c r="H2" s="177" t="inlineStr">
        <is>
          <t>valid user</t>
        </is>
      </c>
      <c r="I2" s="177" t="inlineStr">
        <is>
          <t>Session restored from localStorage; still logged in</t>
        </is>
      </c>
      <c r="J2" s="177" t="inlineStr"/>
      <c r="K2" s="177" t="inlineStr"/>
      <c r="L2" s="177" t="inlineStr"/>
      <c r="M2" s="177" t="inlineStr"/>
    </row>
    <row r="3">
      <c r="A3" s="177" t="inlineStr">
        <is>
          <t>FUNC-002</t>
        </is>
      </c>
      <c r="B3" s="177" t="inlineStr"/>
      <c r="C3" s="177" t="inlineStr">
        <is>
          <t>Authentication</t>
        </is>
      </c>
      <c r="D3" s="177" t="inlineStr">
        <is>
          <t>Authentication</t>
        </is>
      </c>
      <c r="E3" s="177" t="inlineStr">
        <is>
          <t>New user with temp password</t>
        </is>
      </c>
      <c r="F3" s="177" t="inlineStr">
        <is>
          <t>First-login forced password change</t>
        </is>
      </c>
      <c r="G3" s="177" t="inlineStr">
        <is>
          <t>1. Log in with temp password
2. Observe prompt
3. Set a new password</t>
        </is>
      </c>
      <c r="H3" s="177" t="inlineStr">
        <is>
          <t>mustChangePassword=true</t>
        </is>
      </c>
      <c r="I3" s="177" t="inlineStr">
        <is>
          <t>Forced to change password before reaching the app</t>
        </is>
      </c>
      <c r="J3" s="177" t="inlineStr"/>
      <c r="K3" s="177" t="inlineStr"/>
      <c r="L3" s="177" t="inlineStr"/>
      <c r="M3" s="177" t="inlineStr"/>
    </row>
    <row r="4">
      <c r="A4" s="177" t="inlineStr">
        <is>
          <t>FUNC-003</t>
        </is>
      </c>
      <c r="B4" s="177" t="inlineStr"/>
      <c r="C4" s="177" t="inlineStr">
        <is>
          <t>Authentication</t>
        </is>
      </c>
      <c r="D4" s="177" t="inlineStr">
        <is>
          <t>Authentication</t>
        </is>
      </c>
      <c r="E4" s="177" t="inlineStr">
        <is>
          <t>Logged in</t>
        </is>
      </c>
      <c r="F4" s="177" t="inlineStr">
        <is>
          <t>Logout clears session</t>
        </is>
      </c>
      <c r="G4" s="177" t="inlineStr">
        <is>
          <t>1. Click account &gt; Logout</t>
        </is>
      </c>
      <c r="H4" s="177" t="inlineStr">
        <is>
          <t>-</t>
        </is>
      </c>
      <c r="I4" s="177" t="inlineStr">
        <is>
          <t>Token cleared; redirected to /login; back-nav does not restore app</t>
        </is>
      </c>
      <c r="J4" s="177" t="inlineStr"/>
      <c r="K4" s="177" t="inlineStr"/>
      <c r="L4" s="177" t="inlineStr"/>
      <c r="M4" s="177" t="inlineStr"/>
    </row>
    <row r="5">
      <c r="A5" s="177" t="inlineStr">
        <is>
          <t>FUNC-004</t>
        </is>
      </c>
      <c r="B5" s="177" t="inlineStr"/>
      <c r="C5" s="177" t="inlineStr">
        <is>
          <t>Requirements</t>
        </is>
      </c>
      <c r="D5" s="177" t="inlineStr">
        <is>
          <t>Requirements</t>
        </is>
      </c>
      <c r="E5" s="177" t="inlineStr">
        <is>
          <t>FA logged in, project access</t>
        </is>
      </c>
      <c r="F5" s="177" t="inlineStr">
        <is>
          <t>Create requirement with all fields</t>
        </is>
      </c>
      <c r="G5" s="177" t="inlineStr">
        <is>
          <t>1. Requirements &gt; New
2. Fill title, description, acceptance criteria, module, project, milestone, priority, assignee
3. Save</t>
        </is>
      </c>
      <c r="H5" s="177" t="inlineStr">
        <is>
          <t>full requirement</t>
        </is>
      </c>
      <c r="I5" s="177" t="inlineStr">
        <is>
          <t>Created in draft with all fields persisted; visible in list</t>
        </is>
      </c>
      <c r="J5" s="177" t="inlineStr"/>
      <c r="K5" s="177" t="inlineStr"/>
      <c r="L5" s="177" t="inlineStr"/>
      <c r="M5" s="177" t="inlineStr"/>
    </row>
    <row r="6">
      <c r="A6" s="177" t="inlineStr">
        <is>
          <t>FUNC-005</t>
        </is>
      </c>
      <c r="B6" s="177" t="inlineStr"/>
      <c r="C6" s="177" t="inlineStr">
        <is>
          <t>Requirements</t>
        </is>
      </c>
      <c r="D6" s="177" t="inlineStr">
        <is>
          <t>Requirements</t>
        </is>
      </c>
      <c r="E6" s="177" t="inlineStr">
        <is>
          <t>Parent requirement exists</t>
        </is>
      </c>
      <c r="F6" s="177" t="inlineStr">
        <is>
          <t>Nested child requirement</t>
        </is>
      </c>
      <c r="G6" s="177" t="inlineStr">
        <is>
          <t>1. Create a requirement with a parent set</t>
        </is>
      </c>
      <c r="H6" s="177" t="inlineStr">
        <is>
          <t>parent id</t>
        </is>
      </c>
      <c r="I6" s="177" t="inlineStr">
        <is>
          <t>Child renders nested under parent; coverage rolls up (CR016)</t>
        </is>
      </c>
      <c r="J6" s="177" t="inlineStr"/>
      <c r="K6" s="177" t="inlineStr"/>
      <c r="L6" s="177" t="inlineStr"/>
      <c r="M6" s="177" t="inlineStr"/>
    </row>
    <row r="7">
      <c r="A7" s="177" t="inlineStr">
        <is>
          <t>FUNC-006</t>
        </is>
      </c>
      <c r="B7" s="177" t="inlineStr"/>
      <c r="C7" s="177" t="inlineStr">
        <is>
          <t>Requirements</t>
        </is>
      </c>
      <c r="D7" s="177" t="inlineStr">
        <is>
          <t>Requirements</t>
        </is>
      </c>
      <c r="E7" s="177" t="inlineStr">
        <is>
          <t>Requirement open (CR022)</t>
        </is>
      </c>
      <c r="F7" s="177" t="inlineStr">
        <is>
          <t>Acceptance criteria editor</t>
        </is>
      </c>
      <c r="G7" s="177" t="inlineStr">
        <is>
          <t>1. Open requirement
2. Add, edit, and remove AC lines
3. Save</t>
        </is>
      </c>
      <c r="H7" s="177" t="inlineStr">
        <is>
          <t>AC lines</t>
        </is>
      </c>
      <c r="I7" s="177" t="inlineStr">
        <is>
          <t>AC list persists and renders on detail</t>
        </is>
      </c>
      <c r="J7" s="177" t="inlineStr"/>
      <c r="K7" s="177" t="inlineStr"/>
      <c r="L7" s="177" t="inlineStr"/>
      <c r="M7" s="177" t="inlineStr"/>
    </row>
    <row r="8">
      <c r="A8" s="177" t="inlineStr">
        <is>
          <t>FUNC-007</t>
        </is>
      </c>
      <c r="B8" s="177" t="inlineStr"/>
      <c r="C8" s="177" t="inlineStr">
        <is>
          <t>Requirements</t>
        </is>
      </c>
      <c r="D8" s="177" t="inlineStr">
        <is>
          <t>Requirements</t>
        </is>
      </c>
      <c r="E8" s="177" t="inlineStr">
        <is>
          <t>Requirement detail open (CR022)</t>
        </is>
      </c>
      <c r="F8" s="177" t="inlineStr">
        <is>
          <t>Discussion thread</t>
        </is>
      </c>
      <c r="G8" s="177" t="inlineStr">
        <is>
          <t>1. Post a comment on the requirement
2. Reload</t>
        </is>
      </c>
      <c r="H8" s="177" t="inlineStr">
        <is>
          <t>comment text</t>
        </is>
      </c>
      <c r="I8" s="177" t="inlineStr">
        <is>
          <t>Comment appears in the thread; author + timestamp shown</t>
        </is>
      </c>
      <c r="J8" s="177" t="inlineStr"/>
      <c r="K8" s="177" t="inlineStr"/>
      <c r="L8" s="177" t="inlineStr"/>
      <c r="M8" s="177" t="inlineStr"/>
    </row>
    <row r="9">
      <c r="A9" s="177" t="inlineStr">
        <is>
          <t>FUNC-008</t>
        </is>
      </c>
      <c r="B9" s="177" t="inlineStr"/>
      <c r="C9" s="177" t="inlineStr">
        <is>
          <t>Requirements</t>
        </is>
      </c>
      <c r="D9" s="177" t="inlineStr">
        <is>
          <t>Requirements</t>
        </is>
      </c>
      <c r="E9" s="177" t="inlineStr">
        <is>
          <t>Draft authored by FA1</t>
        </is>
      </c>
      <c r="F9" s="177" t="inlineStr">
        <is>
          <t>Submit -&gt; approve -&gt; shows approved</t>
        </is>
      </c>
      <c r="G9" s="177" t="inlineStr">
        <is>
          <t>1. FA1 submits
2. FA2 approves</t>
        </is>
      </c>
      <c r="H9" s="177" t="inlineStr">
        <is>
          <t>two FA users</t>
        </is>
      </c>
      <c r="I9" s="177" t="inlineStr">
        <is>
          <t>Status draft-&gt;in_review-&gt;approved; history timeline logs each</t>
        </is>
      </c>
      <c r="J9" s="177" t="inlineStr"/>
      <c r="K9" s="177" t="inlineStr"/>
      <c r="L9" s="177" t="inlineStr"/>
      <c r="M9" s="177" t="inlineStr"/>
    </row>
    <row r="10">
      <c r="A10" s="177" t="inlineStr">
        <is>
          <t>FUNC-009</t>
        </is>
      </c>
      <c r="B10" s="177" t="inlineStr"/>
      <c r="C10" s="177" t="inlineStr">
        <is>
          <t>Requirements</t>
        </is>
      </c>
      <c r="D10" s="177" t="inlineStr">
        <is>
          <t>Requirements</t>
        </is>
      </c>
      <c r="E10" s="177" t="inlineStr">
        <is>
          <t>Rejected requirement (CR023)</t>
        </is>
      </c>
      <c r="F10" s="177" t="inlineStr">
        <is>
          <t>Re-review after edit</t>
        </is>
      </c>
      <c r="G10" s="177" t="inlineStr">
        <is>
          <t>1. Author edits a rejected requirement
2. Resubmit
3. FA2 approves</t>
        </is>
      </c>
      <c r="H10" s="177" t="inlineStr">
        <is>
          <t>rejected requirement</t>
        </is>
      </c>
      <c r="I10" s="177" t="inlineStr">
        <is>
          <t>Re-enters review then approved; re-review flow works</t>
        </is>
      </c>
      <c r="J10" s="177" t="inlineStr"/>
      <c r="K10" s="177" t="inlineStr"/>
      <c r="L10" s="177" t="inlineStr"/>
      <c r="M10" s="177" t="inlineStr"/>
    </row>
    <row r="11">
      <c r="A11" s="177" t="inlineStr">
        <is>
          <t>FUNC-010</t>
        </is>
      </c>
      <c r="B11" s="177" t="inlineStr"/>
      <c r="C11" s="177" t="inlineStr">
        <is>
          <t>Requirements</t>
        </is>
      </c>
      <c r="D11" s="177" t="inlineStr">
        <is>
          <t>Requirements</t>
        </is>
      </c>
      <c r="E11" s="177" t="inlineStr">
        <is>
          <t>AI Hub open (CR039)</t>
        </is>
      </c>
      <c r="F11" s="177" t="inlineStr">
        <is>
          <t>Requirement Q&amp;A chat auto-match</t>
        </is>
      </c>
      <c r="G11" s="177" t="inlineStr">
        <is>
          <t>1. Ask a question about a feature in requirement chat</t>
        </is>
      </c>
      <c r="H11" s="177" t="inlineStr">
        <is>
          <t>keyword query</t>
        </is>
      </c>
      <c r="I11" s="177" t="inlineStr">
        <is>
          <t>Auto-matches the relevant requirement (or asks when ambiguous)</t>
        </is>
      </c>
      <c r="J11" s="177" t="inlineStr"/>
      <c r="K11" s="177" t="inlineStr"/>
      <c r="L11" s="177" t="inlineStr"/>
      <c r="M11" s="177" t="inlineStr"/>
    </row>
    <row r="12">
      <c r="A12" s="177" t="inlineStr">
        <is>
          <t>FUNC-011</t>
        </is>
      </c>
      <c r="B12" s="177" t="inlineStr"/>
      <c r="C12" s="177" t="inlineStr">
        <is>
          <t>Requirements</t>
        </is>
      </c>
      <c r="D12" s="177" t="inlineStr">
        <is>
          <t>Requirements</t>
        </is>
      </c>
      <c r="E12" s="177" t="inlineStr">
        <is>
          <t>Requirements list</t>
        </is>
      </c>
      <c r="F12" s="177" t="inlineStr">
        <is>
          <t>Filter by milestone / status / module</t>
        </is>
      </c>
      <c r="G12" s="177" t="inlineStr">
        <is>
          <t>1. Apply milestone filter
2. Apply status filter
3. Apply module filter</t>
        </is>
      </c>
      <c r="H12" s="177" t="inlineStr">
        <is>
          <t>filters</t>
        </is>
      </c>
      <c r="I12" s="177" t="inlineStr">
        <is>
          <t>List narrows correctly for each filter and combinations</t>
        </is>
      </c>
      <c r="J12" s="177" t="inlineStr"/>
      <c r="K12" s="177" t="inlineStr"/>
      <c r="L12" s="177" t="inlineStr"/>
      <c r="M12" s="177" t="inlineStr"/>
    </row>
    <row r="13">
      <c r="A13" s="177" t="inlineStr">
        <is>
          <t>FUNC-012</t>
        </is>
      </c>
      <c r="B13" s="177" t="inlineStr"/>
      <c r="C13" s="177" t="inlineStr">
        <is>
          <t>Requirements</t>
        </is>
      </c>
      <c r="D13" s="177" t="inlineStr">
        <is>
          <t>Requirements</t>
        </is>
      </c>
      <c r="E13" s="177" t="inlineStr">
        <is>
          <t>Redmine connected (CR004)</t>
        </is>
      </c>
      <c r="F13" s="177" t="inlineStr">
        <is>
          <t>Redmine import with tracker filter</t>
        </is>
      </c>
      <c r="G13" s="177" t="inlineStr">
        <is>
          <t>1. Import from Redmine
2. Choose a tracker in the dialog
3. Import</t>
        </is>
      </c>
      <c r="H13" s="177" t="inlineStr">
        <is>
          <t>tracker filter</t>
        </is>
      </c>
      <c r="I13" s="177" t="inlineStr">
        <is>
          <t>Only child issues of that tracker imported; root always imported</t>
        </is>
      </c>
      <c r="J13" s="177" t="inlineStr"/>
      <c r="K13" s="177" t="inlineStr"/>
      <c r="L13" s="177" t="inlineStr"/>
      <c r="M13" s="177" t="inlineStr"/>
    </row>
    <row r="14">
      <c r="A14" s="177" t="inlineStr">
        <is>
          <t>FUNC-013</t>
        </is>
      </c>
      <c r="B14" s="177" t="inlineStr"/>
      <c r="C14" s="177" t="inlineStr">
        <is>
          <t>Dev Handoff</t>
        </is>
      </c>
      <c r="D14" s="177" t="inlineStr">
        <is>
          <t>Dev Handoff</t>
        </is>
      </c>
      <c r="E14" s="177" t="inlineStr">
        <is>
          <t>Approved requirements exist (CR030)</t>
        </is>
      </c>
      <c r="F14" s="177" t="inlineStr">
        <is>
          <t>Dev queue unassigned + my work</t>
        </is>
      </c>
      <c r="G14" s="177" t="inlineStr">
        <is>
          <t>1. Open Dev Queue as a Lead</t>
        </is>
      </c>
      <c r="H14" s="177" t="inlineStr">
        <is>
          <t>lead user</t>
        </is>
      </c>
      <c r="I14" s="177" t="inlineStr">
        <is>
          <t>Unassigned (approved, no dev) and My Dev Work lists populate</t>
        </is>
      </c>
      <c r="J14" s="177" t="inlineStr"/>
      <c r="K14" s="177" t="inlineStr"/>
      <c r="L14" s="177" t="inlineStr"/>
      <c r="M14" s="177" t="inlineStr"/>
    </row>
    <row r="15">
      <c r="A15" s="177" t="inlineStr">
        <is>
          <t>FUNC-014</t>
        </is>
      </c>
      <c r="B15" s="177" t="inlineStr"/>
      <c r="C15" s="177" t="inlineStr">
        <is>
          <t>Dev Handoff</t>
        </is>
      </c>
      <c r="D15" s="177" t="inlineStr">
        <is>
          <t>Dev Handoff</t>
        </is>
      </c>
      <c r="E15" s="177" t="inlineStr">
        <is>
          <t>Approved requirement</t>
        </is>
      </c>
      <c r="F15" s="177" t="inlineStr">
        <is>
          <t>Assign / start / ready transitions</t>
        </is>
      </c>
      <c r="G15" s="177" t="inlineStr">
        <is>
          <t>1. Lead assigns dev
2. Dev starts work
3. Dev marks ready for QA</t>
        </is>
      </c>
      <c r="H15" s="177" t="inlineStr">
        <is>
          <t>dev user</t>
        </is>
      </c>
      <c r="I15" s="177" t="inlineStr">
        <is>
          <t>devStatus assigned -&gt; in_progress -&gt; ready_for_qa; each notifies</t>
        </is>
      </c>
      <c r="J15" s="177" t="inlineStr"/>
      <c r="K15" s="177" t="inlineStr"/>
      <c r="L15" s="177" t="inlineStr"/>
      <c r="M15" s="177" t="inlineStr"/>
    </row>
    <row r="16">
      <c r="A16" s="177" t="inlineStr">
        <is>
          <t>FUNC-015</t>
        </is>
      </c>
      <c r="B16" s="177" t="inlineStr"/>
      <c r="C16" s="177" t="inlineStr">
        <is>
          <t>Dev Handoff</t>
        </is>
      </c>
      <c r="D16" s="177" t="inlineStr">
        <is>
          <t>Dev Handoff</t>
        </is>
      </c>
      <c r="E16" s="177" t="inlineStr">
        <is>
          <t>ready_for_qa requirement (CR046)</t>
        </is>
      </c>
      <c r="F16" s="177" t="inlineStr">
        <is>
          <t>Return to Dev</t>
        </is>
      </c>
      <c r="G16" s="177" t="inlineStr">
        <is>
          <t>1. QA opens requirement
2. Return to Dev with reason</t>
        </is>
      </c>
      <c r="H16" s="177" t="inlineStr">
        <is>
          <t>QA user</t>
        </is>
      </c>
      <c r="I16" s="177" t="inlineStr">
        <is>
          <t>devStatus -&gt; in_progress; dev + dev_lead notified; timeline resumes develop</t>
        </is>
      </c>
      <c r="J16" s="177" t="inlineStr"/>
      <c r="K16" s="177" t="inlineStr"/>
      <c r="L16" s="177" t="inlineStr"/>
      <c r="M16" s="177" t="inlineStr"/>
    </row>
    <row r="17">
      <c r="A17" s="177" t="inlineStr">
        <is>
          <t>FUNC-016</t>
        </is>
      </c>
      <c r="B17" s="177" t="inlineStr"/>
      <c r="C17" s="177" t="inlineStr">
        <is>
          <t>Requirements</t>
        </is>
      </c>
      <c r="D17" s="177" t="inlineStr">
        <is>
          <t>Requirements</t>
        </is>
      </c>
      <c r="E17" s="177" t="inlineStr">
        <is>
          <t>approved requirement in dev (CR053)</t>
        </is>
      </c>
      <c r="F17" s="177" t="inlineStr">
        <is>
          <t>Return to FA</t>
        </is>
      </c>
      <c r="G17" s="177" t="inlineStr">
        <is>
          <t>1. Dev/QA opens Requirement Issue
2. Return to FA with reason</t>
        </is>
      </c>
      <c r="H17" s="177" t="inlineStr">
        <is>
          <t>dev/QA user</t>
        </is>
      </c>
      <c r="I17" s="177" t="inlineStr">
        <is>
          <t>Status -&gt; rejected to author; FA notified; dev handoff reset; timeline new cycle</t>
        </is>
      </c>
      <c r="J17" s="177" t="inlineStr"/>
      <c r="K17" s="177" t="inlineStr"/>
      <c r="L17" s="177" t="inlineStr"/>
      <c r="M17" s="177" t="inlineStr"/>
    </row>
    <row r="18">
      <c r="A18" s="177" t="inlineStr">
        <is>
          <t>FUNC-017</t>
        </is>
      </c>
      <c r="B18" s="177" t="inlineStr"/>
      <c r="C18" s="177" t="inlineStr">
        <is>
          <t>Test Cases</t>
        </is>
      </c>
      <c r="D18" s="177" t="inlineStr">
        <is>
          <t>Test Cases</t>
        </is>
      </c>
      <c r="E18" s="177" t="inlineStr">
        <is>
          <t>Test Cases page</t>
        </is>
      </c>
      <c r="F18" s="177" t="inlineStr">
        <is>
          <t>Create library test case</t>
        </is>
      </c>
      <c r="G18" s="177" t="inlineStr">
        <is>
          <t>1. Create a TC with steps, expected, tags, priority
2. Save</t>
        </is>
      </c>
      <c r="H18" s="177" t="inlineStr">
        <is>
          <t>new TC</t>
        </is>
      </c>
      <c r="I18" s="177" t="inlineStr">
        <is>
          <t>TC saved to library; searchable</t>
        </is>
      </c>
      <c r="J18" s="177" t="inlineStr"/>
      <c r="K18" s="177" t="inlineStr"/>
      <c r="L18" s="177" t="inlineStr"/>
      <c r="M18" s="177" t="inlineStr"/>
    </row>
    <row r="19">
      <c r="A19" s="177" t="inlineStr">
        <is>
          <t>FUNC-018</t>
        </is>
      </c>
      <c r="B19" s="177" t="inlineStr"/>
      <c r="C19" s="177" t="inlineStr">
        <is>
          <t>Test Cases</t>
        </is>
      </c>
      <c r="D19" s="177" t="inlineStr">
        <is>
          <t>Test Cases</t>
        </is>
      </c>
      <c r="E19" s="177" t="inlineStr">
        <is>
          <t>TC library (CR006)</t>
        </is>
      </c>
      <c r="F19" s="177" t="inlineStr">
        <is>
          <t>Natural-language search</t>
        </is>
      </c>
      <c r="G19" s="177" t="inlineStr">
        <is>
          <t>1. Type a plain-English query in the NL search bar</t>
        </is>
      </c>
      <c r="H19" s="177" t="inlineStr">
        <is>
          <t>NL query</t>
        </is>
      </c>
      <c r="I19" s="177" t="inlineStr">
        <is>
          <t>Relevant TCs returned</t>
        </is>
      </c>
      <c r="J19" s="177" t="inlineStr"/>
      <c r="K19" s="177" t="inlineStr"/>
      <c r="L19" s="177" t="inlineStr"/>
      <c r="M19" s="177" t="inlineStr"/>
    </row>
    <row r="20">
      <c r="A20" s="177" t="inlineStr">
        <is>
          <t>FUNC-019</t>
        </is>
      </c>
      <c r="B20" s="177" t="inlineStr"/>
      <c r="C20" s="177" t="inlineStr">
        <is>
          <t>Test Cases</t>
        </is>
      </c>
      <c r="D20" s="177" t="inlineStr">
        <is>
          <t>Test Cases</t>
        </is>
      </c>
      <c r="E20" s="177" t="inlineStr">
        <is>
          <t>Requirement selected (CR015)</t>
        </is>
      </c>
      <c r="F20" s="177" t="inlineStr">
        <is>
          <t>AI TC generation from requirement</t>
        </is>
      </c>
      <c r="G20" s="177" t="inlineStr">
        <is>
          <t>1. Trigger AI TC generation for a requirement</t>
        </is>
      </c>
      <c r="H20" s="177" t="inlineStr">
        <is>
          <t>requirement</t>
        </is>
      </c>
      <c r="I20" s="177" t="inlineStr">
        <is>
          <t>Draft TCs generated and linkable to the requirement</t>
        </is>
      </c>
      <c r="J20" s="177" t="inlineStr"/>
      <c r="K20" s="177" t="inlineStr"/>
      <c r="L20" s="177" t="inlineStr"/>
      <c r="M20" s="177" t="inlineStr"/>
    </row>
    <row r="21">
      <c r="A21" s="177" t="inlineStr">
        <is>
          <t>FUNC-020</t>
        </is>
      </c>
      <c r="B21" s="177" t="inlineStr"/>
      <c r="C21" s="177" t="inlineStr">
        <is>
          <t>Test Cases</t>
        </is>
      </c>
      <c r="D21" s="177" t="inlineStr">
        <is>
          <t>Test Cases</t>
        </is>
      </c>
      <c r="E21" s="177" t="inlineStr">
        <is>
          <t>TCs selected (CR003)</t>
        </is>
      </c>
      <c r="F21" s="177" t="inlineStr">
        <is>
          <t>Compile TCs to execution file</t>
        </is>
      </c>
      <c r="G21" s="177" t="inlineStr">
        <is>
          <t>1. Select TCs
2. Compile &gt; add to existing / create new execution file</t>
        </is>
      </c>
      <c r="H21" s="177" t="inlineStr">
        <is>
          <t>selected TCs</t>
        </is>
      </c>
      <c r="I21" s="177" t="inlineStr">
        <is>
          <t>Execution file created/updated, pre-populated from TC metadata</t>
        </is>
      </c>
      <c r="J21" s="177" t="inlineStr"/>
      <c r="K21" s="177" t="inlineStr"/>
      <c r="L21" s="177" t="inlineStr"/>
      <c r="M21" s="177" t="inlineStr"/>
    </row>
    <row r="22">
      <c r="A22" s="177" t="inlineStr">
        <is>
          <t>FUNC-021</t>
        </is>
      </c>
      <c r="B22" s="177" t="inlineStr"/>
      <c r="C22" s="177" t="inlineStr">
        <is>
          <t>Execution</t>
        </is>
      </c>
      <c r="D22" s="177" t="inlineStr">
        <is>
          <t>Execution</t>
        </is>
      </c>
      <c r="E22" s="177" t="inlineStr">
        <is>
          <t>Project access (CR022)</t>
        </is>
      </c>
      <c r="F22" s="177" t="inlineStr">
        <is>
          <t>Create execution file (QA + UAT)</t>
        </is>
      </c>
      <c r="G22" s="177" t="inlineStr">
        <is>
          <t>1. Create a QA file (milestone set)
2. Create a UAT file (milestone set)</t>
        </is>
      </c>
      <c r="H22" s="177" t="inlineStr">
        <is>
          <t>file type + milestone</t>
        </is>
      </c>
      <c r="I22" s="177" t="inlineStr">
        <is>
          <t>Both created with correct type and milestone link</t>
        </is>
      </c>
      <c r="J22" s="177" t="inlineStr"/>
      <c r="K22" s="177" t="inlineStr"/>
      <c r="L22" s="177" t="inlineStr"/>
      <c r="M22" s="177" t="inlineStr"/>
    </row>
    <row r="23">
      <c r="A23" s="177" t="inlineStr">
        <is>
          <t>FUNC-022</t>
        </is>
      </c>
      <c r="B23" s="177" t="inlineStr"/>
      <c r="C23" s="177" t="inlineStr">
        <is>
          <t>Execution</t>
        </is>
      </c>
      <c r="D23" s="177" t="inlineStr">
        <is>
          <t>Execution</t>
        </is>
      </c>
      <c r="E23" s="177" t="inlineStr">
        <is>
          <t>Execution file open (CR008)</t>
        </is>
      </c>
      <c r="F23" s="177" t="inlineStr">
        <is>
          <t>Execute vs Edit mode</t>
        </is>
      </c>
      <c r="G23" s="177" t="inlineStr">
        <is>
          <t>1. Toggle Execute mode
2. Toggle Edit mode</t>
        </is>
      </c>
      <c r="H23" s="177" t="inlineStr">
        <is>
          <t>-</t>
        </is>
      </c>
      <c r="I23" s="177" t="inlineStr">
        <is>
          <t>Execute shows ResultPills; Edit allows structural changes; dirty indicator tracks unsaved</t>
        </is>
      </c>
      <c r="J23" s="177" t="inlineStr"/>
      <c r="K23" s="177" t="inlineStr"/>
      <c r="L23" s="177" t="inlineStr"/>
      <c r="M23" s="177" t="inlineStr"/>
    </row>
    <row r="24">
      <c r="A24" s="177" t="inlineStr">
        <is>
          <t>FUNC-023</t>
        </is>
      </c>
      <c r="B24" s="177" t="inlineStr"/>
      <c r="C24" s="177" t="inlineStr">
        <is>
          <t>Execution</t>
        </is>
      </c>
      <c r="D24" s="177" t="inlineStr">
        <is>
          <t>Execution</t>
        </is>
      </c>
      <c r="E24" s="177" t="inlineStr">
        <is>
          <t>Execution file with TCs</t>
        </is>
      </c>
      <c r="F24" s="177" t="inlineStr">
        <is>
          <t>Record pass / fail / blocked</t>
        </is>
      </c>
      <c r="G24" s="177" t="inlineStr">
        <is>
          <t>1. Mark TCs Pass, Fail, Blocked
2. Save</t>
        </is>
      </c>
      <c r="H24" s="177" t="inlineStr">
        <is>
          <t>results</t>
        </is>
      </c>
      <c r="I24" s="177" t="inlineStr">
        <is>
          <t>Results persist; pass rate + counts update</t>
        </is>
      </c>
      <c r="J24" s="177" t="inlineStr"/>
      <c r="K24" s="177" t="inlineStr"/>
      <c r="L24" s="177" t="inlineStr"/>
      <c r="M24" s="177" t="inlineStr"/>
    </row>
    <row r="25">
      <c r="A25" s="177" t="inlineStr">
        <is>
          <t>FUNC-024</t>
        </is>
      </c>
      <c r="B25" s="177" t="inlineStr"/>
      <c r="C25" s="177" t="inlineStr">
        <is>
          <t>Execution</t>
        </is>
      </c>
      <c r="D25" s="177" t="inlineStr">
        <is>
          <t>Execution</t>
        </is>
      </c>
      <c r="E25" s="177" t="inlineStr">
        <is>
          <t>Execution file open</t>
        </is>
      </c>
      <c r="F25" s="177" t="inlineStr">
        <is>
          <t>Views: Tree / Spreadsheet / Focus</t>
        </is>
      </c>
      <c r="G25" s="177" t="inlineStr">
        <is>
          <t>1. Switch between Tree, Spreadsheet, and Focus views</t>
        </is>
      </c>
      <c r="H25" s="177" t="inlineStr">
        <is>
          <t>-</t>
        </is>
      </c>
      <c r="I25" s="177" t="inlineStr">
        <is>
          <t>Same data rendered consistently in each view</t>
        </is>
      </c>
      <c r="J25" s="177" t="inlineStr"/>
      <c r="K25" s="177" t="inlineStr"/>
      <c r="L25" s="177" t="inlineStr"/>
      <c r="M25" s="177" t="inlineStr"/>
    </row>
    <row r="26">
      <c r="A26" s="177" t="inlineStr">
        <is>
          <t>FUNC-025</t>
        </is>
      </c>
      <c r="B26" s="177" t="inlineStr"/>
      <c r="C26" s="177" t="inlineStr">
        <is>
          <t>Execution</t>
        </is>
      </c>
      <c r="D26" s="177" t="inlineStr">
        <is>
          <t>Execution</t>
        </is>
      </c>
      <c r="E26" s="177" t="inlineStr">
        <is>
          <t>Executed file (CR002)</t>
        </is>
      </c>
      <c r="F26" s="177" t="inlineStr">
        <is>
          <t>Download auto-filled Excel</t>
        </is>
      </c>
      <c r="G26" s="177" t="inlineStr">
        <is>
          <t>1. Download Excel</t>
        </is>
      </c>
      <c r="H26" s="177" t="inlineStr">
        <is>
          <t>-</t>
        </is>
      </c>
      <c r="I26" s="177" t="inlineStr">
        <is>
          <t>Review Log, Effort, Pareto, CAPA sheets auto-populated</t>
        </is>
      </c>
      <c r="J26" s="177" t="inlineStr"/>
      <c r="K26" s="177" t="inlineStr"/>
      <c r="L26" s="177" t="inlineStr"/>
      <c r="M26" s="177" t="inlineStr"/>
    </row>
    <row r="27">
      <c r="A27" s="177" t="inlineStr">
        <is>
          <t>FUNC-026</t>
        </is>
      </c>
      <c r="B27" s="177" t="inlineStr"/>
      <c r="C27" s="177" t="inlineStr">
        <is>
          <t>Verdict</t>
        </is>
      </c>
      <c r="D27" s="177" t="inlineStr">
        <is>
          <t>Verdict</t>
        </is>
      </c>
      <c r="E27" s="177" t="inlineStr">
        <is>
          <t>Executed file (CR001)</t>
        </is>
      </c>
      <c r="F27" s="177" t="inlineStr">
        <is>
          <t>Send verdict email with attachment</t>
        </is>
      </c>
      <c r="G27" s="177" t="inlineStr">
        <is>
          <t>1. Open Send Verdict
2. Pick contacts (to/cc)
3. Send</t>
        </is>
      </c>
      <c r="H27" s="177" t="inlineStr">
        <is>
          <t>contacts</t>
        </is>
      </c>
      <c r="I27" s="177" t="inlineStr">
        <is>
          <t>Email sent with Excel attachment; verdict recorded</t>
        </is>
      </c>
      <c r="J27" s="177" t="inlineStr"/>
      <c r="K27" s="177" t="inlineStr"/>
      <c r="L27" s="177" t="inlineStr"/>
      <c r="M27" s="177" t="inlineStr"/>
    </row>
    <row r="28">
      <c r="A28" s="177" t="inlineStr">
        <is>
          <t>FUNC-027</t>
        </is>
      </c>
      <c r="B28" s="177" t="inlineStr"/>
      <c r="C28" s="177" t="inlineStr">
        <is>
          <t>Defects</t>
        </is>
      </c>
      <c r="D28" s="177" t="inlineStr">
        <is>
          <t>Defects</t>
        </is>
      </c>
      <c r="E28" s="177" t="inlineStr">
        <is>
          <t>Project + Redmine config</t>
        </is>
      </c>
      <c r="F28" s="177" t="inlineStr">
        <is>
          <t>Create defect (write-through Redmine)</t>
        </is>
      </c>
      <c r="G28" s="177" t="inlineStr">
        <is>
          <t>1. Create a defect with severity, module, assignee</t>
        </is>
      </c>
      <c r="H28" s="177" t="inlineStr">
        <is>
          <t>new defect</t>
        </is>
      </c>
      <c r="I28" s="177" t="inlineStr">
        <is>
          <t>Local defect + Redmine issue created; DEF-code assigned</t>
        </is>
      </c>
      <c r="J28" s="177" t="inlineStr"/>
      <c r="K28" s="177" t="inlineStr"/>
      <c r="L28" s="177" t="inlineStr"/>
      <c r="M28" s="177" t="inlineStr"/>
    </row>
    <row r="29">
      <c r="A29" s="177" t="inlineStr">
        <is>
          <t>FUNC-028</t>
        </is>
      </c>
      <c r="B29" s="177" t="inlineStr"/>
      <c r="C29" s="177" t="inlineStr">
        <is>
          <t>Defects</t>
        </is>
      </c>
      <c r="D29" s="177" t="inlineStr">
        <is>
          <t>Defects</t>
        </is>
      </c>
      <c r="E29" s="177" t="inlineStr">
        <is>
          <t>Open defect (CR030)</t>
        </is>
      </c>
      <c r="F29" s="177" t="inlineStr">
        <is>
          <t>Assign defect to dev</t>
        </is>
      </c>
      <c r="G29" s="177" t="inlineStr">
        <is>
          <t>1. Assign the defect to a developer</t>
        </is>
      </c>
      <c r="H29" s="177" t="inlineStr">
        <is>
          <t>dev user</t>
        </is>
      </c>
      <c r="I29" s="177" t="inlineStr">
        <is>
          <t>assigneeId set; dev notified</t>
        </is>
      </c>
      <c r="J29" s="177" t="inlineStr"/>
      <c r="K29" s="177" t="inlineStr"/>
      <c r="L29" s="177" t="inlineStr"/>
      <c r="M29" s="177" t="inlineStr"/>
    </row>
    <row r="30">
      <c r="A30" s="177" t="inlineStr">
        <is>
          <t>FUNC-029</t>
        </is>
      </c>
      <c r="B30" s="177" t="inlineStr"/>
      <c r="C30" s="177" t="inlineStr">
        <is>
          <t>Defects</t>
        </is>
      </c>
      <c r="D30" s="177" t="inlineStr">
        <is>
          <t>Defects</t>
        </is>
      </c>
      <c r="E30" s="177" t="inlineStr">
        <is>
          <t>Defect assigned (CR050)</t>
        </is>
      </c>
      <c r="F30" s="177" t="inlineStr">
        <is>
          <t>Status change / retest / reopen</t>
        </is>
      </c>
      <c r="G30" s="177" t="inlineStr">
        <is>
          <t>1. Move Fixed
2. Move back to In Progress (reopen)</t>
        </is>
      </c>
      <c r="H30" s="177" t="inlineStr">
        <is>
          <t>status flow</t>
        </is>
      </c>
      <c r="I30" s="177" t="inlineStr">
        <is>
          <t>Retest-needed + reopen notifications fire to the right people</t>
        </is>
      </c>
      <c r="J30" s="177" t="inlineStr"/>
      <c r="K30" s="177" t="inlineStr"/>
      <c r="L30" s="177" t="inlineStr"/>
      <c r="M30" s="177" t="inlineStr"/>
    </row>
    <row r="31">
      <c r="A31" s="177" t="inlineStr">
        <is>
          <t>FUNC-030</t>
        </is>
      </c>
      <c r="B31" s="177" t="inlineStr"/>
      <c r="C31" s="177" t="inlineStr">
        <is>
          <t>Defects</t>
        </is>
      </c>
      <c r="D31" s="177" t="inlineStr">
        <is>
          <t>Defects</t>
        </is>
      </c>
      <c r="E31" s="177" t="inlineStr">
        <is>
          <t>Defects exist (CR019/020)</t>
        </is>
      </c>
      <c r="F31" s="177" t="inlineStr">
        <is>
          <t>QA / Production tabs + escape analysis</t>
        </is>
      </c>
      <c r="G31" s="177" t="inlineStr">
        <is>
          <t>1. Open Defects
2. Switch QA / Production / Requirement tabs</t>
        </is>
      </c>
      <c r="H31" s="177" t="inlineStr">
        <is>
          <t>-</t>
        </is>
      </c>
      <c r="I31" s="177" t="inlineStr">
        <is>
          <t>Tabs filter correctly; escape funnel + regression backfill shown</t>
        </is>
      </c>
      <c r="J31" s="177" t="inlineStr"/>
      <c r="K31" s="177" t="inlineStr"/>
      <c r="L31" s="177" t="inlineStr"/>
      <c r="M31" s="177" t="inlineStr"/>
    </row>
    <row r="32">
      <c r="A32" s="177" t="inlineStr">
        <is>
          <t>FUNC-031</t>
        </is>
      </c>
      <c r="B32" s="177" t="inlineStr"/>
      <c r="C32" s="177" t="inlineStr">
        <is>
          <t>Milestones</t>
        </is>
      </c>
      <c r="D32" s="177" t="inlineStr">
        <is>
          <t>Milestones</t>
        </is>
      </c>
      <c r="E32" s="177" t="inlineStr">
        <is>
          <t>PM logged in</t>
        </is>
      </c>
      <c r="F32" s="177" t="inlineStr">
        <is>
          <t>Create milestone with phases + env</t>
        </is>
      </c>
      <c r="G32" s="177" t="inlineStr">
        <is>
          <t>1. Create milestone with req/dev/qa/uat/go-live target dates and environment</t>
        </is>
      </c>
      <c r="H32" s="177" t="inlineStr">
        <is>
          <t>milestone</t>
        </is>
      </c>
      <c r="I32" s="177" t="inlineStr">
        <is>
          <t>Created with all phase dates + ENV; appears on dashboards</t>
        </is>
      </c>
      <c r="J32" s="177" t="inlineStr"/>
      <c r="K32" s="177" t="inlineStr"/>
      <c r="L32" s="177" t="inlineStr"/>
      <c r="M32" s="177" t="inlineStr"/>
    </row>
    <row r="33">
      <c r="A33" s="177" t="inlineStr">
        <is>
          <t>FUNC-032</t>
        </is>
      </c>
      <c r="B33" s="177" t="inlineStr"/>
      <c r="C33" s="177" t="inlineStr">
        <is>
          <t>Milestones</t>
        </is>
      </c>
      <c r="D33" s="177" t="inlineStr">
        <is>
          <t>Milestones</t>
        </is>
      </c>
      <c r="E33" s="177" t="inlineStr">
        <is>
          <t>Active milestone (CR033)</t>
        </is>
      </c>
      <c r="F33" s="177" t="inlineStr">
        <is>
          <t>Close milestone with lessons learned</t>
        </is>
      </c>
      <c r="G33" s="177" t="inlineStr">
        <is>
          <t>1. Close milestone
2. Enter lessons learned</t>
        </is>
      </c>
      <c r="H33" s="177" t="inlineStr">
        <is>
          <t>-</t>
        </is>
      </c>
      <c r="I33" s="177" t="inlineStr">
        <is>
          <t>Status completed; closedBy + lessons stored; Closing panel updates</t>
        </is>
      </c>
      <c r="J33" s="177" t="inlineStr"/>
      <c r="K33" s="177" t="inlineStr"/>
      <c r="L33" s="177" t="inlineStr"/>
      <c r="M33" s="177" t="inlineStr"/>
    </row>
    <row r="34">
      <c r="A34" s="177" t="inlineStr">
        <is>
          <t>FUNC-033</t>
        </is>
      </c>
      <c r="B34" s="177" t="inlineStr"/>
      <c r="C34" s="177" t="inlineStr">
        <is>
          <t>PM Dashboard</t>
        </is>
      </c>
      <c r="D34" s="177" t="inlineStr">
        <is>
          <t>PM Dashboard</t>
        </is>
      </c>
      <c r="E34" s="177" t="inlineStr">
        <is>
          <t>Milestone with activity (CR032)</t>
        </is>
      </c>
      <c r="F34" s="177" t="inlineStr">
        <is>
          <t>Phase timeline plan vs actual</t>
        </is>
      </c>
      <c r="G34" s="177" t="inlineStr">
        <is>
          <t>1. Open PM Dashboard
2. Select project + milestone</t>
        </is>
      </c>
      <c r="H34" s="177" t="inlineStr">
        <is>
          <t>seeded data</t>
        </is>
      </c>
      <c r="I34" s="177" t="inlineStr">
        <is>
          <t>Plan + Actual bars, variance chips, multi-cycle phases render</t>
        </is>
      </c>
      <c r="J34" s="177" t="inlineStr"/>
      <c r="K34" s="177" t="inlineStr"/>
      <c r="L34" s="177" t="inlineStr"/>
      <c r="M34" s="177" t="inlineStr"/>
    </row>
    <row r="35">
      <c r="A35" s="177" t="inlineStr">
        <is>
          <t>FUNC-034</t>
        </is>
      </c>
      <c r="B35" s="177" t="inlineStr"/>
      <c r="C35" s="177" t="inlineStr">
        <is>
          <t>PM Dashboard</t>
        </is>
      </c>
      <c r="D35" s="177" t="inlineStr">
        <is>
          <t>PM Dashboard</t>
        </is>
      </c>
      <c r="E35" s="177" t="inlineStr">
        <is>
          <t>Milestone selected</t>
        </is>
      </c>
      <c r="F35" s="177" t="inlineStr">
        <is>
          <t>KPI cards</t>
        </is>
      </c>
      <c r="G35" s="177" t="inlineStr">
        <is>
          <t>1. Review Burn Rate, SPI, First-Pass, Stability cards</t>
        </is>
      </c>
      <c r="H35" s="177" t="inlineStr">
        <is>
          <t>-</t>
        </is>
      </c>
      <c r="I35" s="177" t="inlineStr">
        <is>
          <t>Each computes and renders with correct severity coloring</t>
        </is>
      </c>
      <c r="J35" s="177" t="inlineStr"/>
      <c r="K35" s="177" t="inlineStr"/>
      <c r="L35" s="177" t="inlineStr"/>
      <c r="M35" s="177" t="inlineStr"/>
    </row>
    <row r="36">
      <c r="A36" s="177" t="inlineStr">
        <is>
          <t>FUNC-035</t>
        </is>
      </c>
      <c r="B36" s="177" t="inlineStr"/>
      <c r="C36" s="177" t="inlineStr">
        <is>
          <t>PM Dashboard</t>
        </is>
      </c>
      <c r="D36" s="177" t="inlineStr">
        <is>
          <t>PM Dashboard</t>
        </is>
      </c>
      <c r="E36" s="177" t="inlineStr">
        <is>
          <t>Milestone selected (CR037)</t>
        </is>
      </c>
      <c r="F36" s="177" t="inlineStr">
        <is>
          <t>AI milestone risk assessment</t>
        </is>
      </c>
      <c r="G36" s="177" t="inlineStr">
        <is>
          <t>1. Click Assess risk</t>
        </is>
      </c>
      <c r="H36" s="177" t="inlineStr">
        <is>
          <t>-</t>
        </is>
      </c>
      <c r="I36" s="177" t="inlineStr">
        <is>
          <t>Risk card returns level + rationale; stored in history</t>
        </is>
      </c>
      <c r="J36" s="177" t="inlineStr"/>
      <c r="K36" s="177" t="inlineStr"/>
      <c r="L36" s="177" t="inlineStr"/>
      <c r="M36" s="177" t="inlineStr"/>
    </row>
    <row r="37">
      <c r="A37" s="177" t="inlineStr">
        <is>
          <t>FUNC-036</t>
        </is>
      </c>
      <c r="B37" s="177" t="inlineStr"/>
      <c r="C37" s="177" t="inlineStr">
        <is>
          <t>Risk Register</t>
        </is>
      </c>
      <c r="D37" s="177" t="inlineStr">
        <is>
          <t>Risk Register</t>
        </is>
      </c>
      <c r="E37" s="177" t="inlineStr">
        <is>
          <t>Risk Register page (CR033/040)</t>
        </is>
      </c>
      <c r="F37" s="177" t="inlineStr">
        <is>
          <t>Add / view risks</t>
        </is>
      </c>
      <c r="G37" s="177" t="inlineStr">
        <is>
          <t>1. Add a risk (likelihood, impact, mitigation)</t>
        </is>
      </c>
      <c r="H37" s="177" t="inlineStr">
        <is>
          <t>risk</t>
        </is>
      </c>
      <c r="I37" s="177" t="inlineStr">
        <is>
          <t>Risk saved and listed; reachable by qa_lead/fa_lead too (CR040)</t>
        </is>
      </c>
      <c r="J37" s="177" t="inlineStr"/>
      <c r="K37" s="177" t="inlineStr"/>
      <c r="L37" s="177" t="inlineStr"/>
      <c r="M37" s="177" t="inlineStr"/>
    </row>
    <row r="38">
      <c r="A38" s="177" t="inlineStr">
        <is>
          <t>FUNC-037</t>
        </is>
      </c>
      <c r="B38" s="177" t="inlineStr"/>
      <c r="C38" s="177" t="inlineStr">
        <is>
          <t>Access</t>
        </is>
      </c>
      <c r="D38" s="177" t="inlineStr">
        <is>
          <t>Access</t>
        </is>
      </c>
      <c r="E38" s="177" t="inlineStr">
        <is>
          <t>Logged in as manager/admin (CR049)</t>
        </is>
      </c>
      <c r="F38" s="177" t="inlineStr">
        <is>
          <t>Create user (manager+)</t>
        </is>
      </c>
      <c r="G38" s="177" t="inlineStr">
        <is>
          <t>1. Create a team member with role + temp password</t>
        </is>
      </c>
      <c r="H38" s="177" t="inlineStr">
        <is>
          <t>new user</t>
        </is>
      </c>
      <c r="I38" s="177" t="inlineStr">
        <is>
          <t>User created (hashed password); can log in</t>
        </is>
      </c>
      <c r="J38" s="177" t="inlineStr"/>
      <c r="K38" s="177" t="inlineStr"/>
      <c r="L38" s="177" t="inlineStr"/>
      <c r="M38" s="177" t="inlineStr"/>
    </row>
    <row r="39">
      <c r="A39" s="177" t="inlineStr">
        <is>
          <t>FUNC-038</t>
        </is>
      </c>
      <c r="B39" s="177" t="inlineStr"/>
      <c r="C39" s="177" t="inlineStr">
        <is>
          <t>Access</t>
        </is>
      </c>
      <c r="D39" s="177" t="inlineStr">
        <is>
          <t>Access</t>
        </is>
      </c>
      <c r="E39" s="177" t="inlineStr">
        <is>
          <t>Project selected (CR044)</t>
        </is>
      </c>
      <c r="F39" s="177" t="inlineStr">
        <is>
          <t>Assign whole-project access</t>
        </is>
      </c>
      <c r="G39" s="177" t="inlineStr">
        <is>
          <t>1. Assign a user to a project with scope = Whole project</t>
        </is>
      </c>
      <c r="H39" s="177" t="inlineStr">
        <is>
          <t>user</t>
        </is>
      </c>
      <c r="I39" s="177" t="inlineStr">
        <is>
          <t>Member sees all modules of the project</t>
        </is>
      </c>
      <c r="J39" s="177" t="inlineStr"/>
      <c r="K39" s="177" t="inlineStr"/>
      <c r="L39" s="177" t="inlineStr"/>
      <c r="M39" s="177" t="inlineStr"/>
    </row>
    <row r="40">
      <c r="A40" s="177" t="inlineStr">
        <is>
          <t>FUNC-039</t>
        </is>
      </c>
      <c r="B40" s="177" t="inlineStr"/>
      <c r="C40" s="177" t="inlineStr">
        <is>
          <t>Access</t>
        </is>
      </c>
      <c r="D40" s="177" t="inlineStr">
        <is>
          <t>Access</t>
        </is>
      </c>
      <c r="E40" s="177" t="inlineStr">
        <is>
          <t>Project with modules (CR044)</t>
        </is>
      </c>
      <c r="F40" s="177" t="inlineStr">
        <is>
          <t>Assign multi-module scope</t>
        </is>
      </c>
      <c r="G40" s="177" t="inlineStr">
        <is>
          <t>1. Assign a user, multi-select 2 of 3 modules</t>
        </is>
      </c>
      <c r="H40" s="177" t="inlineStr">
        <is>
          <t>user + 2 modules</t>
        </is>
      </c>
      <c r="I40" s="177" t="inlineStr">
        <is>
          <t>Member sees only those 2 modules' records</t>
        </is>
      </c>
      <c r="J40" s="177" t="inlineStr"/>
      <c r="K40" s="177" t="inlineStr"/>
      <c r="L40" s="177" t="inlineStr"/>
      <c r="M40" s="177" t="inlineStr"/>
    </row>
    <row r="41">
      <c r="A41" s="177" t="inlineStr">
        <is>
          <t>FUNC-040</t>
        </is>
      </c>
      <c r="B41" s="177" t="inlineStr"/>
      <c r="C41" s="177" t="inlineStr">
        <is>
          <t>Access</t>
        </is>
      </c>
      <c r="D41" s="177" t="inlineStr">
        <is>
          <t>Access</t>
        </is>
      </c>
      <c r="E41" s="177" t="inlineStr">
        <is>
          <t>Roles page (CR041/043)</t>
        </is>
      </c>
      <c r="F41" s="177" t="inlineStr">
        <is>
          <t>Roles matrix + RACI overlay</t>
        </is>
      </c>
      <c r="G41" s="177" t="inlineStr">
        <is>
          <t>1. Open Roles
2. Toggle Access / RACI views</t>
        </is>
      </c>
      <c r="H41" s="177" t="inlineStr">
        <is>
          <t>admin</t>
        </is>
      </c>
      <c r="I41" s="177" t="inlineStr">
        <is>
          <t>Live permission matrix + RACI letters + gap flags render</t>
        </is>
      </c>
      <c r="J41" s="177" t="inlineStr"/>
      <c r="K41" s="177" t="inlineStr"/>
      <c r="L41" s="177" t="inlineStr"/>
      <c r="M41" s="177" t="inlineStr"/>
    </row>
    <row r="42">
      <c r="A42" s="177" t="inlineStr">
        <is>
          <t>FUNC-041</t>
        </is>
      </c>
      <c r="B42" s="177" t="inlineStr"/>
      <c r="C42" s="177" t="inlineStr">
        <is>
          <t>Notifications</t>
        </is>
      </c>
      <c r="D42" s="177" t="inlineStr">
        <is>
          <t>Notifications</t>
        </is>
      </c>
      <c r="E42" s="177" t="inlineStr">
        <is>
          <t>Logged in (CR027)</t>
        </is>
      </c>
      <c r="F42" s="177" t="inlineStr">
        <is>
          <t>Bell real-time (SSE)</t>
        </is>
      </c>
      <c r="G42" s="177" t="inlineStr">
        <is>
          <t>1. Trigger an event that notifies me from another session</t>
        </is>
      </c>
      <c r="H42" s="177" t="inlineStr">
        <is>
          <t>-</t>
        </is>
      </c>
      <c r="I42" s="177" t="inlineStr">
        <is>
          <t>Bell updates in near real-time without manual refresh</t>
        </is>
      </c>
      <c r="J42" s="177" t="inlineStr"/>
      <c r="K42" s="177" t="inlineStr"/>
      <c r="L42" s="177" t="inlineStr"/>
      <c r="M42" s="177" t="inlineStr"/>
    </row>
    <row r="43">
      <c r="A43" s="177" t="inlineStr">
        <is>
          <t>FUNC-042</t>
        </is>
      </c>
      <c r="B43" s="177" t="inlineStr"/>
      <c r="C43" s="177" t="inlineStr">
        <is>
          <t>Notifications</t>
        </is>
      </c>
      <c r="D43" s="177" t="inlineStr">
        <is>
          <t>Notifications</t>
        </is>
      </c>
      <c r="E43" s="177" t="inlineStr">
        <is>
          <t>Notifications exist (CR027)</t>
        </is>
      </c>
      <c r="F43" s="177" t="inlineStr">
        <is>
          <t>Inbox filters + deep-link</t>
        </is>
      </c>
      <c r="G43" s="177" t="inlineStr">
        <is>
          <t>1. Filter Inbox by entity type
2. Click a notification</t>
        </is>
      </c>
      <c r="H43" s="177" t="inlineStr">
        <is>
          <t>-</t>
        </is>
      </c>
      <c r="I43" s="177" t="inlineStr">
        <is>
          <t>Filter works; click navigates to the entity (row focus where supported)</t>
        </is>
      </c>
      <c r="J43" s="177" t="inlineStr"/>
      <c r="K43" s="177" t="inlineStr"/>
      <c r="L43" s="177" t="inlineStr"/>
      <c r="M43" s="177" t="inlineStr"/>
    </row>
    <row r="44">
      <c r="A44" s="177" t="inlineStr">
        <is>
          <t>FUNC-043</t>
        </is>
      </c>
      <c r="B44" s="177" t="inlineStr"/>
      <c r="C44" s="177" t="inlineStr">
        <is>
          <t>Contacts</t>
        </is>
      </c>
      <c r="D44" s="177" t="inlineStr">
        <is>
          <t>Contacts</t>
        </is>
      </c>
      <c r="E44" s="177" t="inlineStr">
        <is>
          <t>Config page (CR001)</t>
        </is>
      </c>
      <c r="F44" s="177" t="inlineStr">
        <is>
          <t>Manage + sync from Redmine</t>
        </is>
      </c>
      <c r="G44" s="177" t="inlineStr">
        <is>
          <t>1. Add a contact
2. Sync contacts from Redmine</t>
        </is>
      </c>
      <c r="H44" s="177" t="inlineStr">
        <is>
          <t>-</t>
        </is>
      </c>
      <c r="I44" s="177" t="inlineStr">
        <is>
          <t>Contact saved; Redmine sync imports names/emails</t>
        </is>
      </c>
      <c r="J44" s="177" t="inlineStr"/>
      <c r="K44" s="177" t="inlineStr"/>
      <c r="L44" s="177" t="inlineStr"/>
      <c r="M44" s="177" t="inlineStr"/>
    </row>
    <row r="45">
      <c r="A45" s="177" t="inlineStr">
        <is>
          <t>FUNC-044</t>
        </is>
      </c>
      <c r="B45" s="177" t="inlineStr"/>
      <c r="C45" s="177" t="inlineStr">
        <is>
          <t>Document Register</t>
        </is>
      </c>
      <c r="D45" s="177" t="inlineStr">
        <is>
          <t>Document Register</t>
        </is>
      </c>
      <c r="E45" s="177" t="inlineStr">
        <is>
          <t>Config/Settings</t>
        </is>
      </c>
      <c r="F45" s="177" t="inlineStr">
        <is>
          <t>CRUD entries</t>
        </is>
      </c>
      <c r="G45" s="177" t="inlineStr">
        <is>
          <t>1. Add, edit, delete a document register entry</t>
        </is>
      </c>
      <c r="H45" s="177" t="inlineStr">
        <is>
          <t>-</t>
        </is>
      </c>
      <c r="I45" s="177" t="inlineStr">
        <is>
          <t>Entries persist and list correctly</t>
        </is>
      </c>
      <c r="J45" s="177" t="inlineStr"/>
      <c r="K45" s="177" t="inlineStr"/>
      <c r="L45" s="177" t="inlineStr"/>
      <c r="M45" s="177" t="inlineStr"/>
    </row>
    <row r="46">
      <c r="A46" s="177" t="inlineStr">
        <is>
          <t>FUNC-045</t>
        </is>
      </c>
      <c r="B46" s="177" t="inlineStr"/>
      <c r="C46" s="177" t="inlineStr">
        <is>
          <t>Audit Log</t>
        </is>
      </c>
      <c r="D46" s="177" t="inlineStr">
        <is>
          <t>Audit Log</t>
        </is>
      </c>
      <c r="E46" s="177" t="inlineStr">
        <is>
          <t>Admin logged in (CR011)</t>
        </is>
      </c>
      <c r="F46" s="177" t="inlineStr">
        <is>
          <t>Admin audit trail</t>
        </is>
      </c>
      <c r="G46" s="177" t="inlineStr">
        <is>
          <t>1. Open Audit Log
2. Filter by entity</t>
        </is>
      </c>
      <c r="H46" s="177" t="inlineStr">
        <is>
          <t>admin</t>
        </is>
      </c>
      <c r="I46" s="177" t="inlineStr">
        <is>
          <t>Activity entries with actor, diff, timestamp shown</t>
        </is>
      </c>
      <c r="J46" s="177" t="inlineStr"/>
      <c r="K46" s="177" t="inlineStr"/>
      <c r="L46" s="177" t="inlineStr"/>
      <c r="M46" s="177" t="inlineStr"/>
    </row>
    <row r="47">
      <c r="A47" s="177" t="inlineStr">
        <is>
          <t>FUNC-046</t>
        </is>
      </c>
      <c r="B47" s="177" t="inlineStr"/>
      <c r="C47" s="177" t="inlineStr">
        <is>
          <t>QA Analytics</t>
        </is>
      </c>
      <c r="D47" s="177" t="inlineStr">
        <is>
          <t>QA Analytics</t>
        </is>
      </c>
      <c r="E47" s="177" t="inlineStr">
        <is>
          <t>QA lead+ (CR026)</t>
        </is>
      </c>
      <c r="F47" s="177" t="inlineStr">
        <is>
          <t>Trend dashboard</t>
        </is>
      </c>
      <c r="G47" s="177" t="inlineStr">
        <is>
          <t>1. Open QA Analytics</t>
        </is>
      </c>
      <c r="H47" s="177" t="inlineStr">
        <is>
          <t>-</t>
        </is>
      </c>
      <c r="I47" s="177" t="inlineStr">
        <is>
          <t>Execution trend, velocity, pass-by-milestone, defect density/escape render</t>
        </is>
      </c>
      <c r="J47" s="177" t="inlineStr"/>
      <c r="K47" s="177" t="inlineStr"/>
      <c r="L47" s="177" t="inlineStr"/>
      <c r="M47" s="177" t="inlineStr"/>
    </row>
    <row r="48">
      <c r="A48" s="177" t="inlineStr">
        <is>
          <t>FUNC-047</t>
        </is>
      </c>
      <c r="B48" s="177" t="inlineStr"/>
      <c r="C48" s="177" t="inlineStr">
        <is>
          <t>Resources</t>
        </is>
      </c>
      <c r="D48" s="177" t="inlineStr">
        <is>
          <t>Resources</t>
        </is>
      </c>
      <c r="E48" s="177" t="inlineStr">
        <is>
          <t>Lead+ (CR034/038)</t>
        </is>
      </c>
      <c r="F48" s="177" t="inlineStr">
        <is>
          <t>Capacity view</t>
        </is>
      </c>
      <c r="G48" s="177" t="inlineStr">
        <is>
          <t>1. Open Resources / Capacity</t>
        </is>
      </c>
      <c r="H48" s="177" t="inlineStr">
        <is>
          <t>-</t>
        </is>
      </c>
      <c r="I48" s="177" t="inlineStr">
        <is>
          <t>Active/idle/closed milestone focus + utilization % (Dev/PM) render</t>
        </is>
      </c>
      <c r="J48" s="177" t="inlineStr"/>
      <c r="K48" s="177" t="inlineStr"/>
      <c r="L48" s="177" t="inlineStr"/>
      <c r="M48" s="177" t="inlineStr"/>
    </row>
    <row r="49">
      <c r="A49" s="177" t="inlineStr">
        <is>
          <t>FUNC-048</t>
        </is>
      </c>
      <c r="B49" s="177" t="inlineStr"/>
      <c r="C49" s="177" t="inlineStr">
        <is>
          <t>Traceability</t>
        </is>
      </c>
      <c r="D49" s="177" t="inlineStr">
        <is>
          <t>Traceability</t>
        </is>
      </c>
      <c r="E49" s="177" t="inlineStr">
        <is>
          <t>Linked data (CR005/016)</t>
        </is>
      </c>
      <c r="F49" s="177" t="inlineStr">
        <is>
          <t>Matrix with coverage</t>
        </is>
      </c>
      <c r="G49" s="177" t="inlineStr">
        <is>
          <t>1. Open Traceability
2. Select project</t>
        </is>
      </c>
      <c r="H49" s="177" t="inlineStr">
        <is>
          <t>-</t>
        </is>
      </c>
      <c r="I49" s="177" t="inlineStr">
        <is>
          <t>Req -&gt; TC -&gt; execution result matrix; grouped; Excel export works</t>
        </is>
      </c>
      <c r="J49" s="177" t="inlineStr"/>
      <c r="K49" s="177" t="inlineStr"/>
      <c r="L49" s="177" t="inlineStr"/>
      <c r="M49" s="177" t="inlineStr"/>
    </row>
    <row r="50">
      <c r="A50" s="177" t="inlineStr">
        <is>
          <t>FUNC-049</t>
        </is>
      </c>
      <c r="B50" s="177" t="inlineStr"/>
      <c r="C50" s="177" t="inlineStr">
        <is>
          <t>PMO</t>
        </is>
      </c>
      <c r="D50" s="177" t="inlineStr">
        <is>
          <t>PMO</t>
        </is>
      </c>
      <c r="E50" s="177" t="inlineStr">
        <is>
          <t>PMO user (CR-PMO)</t>
        </is>
      </c>
      <c r="F50" s="177" t="inlineStr">
        <is>
          <t>PMO report portal</t>
        </is>
      </c>
      <c r="G50" s="177" t="inlineStr">
        <is>
          <t>1. Log in as pmo
2. Open PMO report</t>
        </is>
      </c>
      <c r="H50" s="177" t="inlineStr">
        <is>
          <t>pmo user</t>
        </is>
      </c>
      <c r="I50" s="177" t="inlineStr">
        <is>
          <t>Self-contained PMO portal renders; can send report/verdict</t>
        </is>
      </c>
      <c r="J50" s="177" t="inlineStr"/>
      <c r="K50" s="177" t="inlineStr"/>
      <c r="L50" s="177" t="inlineStr"/>
      <c r="M50" s="177" t="inlineStr"/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selection activeCell="F16" sqref="F16"/>
    </sheetView>
  </sheetViews>
  <sheetFormatPr baseColWidth="10" defaultColWidth="8.83203125" defaultRowHeight="15"/>
  <cols>
    <col width="1.83203125" customWidth="1" min="1" max="1"/>
    <col width="6.1640625" customWidth="1" min="2" max="2"/>
    <col width="16.83203125" customWidth="1" min="4" max="4"/>
    <col width="14.1640625" customWidth="1" min="5" max="5"/>
    <col width="15.33203125" customWidth="1" min="6" max="6"/>
    <col width="31.5" customWidth="1" min="7" max="7"/>
  </cols>
  <sheetData>
    <row r="1" ht="16" customHeight="1" thickBot="1"/>
    <row r="2" ht="26" customHeight="1" thickBot="1">
      <c r="B2" s="162" t="inlineStr">
        <is>
          <t xml:space="preserve"> Review &amp; Rework Effort </t>
        </is>
      </c>
      <c r="C2" s="163" t="n"/>
      <c r="D2" s="163" t="n"/>
      <c r="E2" s="163" t="n"/>
      <c r="F2" s="163" t="n"/>
      <c r="G2" s="164" t="n"/>
    </row>
    <row r="3" ht="23.25" customHeight="1" thickBot="1">
      <c r="B3" s="132" t="inlineStr">
        <is>
          <t>To be filled by Reviewer</t>
        </is>
      </c>
      <c r="C3" s="163" t="n"/>
      <c r="D3" s="163" t="n"/>
      <c r="E3" s="164" t="n"/>
      <c r="F3" s="132" t="inlineStr">
        <is>
          <t>To be filled by Author</t>
        </is>
      </c>
      <c r="G3" s="164" t="n"/>
    </row>
    <row r="4" ht="57" customHeight="1" thickBot="1">
      <c r="B4" s="128" t="inlineStr">
        <is>
          <t>Sl #</t>
        </is>
      </c>
      <c r="C4" s="132" t="inlineStr">
        <is>
          <t xml:space="preserve">Review Cycle </t>
        </is>
      </c>
      <c r="D4" s="132" t="inlineStr">
        <is>
          <t>Document Name / 
Code, Module Name</t>
        </is>
      </c>
      <c r="E4" s="132" t="inlineStr">
        <is>
          <t>Total Time taken for Review 
(Hrs or Mins)</t>
        </is>
      </c>
      <c r="F4" s="132" t="inlineStr">
        <is>
          <t>Re-Work effort (Hrs or Mins)</t>
        </is>
      </c>
      <c r="G4" s="132" t="inlineStr">
        <is>
          <t>Remarks</t>
        </is>
      </c>
    </row>
    <row r="5">
      <c r="B5" s="54" t="n">
        <v>1</v>
      </c>
      <c r="C5" s="18" t="inlineStr">
        <is>
          <t>1st</t>
        </is>
      </c>
      <c r="D5" s="19" t="inlineStr">
        <is>
          <t>FWCMS</t>
        </is>
      </c>
      <c r="E5" s="86" t="inlineStr">
        <is>
          <t>1hrs</t>
        </is>
      </c>
      <c r="F5" s="85" t="inlineStr">
        <is>
          <t>1hrs</t>
        </is>
      </c>
      <c r="G5" s="20" t="n"/>
    </row>
    <row r="6">
      <c r="B6" s="55" t="n">
        <v>2</v>
      </c>
      <c r="C6" s="1" t="n"/>
      <c r="D6" s="2" t="n"/>
      <c r="E6" s="86" t="n"/>
      <c r="F6" s="59" t="n"/>
      <c r="G6" s="11" t="n"/>
    </row>
    <row r="7">
      <c r="B7" s="55" t="n"/>
      <c r="C7" s="1" t="n"/>
      <c r="D7" s="3" t="n"/>
      <c r="E7" s="58" t="n"/>
      <c r="F7" s="59" t="n"/>
      <c r="G7" s="11" t="n"/>
    </row>
    <row r="8">
      <c r="B8" s="55" t="n"/>
      <c r="C8" s="1" t="n"/>
      <c r="D8" s="3" t="n"/>
      <c r="E8" s="58" t="n"/>
      <c r="F8" s="59" t="n"/>
      <c r="G8" s="11" t="n"/>
    </row>
    <row r="9">
      <c r="B9" s="55" t="n"/>
      <c r="C9" s="1" t="n"/>
      <c r="D9" s="3" t="n"/>
      <c r="E9" s="58" t="n"/>
      <c r="F9" s="59" t="n"/>
      <c r="G9" s="11" t="n"/>
    </row>
    <row r="10">
      <c r="B10" s="55" t="n"/>
      <c r="C10" s="1" t="n"/>
      <c r="D10" s="3" t="n"/>
      <c r="E10" s="58" t="n"/>
      <c r="F10" s="59" t="n"/>
      <c r="G10" s="11" t="n"/>
    </row>
    <row r="11">
      <c r="B11" s="55" t="n"/>
      <c r="C11" s="1" t="n"/>
      <c r="D11" s="3" t="n"/>
      <c r="E11" s="58" t="n"/>
      <c r="F11" s="59" t="n"/>
      <c r="G11" s="11" t="n"/>
    </row>
    <row r="12">
      <c r="B12" s="56" t="n"/>
      <c r="C12" s="1" t="n"/>
      <c r="D12" s="3" t="n"/>
      <c r="E12" s="58" t="n"/>
      <c r="F12" s="59" t="n"/>
      <c r="G12" s="11" t="n"/>
    </row>
    <row r="13">
      <c r="B13" s="55" t="n"/>
      <c r="C13" s="1" t="n"/>
      <c r="D13" s="3" t="n"/>
      <c r="E13" s="58" t="n"/>
      <c r="F13" s="59" t="n"/>
      <c r="G13" s="11" t="n"/>
    </row>
    <row r="14">
      <c r="B14" s="55" t="n"/>
      <c r="C14" s="1" t="n"/>
      <c r="D14" s="3" t="n"/>
      <c r="E14" s="58" t="n"/>
      <c r="F14" s="59" t="n"/>
      <c r="G14" s="11" t="n"/>
    </row>
    <row r="15">
      <c r="B15" s="55" t="n"/>
      <c r="C15" s="1" t="n"/>
      <c r="D15" s="3" t="n"/>
      <c r="E15" s="58" t="n"/>
      <c r="F15" s="59" t="n"/>
      <c r="G15" s="11" t="n"/>
    </row>
    <row r="16">
      <c r="B16" s="55" t="n"/>
      <c r="C16" s="1" t="n"/>
      <c r="D16" s="3" t="n"/>
      <c r="E16" s="58" t="n"/>
      <c r="F16" s="59" t="n"/>
      <c r="G16" s="11" t="n"/>
    </row>
    <row r="17">
      <c r="B17" s="55" t="n"/>
      <c r="C17" s="1" t="n"/>
      <c r="D17" s="3" t="n"/>
      <c r="E17" s="58" t="n"/>
      <c r="F17" s="59" t="n"/>
      <c r="G17" s="11" t="n"/>
    </row>
    <row r="18">
      <c r="B18" s="55" t="n"/>
      <c r="C18" s="1" t="n"/>
      <c r="D18" s="3" t="n"/>
      <c r="E18" s="58" t="n"/>
      <c r="F18" s="59" t="n"/>
      <c r="G18" s="11" t="n"/>
    </row>
    <row r="19">
      <c r="B19" s="55" t="n"/>
      <c r="C19" s="5" t="n"/>
      <c r="D19" s="6" t="n"/>
      <c r="E19" s="58" t="n"/>
      <c r="F19" s="59" t="n"/>
      <c r="G19" s="11" t="n"/>
    </row>
    <row r="20">
      <c r="B20" s="55" t="n"/>
      <c r="C20" s="8" t="n"/>
      <c r="D20" s="9" t="n"/>
      <c r="E20" s="58" t="n"/>
      <c r="F20" s="59" t="n"/>
      <c r="G20" s="11" t="n"/>
    </row>
    <row r="21">
      <c r="B21" s="55" t="n"/>
      <c r="C21" s="8" t="n"/>
      <c r="D21" s="9" t="n"/>
      <c r="E21" s="58" t="n"/>
      <c r="F21" s="59" t="n"/>
      <c r="G21" s="11" t="n"/>
    </row>
    <row r="22">
      <c r="B22" s="114" t="n"/>
      <c r="C22" s="115" t="n"/>
      <c r="D22" s="116" t="n"/>
      <c r="E22" s="117" t="n"/>
      <c r="F22" s="118" t="n"/>
      <c r="G22" s="119" t="n"/>
    </row>
    <row r="23">
      <c r="B23" s="55" t="n"/>
      <c r="C23" s="1" t="n"/>
      <c r="D23" s="3" t="n"/>
      <c r="E23" s="58" t="n"/>
      <c r="F23" s="59" t="n"/>
      <c r="G23" s="11" t="n"/>
    </row>
    <row r="24">
      <c r="B24" s="55" t="n"/>
      <c r="C24" s="1" t="n"/>
      <c r="D24" s="3" t="n"/>
      <c r="E24" s="58" t="n"/>
      <c r="F24" s="59" t="n"/>
      <c r="G24" s="11" t="n"/>
    </row>
    <row r="25">
      <c r="B25" s="55" t="n"/>
      <c r="C25" s="1" t="n"/>
      <c r="D25" s="3" t="n"/>
      <c r="E25" s="58" t="n"/>
      <c r="F25" s="59" t="n"/>
      <c r="G25" s="11" t="n"/>
    </row>
    <row r="26">
      <c r="B26" s="55" t="n"/>
      <c r="C26" s="1" t="n"/>
      <c r="D26" s="3" t="n"/>
      <c r="E26" s="58" t="n"/>
      <c r="F26" s="59" t="n"/>
      <c r="G26" s="11" t="n"/>
    </row>
    <row r="27">
      <c r="B27" s="55" t="n"/>
      <c r="C27" s="1" t="n"/>
      <c r="D27" s="3" t="n"/>
      <c r="E27" s="58" t="n"/>
      <c r="F27" s="59" t="n"/>
      <c r="G27" s="11" t="n"/>
    </row>
    <row r="28">
      <c r="B28" s="55" t="n"/>
      <c r="C28" s="1" t="n"/>
      <c r="D28" s="3" t="n"/>
      <c r="E28" s="58" t="n"/>
      <c r="F28" s="59" t="n"/>
      <c r="G28" s="11" t="n"/>
    </row>
    <row r="29">
      <c r="B29" s="55" t="n"/>
      <c r="C29" s="1" t="n"/>
      <c r="D29" s="3" t="n"/>
      <c r="E29" s="58" t="n"/>
      <c r="F29" s="59" t="n"/>
      <c r="G29" s="11" t="n"/>
    </row>
    <row r="30">
      <c r="B30" s="55" t="n"/>
      <c r="C30" s="1" t="n"/>
      <c r="D30" s="3" t="n"/>
      <c r="E30" s="58" t="n"/>
      <c r="F30" s="59" t="n"/>
      <c r="G30" s="11" t="n"/>
    </row>
    <row r="31">
      <c r="B31" s="55" t="n"/>
      <c r="C31" s="1" t="n"/>
      <c r="D31" s="3" t="n"/>
      <c r="E31" s="58" t="n"/>
      <c r="F31" s="59" t="n"/>
      <c r="G31" s="11" t="n"/>
    </row>
    <row r="32">
      <c r="B32" s="55" t="n"/>
      <c r="C32" s="1" t="n"/>
      <c r="D32" s="3" t="n"/>
      <c r="E32" s="58" t="n"/>
      <c r="F32" s="59" t="n"/>
      <c r="G32" s="11" t="n"/>
    </row>
    <row r="33">
      <c r="B33" s="55" t="n"/>
      <c r="C33" s="1" t="n"/>
      <c r="D33" s="3" t="n"/>
      <c r="E33" s="58" t="n"/>
      <c r="F33" s="59" t="n"/>
      <c r="G33" s="11" t="n"/>
    </row>
    <row r="34">
      <c r="B34" s="55" t="n"/>
      <c r="C34" s="1" t="n"/>
      <c r="D34" s="3" t="n"/>
      <c r="E34" s="58" t="n"/>
      <c r="F34" s="59" t="n"/>
      <c r="G34" s="11" t="n"/>
    </row>
    <row r="35">
      <c r="B35" s="55" t="n"/>
      <c r="C35" s="1" t="n"/>
      <c r="D35" s="3" t="n"/>
      <c r="E35" s="58" t="n"/>
      <c r="F35" s="59" t="n"/>
      <c r="G35" s="11" t="n"/>
    </row>
    <row r="36">
      <c r="B36" s="55" t="n"/>
      <c r="C36" s="1" t="n"/>
      <c r="D36" s="3" t="n"/>
      <c r="E36" s="58" t="n"/>
      <c r="F36" s="59" t="n"/>
      <c r="G36" s="11" t="n"/>
    </row>
    <row r="37">
      <c r="B37" s="55" t="n"/>
      <c r="C37" s="1" t="n"/>
      <c r="D37" s="3" t="n"/>
      <c r="E37" s="58" t="n"/>
      <c r="F37" s="59" t="n"/>
      <c r="G37" s="11" t="n"/>
    </row>
    <row r="38">
      <c r="B38" s="55" t="n"/>
      <c r="C38" s="1" t="n"/>
      <c r="D38" s="3" t="n"/>
      <c r="E38" s="58" t="n"/>
      <c r="F38" s="59" t="n"/>
      <c r="G38" s="11" t="n"/>
    </row>
    <row r="39">
      <c r="B39" s="55" t="n"/>
      <c r="C39" s="1" t="n"/>
      <c r="D39" s="3" t="n"/>
      <c r="E39" s="58" t="n"/>
      <c r="F39" s="59" t="n"/>
      <c r="G39" s="11" t="n"/>
    </row>
    <row r="40">
      <c r="B40" s="55" t="n"/>
      <c r="C40" s="1" t="n"/>
      <c r="D40" s="3" t="n"/>
      <c r="E40" s="58" t="n"/>
      <c r="F40" s="59" t="n"/>
      <c r="G40" s="11" t="n"/>
    </row>
    <row r="41">
      <c r="B41" s="55" t="n"/>
      <c r="C41" s="1" t="n"/>
      <c r="D41" s="3" t="n"/>
      <c r="E41" s="58" t="n"/>
      <c r="F41" s="59" t="n"/>
      <c r="G41" s="11" t="n"/>
    </row>
    <row r="42">
      <c r="B42" s="55" t="n"/>
      <c r="C42" s="1" t="n"/>
      <c r="D42" s="3" t="n"/>
      <c r="E42" s="58" t="n"/>
      <c r="F42" s="59" t="n"/>
      <c r="G42" s="11" t="n"/>
    </row>
    <row r="43">
      <c r="B43" s="55" t="n"/>
      <c r="C43" s="1" t="n"/>
      <c r="D43" s="3" t="n"/>
      <c r="E43" s="58" t="n"/>
      <c r="F43" s="59" t="n"/>
      <c r="G43" s="11" t="n"/>
    </row>
    <row r="44">
      <c r="B44" s="55" t="n"/>
      <c r="C44" s="1" t="n"/>
      <c r="D44" s="3" t="n"/>
      <c r="E44" s="58" t="n"/>
      <c r="F44" s="59" t="n"/>
      <c r="G44" s="11" t="n"/>
    </row>
    <row r="45" ht="16" customHeight="1" thickBot="1">
      <c r="B45" s="120" t="n"/>
      <c r="C45" s="121" t="n"/>
      <c r="D45" s="122" t="n"/>
      <c r="E45" s="123" t="n"/>
      <c r="F45" s="124" t="n"/>
      <c r="G45" s="125" t="n"/>
    </row>
  </sheetData>
  <mergeCells count="3">
    <mergeCell ref="F3:G3"/>
    <mergeCell ref="B2:G2"/>
    <mergeCell ref="B3:E3"/>
  </mergeCells>
  <dataValidations count="1">
    <dataValidation sqref="C5:C45" showDropDown="0" showInputMessage="1" showErrorMessage="1" allowBlank="1" type="list">
      <formula1>"1st, 2nd, 3rd, 4th, 5th 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topLeftCell="A10" zoomScaleNormal="100" workbookViewId="0">
      <selection activeCell="F50" sqref="F50"/>
    </sheetView>
  </sheetViews>
  <sheetFormatPr baseColWidth="10" defaultColWidth="8.83203125" defaultRowHeight="13"/>
  <cols>
    <col width="7.83203125" customWidth="1" style="23" min="1" max="1"/>
    <col width="3.5" customWidth="1" style="23" min="2" max="2"/>
    <col width="24.6640625" customWidth="1" style="23" min="3" max="3"/>
    <col width="12.6640625" customWidth="1" style="23" min="4" max="4"/>
    <col width="15.6640625" customWidth="1" style="23" min="5" max="5"/>
    <col width="12.6640625" customWidth="1" style="23" min="6" max="7"/>
    <col width="3.5" customWidth="1" style="23" min="8" max="8"/>
    <col width="13.5" customWidth="1" style="23" min="9" max="11"/>
    <col width="9.1640625" customWidth="1" style="23" min="12" max="256"/>
    <col width="7.83203125" customWidth="1" style="23" min="257" max="257"/>
    <col width="3.5" customWidth="1" style="23" min="258" max="258"/>
    <col width="24.6640625" customWidth="1" style="23" min="259" max="259"/>
    <col width="12.6640625" customWidth="1" style="23" min="260" max="260"/>
    <col width="15.6640625" customWidth="1" style="23" min="261" max="261"/>
    <col width="12.6640625" customWidth="1" style="23" min="262" max="263"/>
    <col width="3.5" customWidth="1" style="23" min="264" max="264"/>
    <col width="13.5" customWidth="1" style="23" min="265" max="267"/>
    <col width="9.1640625" customWidth="1" style="23" min="268" max="512"/>
    <col width="7.83203125" customWidth="1" style="23" min="513" max="513"/>
    <col width="3.5" customWidth="1" style="23" min="514" max="514"/>
    <col width="24.6640625" customWidth="1" style="23" min="515" max="515"/>
    <col width="12.6640625" customWidth="1" style="23" min="516" max="516"/>
    <col width="15.6640625" customWidth="1" style="23" min="517" max="517"/>
    <col width="12.6640625" customWidth="1" style="23" min="518" max="519"/>
    <col width="3.5" customWidth="1" style="23" min="520" max="520"/>
    <col width="13.5" customWidth="1" style="23" min="521" max="523"/>
    <col width="9.1640625" customWidth="1" style="23" min="524" max="768"/>
    <col width="7.83203125" customWidth="1" style="23" min="769" max="769"/>
    <col width="3.5" customWidth="1" style="23" min="770" max="770"/>
    <col width="24.6640625" customWidth="1" style="23" min="771" max="771"/>
    <col width="12.6640625" customWidth="1" style="23" min="772" max="772"/>
    <col width="15.6640625" customWidth="1" style="23" min="773" max="773"/>
    <col width="12.6640625" customWidth="1" style="23" min="774" max="775"/>
    <col width="3.5" customWidth="1" style="23" min="776" max="776"/>
    <col width="13.5" customWidth="1" style="23" min="777" max="779"/>
    <col width="9.1640625" customWidth="1" style="23" min="780" max="1024"/>
    <col width="7.83203125" customWidth="1" style="23" min="1025" max="1025"/>
    <col width="3.5" customWidth="1" style="23" min="1026" max="1026"/>
    <col width="24.6640625" customWidth="1" style="23" min="1027" max="1027"/>
    <col width="12.6640625" customWidth="1" style="23" min="1028" max="1028"/>
    <col width="15.6640625" customWidth="1" style="23" min="1029" max="1029"/>
    <col width="12.6640625" customWidth="1" style="23" min="1030" max="1031"/>
    <col width="3.5" customWidth="1" style="23" min="1032" max="1032"/>
    <col width="13.5" customWidth="1" style="23" min="1033" max="1035"/>
    <col width="9.1640625" customWidth="1" style="23" min="1036" max="1280"/>
    <col width="7.83203125" customWidth="1" style="23" min="1281" max="1281"/>
    <col width="3.5" customWidth="1" style="23" min="1282" max="1282"/>
    <col width="24.6640625" customWidth="1" style="23" min="1283" max="1283"/>
    <col width="12.6640625" customWidth="1" style="23" min="1284" max="1284"/>
    <col width="15.6640625" customWidth="1" style="23" min="1285" max="1285"/>
    <col width="12.6640625" customWidth="1" style="23" min="1286" max="1287"/>
    <col width="3.5" customWidth="1" style="23" min="1288" max="1288"/>
    <col width="13.5" customWidth="1" style="23" min="1289" max="1291"/>
    <col width="9.1640625" customWidth="1" style="23" min="1292" max="1536"/>
    <col width="7.83203125" customWidth="1" style="23" min="1537" max="1537"/>
    <col width="3.5" customWidth="1" style="23" min="1538" max="1538"/>
    <col width="24.6640625" customWidth="1" style="23" min="1539" max="1539"/>
    <col width="12.6640625" customWidth="1" style="23" min="1540" max="1540"/>
    <col width="15.6640625" customWidth="1" style="23" min="1541" max="1541"/>
    <col width="12.6640625" customWidth="1" style="23" min="1542" max="1543"/>
    <col width="3.5" customWidth="1" style="23" min="1544" max="1544"/>
    <col width="13.5" customWidth="1" style="23" min="1545" max="1547"/>
    <col width="9.1640625" customWidth="1" style="23" min="1548" max="1792"/>
    <col width="7.83203125" customWidth="1" style="23" min="1793" max="1793"/>
    <col width="3.5" customWidth="1" style="23" min="1794" max="1794"/>
    <col width="24.6640625" customWidth="1" style="23" min="1795" max="1795"/>
    <col width="12.6640625" customWidth="1" style="23" min="1796" max="1796"/>
    <col width="15.6640625" customWidth="1" style="23" min="1797" max="1797"/>
    <col width="12.6640625" customWidth="1" style="23" min="1798" max="1799"/>
    <col width="3.5" customWidth="1" style="23" min="1800" max="1800"/>
    <col width="13.5" customWidth="1" style="23" min="1801" max="1803"/>
    <col width="9.1640625" customWidth="1" style="23" min="1804" max="2048"/>
    <col width="7.83203125" customWidth="1" style="23" min="2049" max="2049"/>
    <col width="3.5" customWidth="1" style="23" min="2050" max="2050"/>
    <col width="24.6640625" customWidth="1" style="23" min="2051" max="2051"/>
    <col width="12.6640625" customWidth="1" style="23" min="2052" max="2052"/>
    <col width="15.6640625" customWidth="1" style="23" min="2053" max="2053"/>
    <col width="12.6640625" customWidth="1" style="23" min="2054" max="2055"/>
    <col width="3.5" customWidth="1" style="23" min="2056" max="2056"/>
    <col width="13.5" customWidth="1" style="23" min="2057" max="2059"/>
    <col width="9.1640625" customWidth="1" style="23" min="2060" max="2304"/>
    <col width="7.83203125" customWidth="1" style="23" min="2305" max="2305"/>
    <col width="3.5" customWidth="1" style="23" min="2306" max="2306"/>
    <col width="24.6640625" customWidth="1" style="23" min="2307" max="2307"/>
    <col width="12.6640625" customWidth="1" style="23" min="2308" max="2308"/>
    <col width="15.6640625" customWidth="1" style="23" min="2309" max="2309"/>
    <col width="12.6640625" customWidth="1" style="23" min="2310" max="2311"/>
    <col width="3.5" customWidth="1" style="23" min="2312" max="2312"/>
    <col width="13.5" customWidth="1" style="23" min="2313" max="2315"/>
    <col width="9.1640625" customWidth="1" style="23" min="2316" max="2560"/>
    <col width="7.83203125" customWidth="1" style="23" min="2561" max="2561"/>
    <col width="3.5" customWidth="1" style="23" min="2562" max="2562"/>
    <col width="24.6640625" customWidth="1" style="23" min="2563" max="2563"/>
    <col width="12.6640625" customWidth="1" style="23" min="2564" max="2564"/>
    <col width="15.6640625" customWidth="1" style="23" min="2565" max="2565"/>
    <col width="12.6640625" customWidth="1" style="23" min="2566" max="2567"/>
    <col width="3.5" customWidth="1" style="23" min="2568" max="2568"/>
    <col width="13.5" customWidth="1" style="23" min="2569" max="2571"/>
    <col width="9.1640625" customWidth="1" style="23" min="2572" max="2816"/>
    <col width="7.83203125" customWidth="1" style="23" min="2817" max="2817"/>
    <col width="3.5" customWidth="1" style="23" min="2818" max="2818"/>
    <col width="24.6640625" customWidth="1" style="23" min="2819" max="2819"/>
    <col width="12.6640625" customWidth="1" style="23" min="2820" max="2820"/>
    <col width="15.6640625" customWidth="1" style="23" min="2821" max="2821"/>
    <col width="12.6640625" customWidth="1" style="23" min="2822" max="2823"/>
    <col width="3.5" customWidth="1" style="23" min="2824" max="2824"/>
    <col width="13.5" customWidth="1" style="23" min="2825" max="2827"/>
    <col width="9.1640625" customWidth="1" style="23" min="2828" max="3072"/>
    <col width="7.83203125" customWidth="1" style="23" min="3073" max="3073"/>
    <col width="3.5" customWidth="1" style="23" min="3074" max="3074"/>
    <col width="24.6640625" customWidth="1" style="23" min="3075" max="3075"/>
    <col width="12.6640625" customWidth="1" style="23" min="3076" max="3076"/>
    <col width="15.6640625" customWidth="1" style="23" min="3077" max="3077"/>
    <col width="12.6640625" customWidth="1" style="23" min="3078" max="3079"/>
    <col width="3.5" customWidth="1" style="23" min="3080" max="3080"/>
    <col width="13.5" customWidth="1" style="23" min="3081" max="3083"/>
    <col width="9.1640625" customWidth="1" style="23" min="3084" max="3328"/>
    <col width="7.83203125" customWidth="1" style="23" min="3329" max="3329"/>
    <col width="3.5" customWidth="1" style="23" min="3330" max="3330"/>
    <col width="24.6640625" customWidth="1" style="23" min="3331" max="3331"/>
    <col width="12.6640625" customWidth="1" style="23" min="3332" max="3332"/>
    <col width="15.6640625" customWidth="1" style="23" min="3333" max="3333"/>
    <col width="12.6640625" customWidth="1" style="23" min="3334" max="3335"/>
    <col width="3.5" customWidth="1" style="23" min="3336" max="3336"/>
    <col width="13.5" customWidth="1" style="23" min="3337" max="3339"/>
    <col width="9.1640625" customWidth="1" style="23" min="3340" max="3584"/>
    <col width="7.83203125" customWidth="1" style="23" min="3585" max="3585"/>
    <col width="3.5" customWidth="1" style="23" min="3586" max="3586"/>
    <col width="24.6640625" customWidth="1" style="23" min="3587" max="3587"/>
    <col width="12.6640625" customWidth="1" style="23" min="3588" max="3588"/>
    <col width="15.6640625" customWidth="1" style="23" min="3589" max="3589"/>
    <col width="12.6640625" customWidth="1" style="23" min="3590" max="3591"/>
    <col width="3.5" customWidth="1" style="23" min="3592" max="3592"/>
    <col width="13.5" customWidth="1" style="23" min="3593" max="3595"/>
    <col width="9.1640625" customWidth="1" style="23" min="3596" max="3840"/>
    <col width="7.83203125" customWidth="1" style="23" min="3841" max="3841"/>
    <col width="3.5" customWidth="1" style="23" min="3842" max="3842"/>
    <col width="24.6640625" customWidth="1" style="23" min="3843" max="3843"/>
    <col width="12.6640625" customWidth="1" style="23" min="3844" max="3844"/>
    <col width="15.6640625" customWidth="1" style="23" min="3845" max="3845"/>
    <col width="12.6640625" customWidth="1" style="23" min="3846" max="3847"/>
    <col width="3.5" customWidth="1" style="23" min="3848" max="3848"/>
    <col width="13.5" customWidth="1" style="23" min="3849" max="3851"/>
    <col width="9.1640625" customWidth="1" style="23" min="3852" max="4096"/>
    <col width="7.83203125" customWidth="1" style="23" min="4097" max="4097"/>
    <col width="3.5" customWidth="1" style="23" min="4098" max="4098"/>
    <col width="24.6640625" customWidth="1" style="23" min="4099" max="4099"/>
    <col width="12.6640625" customWidth="1" style="23" min="4100" max="4100"/>
    <col width="15.6640625" customWidth="1" style="23" min="4101" max="4101"/>
    <col width="12.6640625" customWidth="1" style="23" min="4102" max="4103"/>
    <col width="3.5" customWidth="1" style="23" min="4104" max="4104"/>
    <col width="13.5" customWidth="1" style="23" min="4105" max="4107"/>
    <col width="9.1640625" customWidth="1" style="23" min="4108" max="4352"/>
    <col width="7.83203125" customWidth="1" style="23" min="4353" max="4353"/>
    <col width="3.5" customWidth="1" style="23" min="4354" max="4354"/>
    <col width="24.6640625" customWidth="1" style="23" min="4355" max="4355"/>
    <col width="12.6640625" customWidth="1" style="23" min="4356" max="4356"/>
    <col width="15.6640625" customWidth="1" style="23" min="4357" max="4357"/>
    <col width="12.6640625" customWidth="1" style="23" min="4358" max="4359"/>
    <col width="3.5" customWidth="1" style="23" min="4360" max="4360"/>
    <col width="13.5" customWidth="1" style="23" min="4361" max="4363"/>
    <col width="9.1640625" customWidth="1" style="23" min="4364" max="4608"/>
    <col width="7.83203125" customWidth="1" style="23" min="4609" max="4609"/>
    <col width="3.5" customWidth="1" style="23" min="4610" max="4610"/>
    <col width="24.6640625" customWidth="1" style="23" min="4611" max="4611"/>
    <col width="12.6640625" customWidth="1" style="23" min="4612" max="4612"/>
    <col width="15.6640625" customWidth="1" style="23" min="4613" max="4613"/>
    <col width="12.6640625" customWidth="1" style="23" min="4614" max="4615"/>
    <col width="3.5" customWidth="1" style="23" min="4616" max="4616"/>
    <col width="13.5" customWidth="1" style="23" min="4617" max="4619"/>
    <col width="9.1640625" customWidth="1" style="23" min="4620" max="4864"/>
    <col width="7.83203125" customWidth="1" style="23" min="4865" max="4865"/>
    <col width="3.5" customWidth="1" style="23" min="4866" max="4866"/>
    <col width="24.6640625" customWidth="1" style="23" min="4867" max="4867"/>
    <col width="12.6640625" customWidth="1" style="23" min="4868" max="4868"/>
    <col width="15.6640625" customWidth="1" style="23" min="4869" max="4869"/>
    <col width="12.6640625" customWidth="1" style="23" min="4870" max="4871"/>
    <col width="3.5" customWidth="1" style="23" min="4872" max="4872"/>
    <col width="13.5" customWidth="1" style="23" min="4873" max="4875"/>
    <col width="9.1640625" customWidth="1" style="23" min="4876" max="5120"/>
    <col width="7.83203125" customWidth="1" style="23" min="5121" max="5121"/>
    <col width="3.5" customWidth="1" style="23" min="5122" max="5122"/>
    <col width="24.6640625" customWidth="1" style="23" min="5123" max="5123"/>
    <col width="12.6640625" customWidth="1" style="23" min="5124" max="5124"/>
    <col width="15.6640625" customWidth="1" style="23" min="5125" max="5125"/>
    <col width="12.6640625" customWidth="1" style="23" min="5126" max="5127"/>
    <col width="3.5" customWidth="1" style="23" min="5128" max="5128"/>
    <col width="13.5" customWidth="1" style="23" min="5129" max="5131"/>
    <col width="9.1640625" customWidth="1" style="23" min="5132" max="5376"/>
    <col width="7.83203125" customWidth="1" style="23" min="5377" max="5377"/>
    <col width="3.5" customWidth="1" style="23" min="5378" max="5378"/>
    <col width="24.6640625" customWidth="1" style="23" min="5379" max="5379"/>
    <col width="12.6640625" customWidth="1" style="23" min="5380" max="5380"/>
    <col width="15.6640625" customWidth="1" style="23" min="5381" max="5381"/>
    <col width="12.6640625" customWidth="1" style="23" min="5382" max="5383"/>
    <col width="3.5" customWidth="1" style="23" min="5384" max="5384"/>
    <col width="13.5" customWidth="1" style="23" min="5385" max="5387"/>
    <col width="9.1640625" customWidth="1" style="23" min="5388" max="5632"/>
    <col width="7.83203125" customWidth="1" style="23" min="5633" max="5633"/>
    <col width="3.5" customWidth="1" style="23" min="5634" max="5634"/>
    <col width="24.6640625" customWidth="1" style="23" min="5635" max="5635"/>
    <col width="12.6640625" customWidth="1" style="23" min="5636" max="5636"/>
    <col width="15.6640625" customWidth="1" style="23" min="5637" max="5637"/>
    <col width="12.6640625" customWidth="1" style="23" min="5638" max="5639"/>
    <col width="3.5" customWidth="1" style="23" min="5640" max="5640"/>
    <col width="13.5" customWidth="1" style="23" min="5641" max="5643"/>
    <col width="9.1640625" customWidth="1" style="23" min="5644" max="5888"/>
    <col width="7.83203125" customWidth="1" style="23" min="5889" max="5889"/>
    <col width="3.5" customWidth="1" style="23" min="5890" max="5890"/>
    <col width="24.6640625" customWidth="1" style="23" min="5891" max="5891"/>
    <col width="12.6640625" customWidth="1" style="23" min="5892" max="5892"/>
    <col width="15.6640625" customWidth="1" style="23" min="5893" max="5893"/>
    <col width="12.6640625" customWidth="1" style="23" min="5894" max="5895"/>
    <col width="3.5" customWidth="1" style="23" min="5896" max="5896"/>
    <col width="13.5" customWidth="1" style="23" min="5897" max="5899"/>
    <col width="9.1640625" customWidth="1" style="23" min="5900" max="6144"/>
    <col width="7.83203125" customWidth="1" style="23" min="6145" max="6145"/>
    <col width="3.5" customWidth="1" style="23" min="6146" max="6146"/>
    <col width="24.6640625" customWidth="1" style="23" min="6147" max="6147"/>
    <col width="12.6640625" customWidth="1" style="23" min="6148" max="6148"/>
    <col width="15.6640625" customWidth="1" style="23" min="6149" max="6149"/>
    <col width="12.6640625" customWidth="1" style="23" min="6150" max="6151"/>
    <col width="3.5" customWidth="1" style="23" min="6152" max="6152"/>
    <col width="13.5" customWidth="1" style="23" min="6153" max="6155"/>
    <col width="9.1640625" customWidth="1" style="23" min="6156" max="6400"/>
    <col width="7.83203125" customWidth="1" style="23" min="6401" max="6401"/>
    <col width="3.5" customWidth="1" style="23" min="6402" max="6402"/>
    <col width="24.6640625" customWidth="1" style="23" min="6403" max="6403"/>
    <col width="12.6640625" customWidth="1" style="23" min="6404" max="6404"/>
    <col width="15.6640625" customWidth="1" style="23" min="6405" max="6405"/>
    <col width="12.6640625" customWidth="1" style="23" min="6406" max="6407"/>
    <col width="3.5" customWidth="1" style="23" min="6408" max="6408"/>
    <col width="13.5" customWidth="1" style="23" min="6409" max="6411"/>
    <col width="9.1640625" customWidth="1" style="23" min="6412" max="6656"/>
    <col width="7.83203125" customWidth="1" style="23" min="6657" max="6657"/>
    <col width="3.5" customWidth="1" style="23" min="6658" max="6658"/>
    <col width="24.6640625" customWidth="1" style="23" min="6659" max="6659"/>
    <col width="12.6640625" customWidth="1" style="23" min="6660" max="6660"/>
    <col width="15.6640625" customWidth="1" style="23" min="6661" max="6661"/>
    <col width="12.6640625" customWidth="1" style="23" min="6662" max="6663"/>
    <col width="3.5" customWidth="1" style="23" min="6664" max="6664"/>
    <col width="13.5" customWidth="1" style="23" min="6665" max="6667"/>
    <col width="9.1640625" customWidth="1" style="23" min="6668" max="6912"/>
    <col width="7.83203125" customWidth="1" style="23" min="6913" max="6913"/>
    <col width="3.5" customWidth="1" style="23" min="6914" max="6914"/>
    <col width="24.6640625" customWidth="1" style="23" min="6915" max="6915"/>
    <col width="12.6640625" customWidth="1" style="23" min="6916" max="6916"/>
    <col width="15.6640625" customWidth="1" style="23" min="6917" max="6917"/>
    <col width="12.6640625" customWidth="1" style="23" min="6918" max="6919"/>
    <col width="3.5" customWidth="1" style="23" min="6920" max="6920"/>
    <col width="13.5" customWidth="1" style="23" min="6921" max="6923"/>
    <col width="9.1640625" customWidth="1" style="23" min="6924" max="7168"/>
    <col width="7.83203125" customWidth="1" style="23" min="7169" max="7169"/>
    <col width="3.5" customWidth="1" style="23" min="7170" max="7170"/>
    <col width="24.6640625" customWidth="1" style="23" min="7171" max="7171"/>
    <col width="12.6640625" customWidth="1" style="23" min="7172" max="7172"/>
    <col width="15.6640625" customWidth="1" style="23" min="7173" max="7173"/>
    <col width="12.6640625" customWidth="1" style="23" min="7174" max="7175"/>
    <col width="3.5" customWidth="1" style="23" min="7176" max="7176"/>
    <col width="13.5" customWidth="1" style="23" min="7177" max="7179"/>
    <col width="9.1640625" customWidth="1" style="23" min="7180" max="7424"/>
    <col width="7.83203125" customWidth="1" style="23" min="7425" max="7425"/>
    <col width="3.5" customWidth="1" style="23" min="7426" max="7426"/>
    <col width="24.6640625" customWidth="1" style="23" min="7427" max="7427"/>
    <col width="12.6640625" customWidth="1" style="23" min="7428" max="7428"/>
    <col width="15.6640625" customWidth="1" style="23" min="7429" max="7429"/>
    <col width="12.6640625" customWidth="1" style="23" min="7430" max="7431"/>
    <col width="3.5" customWidth="1" style="23" min="7432" max="7432"/>
    <col width="13.5" customWidth="1" style="23" min="7433" max="7435"/>
    <col width="9.1640625" customWidth="1" style="23" min="7436" max="7680"/>
    <col width="7.83203125" customWidth="1" style="23" min="7681" max="7681"/>
    <col width="3.5" customWidth="1" style="23" min="7682" max="7682"/>
    <col width="24.6640625" customWidth="1" style="23" min="7683" max="7683"/>
    <col width="12.6640625" customWidth="1" style="23" min="7684" max="7684"/>
    <col width="15.6640625" customWidth="1" style="23" min="7685" max="7685"/>
    <col width="12.6640625" customWidth="1" style="23" min="7686" max="7687"/>
    <col width="3.5" customWidth="1" style="23" min="7688" max="7688"/>
    <col width="13.5" customWidth="1" style="23" min="7689" max="7691"/>
    <col width="9.1640625" customWidth="1" style="23" min="7692" max="7936"/>
    <col width="7.83203125" customWidth="1" style="23" min="7937" max="7937"/>
    <col width="3.5" customWidth="1" style="23" min="7938" max="7938"/>
    <col width="24.6640625" customWidth="1" style="23" min="7939" max="7939"/>
    <col width="12.6640625" customWidth="1" style="23" min="7940" max="7940"/>
    <col width="15.6640625" customWidth="1" style="23" min="7941" max="7941"/>
    <col width="12.6640625" customWidth="1" style="23" min="7942" max="7943"/>
    <col width="3.5" customWidth="1" style="23" min="7944" max="7944"/>
    <col width="13.5" customWidth="1" style="23" min="7945" max="7947"/>
    <col width="9.1640625" customWidth="1" style="23" min="7948" max="8192"/>
    <col width="7.83203125" customWidth="1" style="23" min="8193" max="8193"/>
    <col width="3.5" customWidth="1" style="23" min="8194" max="8194"/>
    <col width="24.6640625" customWidth="1" style="23" min="8195" max="8195"/>
    <col width="12.6640625" customWidth="1" style="23" min="8196" max="8196"/>
    <col width="15.6640625" customWidth="1" style="23" min="8197" max="8197"/>
    <col width="12.6640625" customWidth="1" style="23" min="8198" max="8199"/>
    <col width="3.5" customWidth="1" style="23" min="8200" max="8200"/>
    <col width="13.5" customWidth="1" style="23" min="8201" max="8203"/>
    <col width="9.1640625" customWidth="1" style="23" min="8204" max="8448"/>
    <col width="7.83203125" customWidth="1" style="23" min="8449" max="8449"/>
    <col width="3.5" customWidth="1" style="23" min="8450" max="8450"/>
    <col width="24.6640625" customWidth="1" style="23" min="8451" max="8451"/>
    <col width="12.6640625" customWidth="1" style="23" min="8452" max="8452"/>
    <col width="15.6640625" customWidth="1" style="23" min="8453" max="8453"/>
    <col width="12.6640625" customWidth="1" style="23" min="8454" max="8455"/>
    <col width="3.5" customWidth="1" style="23" min="8456" max="8456"/>
    <col width="13.5" customWidth="1" style="23" min="8457" max="8459"/>
    <col width="9.1640625" customWidth="1" style="23" min="8460" max="8704"/>
    <col width="7.83203125" customWidth="1" style="23" min="8705" max="8705"/>
    <col width="3.5" customWidth="1" style="23" min="8706" max="8706"/>
    <col width="24.6640625" customWidth="1" style="23" min="8707" max="8707"/>
    <col width="12.6640625" customWidth="1" style="23" min="8708" max="8708"/>
    <col width="15.6640625" customWidth="1" style="23" min="8709" max="8709"/>
    <col width="12.6640625" customWidth="1" style="23" min="8710" max="8711"/>
    <col width="3.5" customWidth="1" style="23" min="8712" max="8712"/>
    <col width="13.5" customWidth="1" style="23" min="8713" max="8715"/>
    <col width="9.1640625" customWidth="1" style="23" min="8716" max="8960"/>
    <col width="7.83203125" customWidth="1" style="23" min="8961" max="8961"/>
    <col width="3.5" customWidth="1" style="23" min="8962" max="8962"/>
    <col width="24.6640625" customWidth="1" style="23" min="8963" max="8963"/>
    <col width="12.6640625" customWidth="1" style="23" min="8964" max="8964"/>
    <col width="15.6640625" customWidth="1" style="23" min="8965" max="8965"/>
    <col width="12.6640625" customWidth="1" style="23" min="8966" max="8967"/>
    <col width="3.5" customWidth="1" style="23" min="8968" max="8968"/>
    <col width="13.5" customWidth="1" style="23" min="8969" max="8971"/>
    <col width="9.1640625" customWidth="1" style="23" min="8972" max="9216"/>
    <col width="7.83203125" customWidth="1" style="23" min="9217" max="9217"/>
    <col width="3.5" customWidth="1" style="23" min="9218" max="9218"/>
    <col width="24.6640625" customWidth="1" style="23" min="9219" max="9219"/>
    <col width="12.6640625" customWidth="1" style="23" min="9220" max="9220"/>
    <col width="15.6640625" customWidth="1" style="23" min="9221" max="9221"/>
    <col width="12.6640625" customWidth="1" style="23" min="9222" max="9223"/>
    <col width="3.5" customWidth="1" style="23" min="9224" max="9224"/>
    <col width="13.5" customWidth="1" style="23" min="9225" max="9227"/>
    <col width="9.1640625" customWidth="1" style="23" min="9228" max="9472"/>
    <col width="7.83203125" customWidth="1" style="23" min="9473" max="9473"/>
    <col width="3.5" customWidth="1" style="23" min="9474" max="9474"/>
    <col width="24.6640625" customWidth="1" style="23" min="9475" max="9475"/>
    <col width="12.6640625" customWidth="1" style="23" min="9476" max="9476"/>
    <col width="15.6640625" customWidth="1" style="23" min="9477" max="9477"/>
    <col width="12.6640625" customWidth="1" style="23" min="9478" max="9479"/>
    <col width="3.5" customWidth="1" style="23" min="9480" max="9480"/>
    <col width="13.5" customWidth="1" style="23" min="9481" max="9483"/>
    <col width="9.1640625" customWidth="1" style="23" min="9484" max="9728"/>
    <col width="7.83203125" customWidth="1" style="23" min="9729" max="9729"/>
    <col width="3.5" customWidth="1" style="23" min="9730" max="9730"/>
    <col width="24.6640625" customWidth="1" style="23" min="9731" max="9731"/>
    <col width="12.6640625" customWidth="1" style="23" min="9732" max="9732"/>
    <col width="15.6640625" customWidth="1" style="23" min="9733" max="9733"/>
    <col width="12.6640625" customWidth="1" style="23" min="9734" max="9735"/>
    <col width="3.5" customWidth="1" style="23" min="9736" max="9736"/>
    <col width="13.5" customWidth="1" style="23" min="9737" max="9739"/>
    <col width="9.1640625" customWidth="1" style="23" min="9740" max="9984"/>
    <col width="7.83203125" customWidth="1" style="23" min="9985" max="9985"/>
    <col width="3.5" customWidth="1" style="23" min="9986" max="9986"/>
    <col width="24.6640625" customWidth="1" style="23" min="9987" max="9987"/>
    <col width="12.6640625" customWidth="1" style="23" min="9988" max="9988"/>
    <col width="15.6640625" customWidth="1" style="23" min="9989" max="9989"/>
    <col width="12.6640625" customWidth="1" style="23" min="9990" max="9991"/>
    <col width="3.5" customWidth="1" style="23" min="9992" max="9992"/>
    <col width="13.5" customWidth="1" style="23" min="9993" max="9995"/>
    <col width="9.1640625" customWidth="1" style="23" min="9996" max="10240"/>
    <col width="7.83203125" customWidth="1" style="23" min="10241" max="10241"/>
    <col width="3.5" customWidth="1" style="23" min="10242" max="10242"/>
    <col width="24.6640625" customWidth="1" style="23" min="10243" max="10243"/>
    <col width="12.6640625" customWidth="1" style="23" min="10244" max="10244"/>
    <col width="15.6640625" customWidth="1" style="23" min="10245" max="10245"/>
    <col width="12.6640625" customWidth="1" style="23" min="10246" max="10247"/>
    <col width="3.5" customWidth="1" style="23" min="10248" max="10248"/>
    <col width="13.5" customWidth="1" style="23" min="10249" max="10251"/>
    <col width="9.1640625" customWidth="1" style="23" min="10252" max="10496"/>
    <col width="7.83203125" customWidth="1" style="23" min="10497" max="10497"/>
    <col width="3.5" customWidth="1" style="23" min="10498" max="10498"/>
    <col width="24.6640625" customWidth="1" style="23" min="10499" max="10499"/>
    <col width="12.6640625" customWidth="1" style="23" min="10500" max="10500"/>
    <col width="15.6640625" customWidth="1" style="23" min="10501" max="10501"/>
    <col width="12.6640625" customWidth="1" style="23" min="10502" max="10503"/>
    <col width="3.5" customWidth="1" style="23" min="10504" max="10504"/>
    <col width="13.5" customWidth="1" style="23" min="10505" max="10507"/>
    <col width="9.1640625" customWidth="1" style="23" min="10508" max="10752"/>
    <col width="7.83203125" customWidth="1" style="23" min="10753" max="10753"/>
    <col width="3.5" customWidth="1" style="23" min="10754" max="10754"/>
    <col width="24.6640625" customWidth="1" style="23" min="10755" max="10755"/>
    <col width="12.6640625" customWidth="1" style="23" min="10756" max="10756"/>
    <col width="15.6640625" customWidth="1" style="23" min="10757" max="10757"/>
    <col width="12.6640625" customWidth="1" style="23" min="10758" max="10759"/>
    <col width="3.5" customWidth="1" style="23" min="10760" max="10760"/>
    <col width="13.5" customWidth="1" style="23" min="10761" max="10763"/>
    <col width="9.1640625" customWidth="1" style="23" min="10764" max="11008"/>
    <col width="7.83203125" customWidth="1" style="23" min="11009" max="11009"/>
    <col width="3.5" customWidth="1" style="23" min="11010" max="11010"/>
    <col width="24.6640625" customWidth="1" style="23" min="11011" max="11011"/>
    <col width="12.6640625" customWidth="1" style="23" min="11012" max="11012"/>
    <col width="15.6640625" customWidth="1" style="23" min="11013" max="11013"/>
    <col width="12.6640625" customWidth="1" style="23" min="11014" max="11015"/>
    <col width="3.5" customWidth="1" style="23" min="11016" max="11016"/>
    <col width="13.5" customWidth="1" style="23" min="11017" max="11019"/>
    <col width="9.1640625" customWidth="1" style="23" min="11020" max="11264"/>
    <col width="7.83203125" customWidth="1" style="23" min="11265" max="11265"/>
    <col width="3.5" customWidth="1" style="23" min="11266" max="11266"/>
    <col width="24.6640625" customWidth="1" style="23" min="11267" max="11267"/>
    <col width="12.6640625" customWidth="1" style="23" min="11268" max="11268"/>
    <col width="15.6640625" customWidth="1" style="23" min="11269" max="11269"/>
    <col width="12.6640625" customWidth="1" style="23" min="11270" max="11271"/>
    <col width="3.5" customWidth="1" style="23" min="11272" max="11272"/>
    <col width="13.5" customWidth="1" style="23" min="11273" max="11275"/>
    <col width="9.1640625" customWidth="1" style="23" min="11276" max="11520"/>
    <col width="7.83203125" customWidth="1" style="23" min="11521" max="11521"/>
    <col width="3.5" customWidth="1" style="23" min="11522" max="11522"/>
    <col width="24.6640625" customWidth="1" style="23" min="11523" max="11523"/>
    <col width="12.6640625" customWidth="1" style="23" min="11524" max="11524"/>
    <col width="15.6640625" customWidth="1" style="23" min="11525" max="11525"/>
    <col width="12.6640625" customWidth="1" style="23" min="11526" max="11527"/>
    <col width="3.5" customWidth="1" style="23" min="11528" max="11528"/>
    <col width="13.5" customWidth="1" style="23" min="11529" max="11531"/>
    <col width="9.1640625" customWidth="1" style="23" min="11532" max="11776"/>
    <col width="7.83203125" customWidth="1" style="23" min="11777" max="11777"/>
    <col width="3.5" customWidth="1" style="23" min="11778" max="11778"/>
    <col width="24.6640625" customWidth="1" style="23" min="11779" max="11779"/>
    <col width="12.6640625" customWidth="1" style="23" min="11780" max="11780"/>
    <col width="15.6640625" customWidth="1" style="23" min="11781" max="11781"/>
    <col width="12.6640625" customWidth="1" style="23" min="11782" max="11783"/>
    <col width="3.5" customWidth="1" style="23" min="11784" max="11784"/>
    <col width="13.5" customWidth="1" style="23" min="11785" max="11787"/>
    <col width="9.1640625" customWidth="1" style="23" min="11788" max="12032"/>
    <col width="7.83203125" customWidth="1" style="23" min="12033" max="12033"/>
    <col width="3.5" customWidth="1" style="23" min="12034" max="12034"/>
    <col width="24.6640625" customWidth="1" style="23" min="12035" max="12035"/>
    <col width="12.6640625" customWidth="1" style="23" min="12036" max="12036"/>
    <col width="15.6640625" customWidth="1" style="23" min="12037" max="12037"/>
    <col width="12.6640625" customWidth="1" style="23" min="12038" max="12039"/>
    <col width="3.5" customWidth="1" style="23" min="12040" max="12040"/>
    <col width="13.5" customWidth="1" style="23" min="12041" max="12043"/>
    <col width="9.1640625" customWidth="1" style="23" min="12044" max="12288"/>
    <col width="7.83203125" customWidth="1" style="23" min="12289" max="12289"/>
    <col width="3.5" customWidth="1" style="23" min="12290" max="12290"/>
    <col width="24.6640625" customWidth="1" style="23" min="12291" max="12291"/>
    <col width="12.6640625" customWidth="1" style="23" min="12292" max="12292"/>
    <col width="15.6640625" customWidth="1" style="23" min="12293" max="12293"/>
    <col width="12.6640625" customWidth="1" style="23" min="12294" max="12295"/>
    <col width="3.5" customWidth="1" style="23" min="12296" max="12296"/>
    <col width="13.5" customWidth="1" style="23" min="12297" max="12299"/>
    <col width="9.1640625" customWidth="1" style="23" min="12300" max="12544"/>
    <col width="7.83203125" customWidth="1" style="23" min="12545" max="12545"/>
    <col width="3.5" customWidth="1" style="23" min="12546" max="12546"/>
    <col width="24.6640625" customWidth="1" style="23" min="12547" max="12547"/>
    <col width="12.6640625" customWidth="1" style="23" min="12548" max="12548"/>
    <col width="15.6640625" customWidth="1" style="23" min="12549" max="12549"/>
    <col width="12.6640625" customWidth="1" style="23" min="12550" max="12551"/>
    <col width="3.5" customWidth="1" style="23" min="12552" max="12552"/>
    <col width="13.5" customWidth="1" style="23" min="12553" max="12555"/>
    <col width="9.1640625" customWidth="1" style="23" min="12556" max="12800"/>
    <col width="7.83203125" customWidth="1" style="23" min="12801" max="12801"/>
    <col width="3.5" customWidth="1" style="23" min="12802" max="12802"/>
    <col width="24.6640625" customWidth="1" style="23" min="12803" max="12803"/>
    <col width="12.6640625" customWidth="1" style="23" min="12804" max="12804"/>
    <col width="15.6640625" customWidth="1" style="23" min="12805" max="12805"/>
    <col width="12.6640625" customWidth="1" style="23" min="12806" max="12807"/>
    <col width="3.5" customWidth="1" style="23" min="12808" max="12808"/>
    <col width="13.5" customWidth="1" style="23" min="12809" max="12811"/>
    <col width="9.1640625" customWidth="1" style="23" min="12812" max="13056"/>
    <col width="7.83203125" customWidth="1" style="23" min="13057" max="13057"/>
    <col width="3.5" customWidth="1" style="23" min="13058" max="13058"/>
    <col width="24.6640625" customWidth="1" style="23" min="13059" max="13059"/>
    <col width="12.6640625" customWidth="1" style="23" min="13060" max="13060"/>
    <col width="15.6640625" customWidth="1" style="23" min="13061" max="13061"/>
    <col width="12.6640625" customWidth="1" style="23" min="13062" max="13063"/>
    <col width="3.5" customWidth="1" style="23" min="13064" max="13064"/>
    <col width="13.5" customWidth="1" style="23" min="13065" max="13067"/>
    <col width="9.1640625" customWidth="1" style="23" min="13068" max="13312"/>
    <col width="7.83203125" customWidth="1" style="23" min="13313" max="13313"/>
    <col width="3.5" customWidth="1" style="23" min="13314" max="13314"/>
    <col width="24.6640625" customWidth="1" style="23" min="13315" max="13315"/>
    <col width="12.6640625" customWidth="1" style="23" min="13316" max="13316"/>
    <col width="15.6640625" customWidth="1" style="23" min="13317" max="13317"/>
    <col width="12.6640625" customWidth="1" style="23" min="13318" max="13319"/>
    <col width="3.5" customWidth="1" style="23" min="13320" max="13320"/>
    <col width="13.5" customWidth="1" style="23" min="13321" max="13323"/>
    <col width="9.1640625" customWidth="1" style="23" min="13324" max="13568"/>
    <col width="7.83203125" customWidth="1" style="23" min="13569" max="13569"/>
    <col width="3.5" customWidth="1" style="23" min="13570" max="13570"/>
    <col width="24.6640625" customWidth="1" style="23" min="13571" max="13571"/>
    <col width="12.6640625" customWidth="1" style="23" min="13572" max="13572"/>
    <col width="15.6640625" customWidth="1" style="23" min="13573" max="13573"/>
    <col width="12.6640625" customWidth="1" style="23" min="13574" max="13575"/>
    <col width="3.5" customWidth="1" style="23" min="13576" max="13576"/>
    <col width="13.5" customWidth="1" style="23" min="13577" max="13579"/>
    <col width="9.1640625" customWidth="1" style="23" min="13580" max="13824"/>
    <col width="7.83203125" customWidth="1" style="23" min="13825" max="13825"/>
    <col width="3.5" customWidth="1" style="23" min="13826" max="13826"/>
    <col width="24.6640625" customWidth="1" style="23" min="13827" max="13827"/>
    <col width="12.6640625" customWidth="1" style="23" min="13828" max="13828"/>
    <col width="15.6640625" customWidth="1" style="23" min="13829" max="13829"/>
    <col width="12.6640625" customWidth="1" style="23" min="13830" max="13831"/>
    <col width="3.5" customWidth="1" style="23" min="13832" max="13832"/>
    <col width="13.5" customWidth="1" style="23" min="13833" max="13835"/>
    <col width="9.1640625" customWidth="1" style="23" min="13836" max="14080"/>
    <col width="7.83203125" customWidth="1" style="23" min="14081" max="14081"/>
    <col width="3.5" customWidth="1" style="23" min="14082" max="14082"/>
    <col width="24.6640625" customWidth="1" style="23" min="14083" max="14083"/>
    <col width="12.6640625" customWidth="1" style="23" min="14084" max="14084"/>
    <col width="15.6640625" customWidth="1" style="23" min="14085" max="14085"/>
    <col width="12.6640625" customWidth="1" style="23" min="14086" max="14087"/>
    <col width="3.5" customWidth="1" style="23" min="14088" max="14088"/>
    <col width="13.5" customWidth="1" style="23" min="14089" max="14091"/>
    <col width="9.1640625" customWidth="1" style="23" min="14092" max="14336"/>
    <col width="7.83203125" customWidth="1" style="23" min="14337" max="14337"/>
    <col width="3.5" customWidth="1" style="23" min="14338" max="14338"/>
    <col width="24.6640625" customWidth="1" style="23" min="14339" max="14339"/>
    <col width="12.6640625" customWidth="1" style="23" min="14340" max="14340"/>
    <col width="15.6640625" customWidth="1" style="23" min="14341" max="14341"/>
    <col width="12.6640625" customWidth="1" style="23" min="14342" max="14343"/>
    <col width="3.5" customWidth="1" style="23" min="14344" max="14344"/>
    <col width="13.5" customWidth="1" style="23" min="14345" max="14347"/>
    <col width="9.1640625" customWidth="1" style="23" min="14348" max="14592"/>
    <col width="7.83203125" customWidth="1" style="23" min="14593" max="14593"/>
    <col width="3.5" customWidth="1" style="23" min="14594" max="14594"/>
    <col width="24.6640625" customWidth="1" style="23" min="14595" max="14595"/>
    <col width="12.6640625" customWidth="1" style="23" min="14596" max="14596"/>
    <col width="15.6640625" customWidth="1" style="23" min="14597" max="14597"/>
    <col width="12.6640625" customWidth="1" style="23" min="14598" max="14599"/>
    <col width="3.5" customWidth="1" style="23" min="14600" max="14600"/>
    <col width="13.5" customWidth="1" style="23" min="14601" max="14603"/>
    <col width="9.1640625" customWidth="1" style="23" min="14604" max="14848"/>
    <col width="7.83203125" customWidth="1" style="23" min="14849" max="14849"/>
    <col width="3.5" customWidth="1" style="23" min="14850" max="14850"/>
    <col width="24.6640625" customWidth="1" style="23" min="14851" max="14851"/>
    <col width="12.6640625" customWidth="1" style="23" min="14852" max="14852"/>
    <col width="15.6640625" customWidth="1" style="23" min="14853" max="14853"/>
    <col width="12.6640625" customWidth="1" style="23" min="14854" max="14855"/>
    <col width="3.5" customWidth="1" style="23" min="14856" max="14856"/>
    <col width="13.5" customWidth="1" style="23" min="14857" max="14859"/>
    <col width="9.1640625" customWidth="1" style="23" min="14860" max="15104"/>
    <col width="7.83203125" customWidth="1" style="23" min="15105" max="15105"/>
    <col width="3.5" customWidth="1" style="23" min="15106" max="15106"/>
    <col width="24.6640625" customWidth="1" style="23" min="15107" max="15107"/>
    <col width="12.6640625" customWidth="1" style="23" min="15108" max="15108"/>
    <col width="15.6640625" customWidth="1" style="23" min="15109" max="15109"/>
    <col width="12.6640625" customWidth="1" style="23" min="15110" max="15111"/>
    <col width="3.5" customWidth="1" style="23" min="15112" max="15112"/>
    <col width="13.5" customWidth="1" style="23" min="15113" max="15115"/>
    <col width="9.1640625" customWidth="1" style="23" min="15116" max="15360"/>
    <col width="7.83203125" customWidth="1" style="23" min="15361" max="15361"/>
    <col width="3.5" customWidth="1" style="23" min="15362" max="15362"/>
    <col width="24.6640625" customWidth="1" style="23" min="15363" max="15363"/>
    <col width="12.6640625" customWidth="1" style="23" min="15364" max="15364"/>
    <col width="15.6640625" customWidth="1" style="23" min="15365" max="15365"/>
    <col width="12.6640625" customWidth="1" style="23" min="15366" max="15367"/>
    <col width="3.5" customWidth="1" style="23" min="15368" max="15368"/>
    <col width="13.5" customWidth="1" style="23" min="15369" max="15371"/>
    <col width="9.1640625" customWidth="1" style="23" min="15372" max="15616"/>
    <col width="7.83203125" customWidth="1" style="23" min="15617" max="15617"/>
    <col width="3.5" customWidth="1" style="23" min="15618" max="15618"/>
    <col width="24.6640625" customWidth="1" style="23" min="15619" max="15619"/>
    <col width="12.6640625" customWidth="1" style="23" min="15620" max="15620"/>
    <col width="15.6640625" customWidth="1" style="23" min="15621" max="15621"/>
    <col width="12.6640625" customWidth="1" style="23" min="15622" max="15623"/>
    <col width="3.5" customWidth="1" style="23" min="15624" max="15624"/>
    <col width="13.5" customWidth="1" style="23" min="15625" max="15627"/>
    <col width="9.1640625" customWidth="1" style="23" min="15628" max="15872"/>
    <col width="7.83203125" customWidth="1" style="23" min="15873" max="15873"/>
    <col width="3.5" customWidth="1" style="23" min="15874" max="15874"/>
    <col width="24.6640625" customWidth="1" style="23" min="15875" max="15875"/>
    <col width="12.6640625" customWidth="1" style="23" min="15876" max="15876"/>
    <col width="15.6640625" customWidth="1" style="23" min="15877" max="15877"/>
    <col width="12.6640625" customWidth="1" style="23" min="15878" max="15879"/>
    <col width="3.5" customWidth="1" style="23" min="15880" max="15880"/>
    <col width="13.5" customWidth="1" style="23" min="15881" max="15883"/>
    <col width="9.1640625" customWidth="1" style="23" min="15884" max="16128"/>
    <col width="7.83203125" customWidth="1" style="23" min="16129" max="16129"/>
    <col width="3.5" customWidth="1" style="23" min="16130" max="16130"/>
    <col width="24.6640625" customWidth="1" style="23" min="16131" max="16131"/>
    <col width="12.6640625" customWidth="1" style="23" min="16132" max="16132"/>
    <col width="15.6640625" customWidth="1" style="23" min="16133" max="16133"/>
    <col width="12.6640625" customWidth="1" style="23" min="16134" max="16135"/>
    <col width="3.5" customWidth="1" style="23" min="16136" max="16136"/>
    <col width="13.5" customWidth="1" style="23" min="16137" max="16139"/>
    <col width="9.1640625" customWidth="1" style="23" min="16140" max="16384"/>
  </cols>
  <sheetData>
    <row r="1" ht="23" customHeight="1">
      <c r="A1" s="21" t="inlineStr">
        <is>
          <t>Pareto Analysis</t>
        </is>
      </c>
      <c r="B1" s="22" t="n"/>
      <c r="C1" s="22" t="n"/>
      <c r="D1" s="22" t="n"/>
      <c r="E1" s="22" t="n"/>
      <c r="F1" s="22" t="n"/>
      <c r="G1" s="22" t="n"/>
      <c r="H1" s="87" t="n"/>
      <c r="I1" s="87" t="n"/>
    </row>
    <row r="2" ht="16" customHeight="1">
      <c r="A2" s="24" t="n"/>
      <c r="B2" s="87" t="n"/>
      <c r="C2" s="87" t="n"/>
      <c r="D2" s="87" t="n"/>
      <c r="E2" s="87" t="n"/>
      <c r="F2" s="87" t="n"/>
      <c r="G2" s="87" t="n"/>
      <c r="H2" s="87" t="n"/>
      <c r="I2" s="87" t="inlineStr">
        <is>
          <t xml:space="preserve"> </t>
        </is>
      </c>
    </row>
    <row r="3" ht="16" customHeight="1">
      <c r="A3" s="25" t="n"/>
      <c r="B3" s="87" t="n"/>
      <c r="C3" s="26" t="n"/>
      <c r="D3" s="88" t="n"/>
      <c r="E3" s="88" t="n"/>
      <c r="F3" s="88" t="n"/>
      <c r="G3" s="87" t="n"/>
      <c r="H3" s="87" t="n"/>
      <c r="I3" s="27" t="n"/>
    </row>
    <row r="4">
      <c r="A4" s="89" t="n"/>
      <c r="B4" s="87" t="n"/>
      <c r="C4" s="26" t="n"/>
      <c r="D4" s="88" t="n"/>
      <c r="E4" s="88" t="n"/>
      <c r="F4" s="88" t="n"/>
      <c r="G4" s="87" t="n"/>
      <c r="H4" s="87" t="n"/>
      <c r="I4" s="87" t="n"/>
    </row>
    <row r="5">
      <c r="A5" s="90" t="n"/>
      <c r="B5" s="87" t="n"/>
      <c r="C5" s="26" t="n"/>
      <c r="D5" s="88" t="n"/>
      <c r="E5" s="88" t="n"/>
      <c r="F5" s="88" t="n"/>
      <c r="G5" s="87" t="n"/>
      <c r="H5" s="87" t="n"/>
      <c r="I5" s="87" t="n"/>
    </row>
    <row r="23">
      <c r="B23" s="28" t="inlineStr">
        <is>
          <t>[42]</t>
        </is>
      </c>
      <c r="C23" s="87" t="n"/>
      <c r="D23" s="87" t="n"/>
      <c r="E23" s="87" t="n"/>
      <c r="F23" s="87" t="n"/>
      <c r="G23" s="87" t="n"/>
      <c r="H23" s="87" t="n"/>
      <c r="I23" s="87" t="n"/>
      <c r="J23" s="87" t="n"/>
      <c r="K23" s="87" t="n"/>
    </row>
    <row r="28" ht="16" customHeight="1">
      <c r="B28" s="87" t="n"/>
      <c r="C28" s="87" t="n"/>
      <c r="D28" s="29">
        <f>"The first "&amp;COUNT(I33:I47)&amp;" "&amp;C32&amp;" cover "&amp;TEXT(OFFSET(E32,COUNT(I33:I47),0,1,1),"0.??%")&amp;" of the Total "&amp;D32</f>
        <v/>
      </c>
      <c r="E28" s="87" t="n"/>
      <c r="F28" s="87" t="n"/>
      <c r="G28" s="87" t="n"/>
      <c r="H28" s="87" t="n"/>
      <c r="I28" s="87" t="n"/>
      <c r="J28" s="87" t="n"/>
      <c r="K28" s="87" t="n"/>
    </row>
    <row r="31">
      <c r="B31" s="87" t="n"/>
      <c r="C31" s="87" t="n"/>
      <c r="D31" s="91" t="inlineStr">
        <is>
          <t>Cumulative Percentage Cutoff:</t>
        </is>
      </c>
      <c r="E31" s="92" t="n">
        <v>0.8</v>
      </c>
      <c r="F31" s="87" t="n"/>
      <c r="G31" s="87" t="n"/>
      <c r="H31" s="87" t="n"/>
      <c r="I31" s="87" t="n"/>
      <c r="J31" s="87" t="n"/>
      <c r="K31" s="87" t="n"/>
    </row>
    <row r="32" ht="16" customHeight="1">
      <c r="B32" s="30" t="inlineStr">
        <is>
          <t>#</t>
        </is>
      </c>
      <c r="C32" s="31" t="inlineStr">
        <is>
          <t>Causes</t>
        </is>
      </c>
      <c r="D32" s="32" t="inlineStr">
        <is>
          <t>Defects</t>
        </is>
      </c>
      <c r="E32" s="30" t="inlineStr">
        <is>
          <t>Cumulative%</t>
        </is>
      </c>
      <c r="F32" s="87" t="n"/>
      <c r="G32" s="87" t="n"/>
      <c r="H32" s="87" t="n"/>
      <c r="I32" s="33" t="inlineStr">
        <is>
          <t>Vital Few</t>
        </is>
      </c>
      <c r="J32" s="33" t="inlineStr">
        <is>
          <t>Useful Many</t>
        </is>
      </c>
      <c r="K32" s="33" t="inlineStr">
        <is>
          <t>Cut Off %</t>
        </is>
      </c>
    </row>
    <row r="33">
      <c r="B33" s="93">
        <f>ROW(B33)-ROW($B$32)</f>
        <v/>
      </c>
      <c r="C33" s="94" t="inlineStr">
        <is>
          <t>Glue</t>
        </is>
      </c>
      <c r="D33" s="95" t="n">
        <v>50</v>
      </c>
      <c r="E33" s="178">
        <f>SUM(D33:D$33)/SUM($D$33:$D$47)</f>
        <v/>
      </c>
      <c r="F33" s="87" t="n"/>
      <c r="G33" s="87" t="n"/>
      <c r="H33" s="87" t="n"/>
      <c r="I33" s="34">
        <f>IF(OR(B33=1,OFFSET($E$32,B33-1,0,1,1)&lt;=$E$31),OFFSET($D$32,B33,0,1,1),"")</f>
        <v/>
      </c>
      <c r="J33" s="35">
        <f>IF(I33="",OFFSET($D$32,B33,0,1,1),"")</f>
        <v/>
      </c>
      <c r="K33" s="36">
        <f>$E$31</f>
        <v/>
      </c>
    </row>
    <row r="34">
      <c r="B34" s="93">
        <f>ROW(B34)-ROW($B$32)</f>
        <v/>
      </c>
      <c r="C34" s="94" t="inlineStr">
        <is>
          <t>Binding</t>
        </is>
      </c>
      <c r="D34" s="95" t="n">
        <v>30</v>
      </c>
      <c r="E34" s="178">
        <f>SUM(D$33:D34)/SUM($D$33:$D$47)</f>
        <v/>
      </c>
      <c r="F34" s="87" t="n"/>
      <c r="G34" s="87" t="n"/>
      <c r="H34" s="87" t="n"/>
      <c r="I34" s="34">
        <f>IF(OR(B34=1,OFFSET($E$32,B34-1,0,1,1)&lt;=$E$31),OFFSET($D$32,B34,0,1,1),"")</f>
        <v/>
      </c>
      <c r="J34" s="35">
        <f>IF(I34="",OFFSET($D$32,B34,0,1,1),"")</f>
        <v/>
      </c>
      <c r="K34" s="36">
        <f>$E$31</f>
        <v/>
      </c>
    </row>
    <row r="35">
      <c r="B35" s="93">
        <f>ROW(B35)-ROW($B$32)</f>
        <v/>
      </c>
      <c r="C35" s="94" t="inlineStr">
        <is>
          <t>Button</t>
        </is>
      </c>
      <c r="D35" s="95" t="n">
        <v>15</v>
      </c>
      <c r="E35" s="178">
        <f>SUM(D$33:D35)/SUM($D$33:$D$47)</f>
        <v/>
      </c>
      <c r="F35" s="87" t="n"/>
      <c r="G35" s="87" t="n"/>
      <c r="H35" s="87" t="n"/>
      <c r="I35" s="34">
        <f>IF(OR(B35=1,OFFSET($E$32,B35-1,0,1,1)&lt;=$E$31),OFFSET($D$32,B35,0,1,1),"")</f>
        <v/>
      </c>
      <c r="J35" s="35">
        <f>IF(I35="",OFFSET($D$32,B35,0,1,1),"")</f>
        <v/>
      </c>
      <c r="K35" s="36">
        <f>$E$31</f>
        <v/>
      </c>
    </row>
    <row r="36">
      <c r="B36" s="93">
        <f>ROW(B36)-ROW($B$32)</f>
        <v/>
      </c>
      <c r="C36" s="94" t="inlineStr">
        <is>
          <t>Pressure Applied</t>
        </is>
      </c>
      <c r="D36" s="95" t="n">
        <v>5</v>
      </c>
      <c r="E36" s="178">
        <f>SUM(D$33:D36)/SUM($D$33:$D$47)</f>
        <v/>
      </c>
      <c r="F36" s="87" t="n"/>
      <c r="G36" s="87" t="n"/>
      <c r="H36" s="87" t="n"/>
      <c r="I36" s="34">
        <f>IF(OR(B36=1,OFFSET($E$32,B36-1,0,1,1)&lt;=$E$31),OFFSET($D$32,B36,0,1,1),"")</f>
        <v/>
      </c>
      <c r="J36" s="35">
        <f>IF(I36="",OFFSET($D$32,B36,0,1,1),"")</f>
        <v/>
      </c>
      <c r="K36" s="36">
        <f>$E$31</f>
        <v/>
      </c>
    </row>
    <row r="37">
      <c r="B37" s="93">
        <f>ROW(B37)-ROW($B$32)</f>
        <v/>
      </c>
      <c r="C37" s="94" t="inlineStr">
        <is>
          <t>Cause # 5</t>
        </is>
      </c>
      <c r="D37" s="95" t="n">
        <v>3</v>
      </c>
      <c r="E37" s="178">
        <f>SUM(D$33:D37)/SUM($D$33:$D$47)</f>
        <v/>
      </c>
      <c r="F37" s="87" t="n"/>
      <c r="G37" s="87" t="n"/>
      <c r="H37" s="87" t="n"/>
      <c r="I37" s="34">
        <f>IF(OR(B37=1,OFFSET($E$32,B37-1,0,1,1)&lt;=$E$31),OFFSET($D$32,B37,0,1,1),"")</f>
        <v/>
      </c>
      <c r="J37" s="35">
        <f>IF(I37="",OFFSET($D$32,B37,0,1,1),"")</f>
        <v/>
      </c>
      <c r="K37" s="36">
        <f>$E$31</f>
        <v/>
      </c>
    </row>
    <row r="38">
      <c r="B38" s="93">
        <f>ROW(B38)-ROW($B$32)</f>
        <v/>
      </c>
      <c r="C38" s="94" t="inlineStr">
        <is>
          <t>Cause # 6</t>
        </is>
      </c>
      <c r="D38" s="95" t="n">
        <v>2</v>
      </c>
      <c r="E38" s="178">
        <f>SUM(D$33:D38)/SUM($D$33:$D$47)</f>
        <v/>
      </c>
      <c r="F38" s="87" t="n"/>
      <c r="G38" s="87" t="n"/>
      <c r="H38" s="87" t="n"/>
      <c r="I38" s="34">
        <f>IF(OR(B38=1,OFFSET($E$32,B38-1,0,1,1)&lt;=$E$31),OFFSET($D$32,B38,0,1,1),"")</f>
        <v/>
      </c>
      <c r="J38" s="35">
        <f>IF(I38="",OFFSET($D$32,B38,0,1,1),"")</f>
        <v/>
      </c>
      <c r="K38" s="36">
        <f>$E$31</f>
        <v/>
      </c>
    </row>
    <row r="39">
      <c r="B39" s="93">
        <f>ROW(B39)-ROW($B$32)</f>
        <v/>
      </c>
      <c r="C39" s="94" t="inlineStr">
        <is>
          <t>Cause # 7</t>
        </is>
      </c>
      <c r="D39" s="95" t="n">
        <v>1</v>
      </c>
      <c r="E39" s="178">
        <f>SUM(D$33:D39)/SUM($D$33:$D$47)</f>
        <v/>
      </c>
      <c r="F39" s="87" t="n"/>
      <c r="G39" s="87" t="n"/>
      <c r="H39" s="87" t="n"/>
      <c r="I39" s="34">
        <f>IF(OR(B39=1,OFFSET($E$32,B39-1,0,1,1)&lt;=$E$31),OFFSET($D$32,B39,0,1,1),"")</f>
        <v/>
      </c>
      <c r="J39" s="35">
        <f>IF(I39="",OFFSET($D$32,B39,0,1,1),"")</f>
        <v/>
      </c>
      <c r="K39" s="36">
        <f>$E$31</f>
        <v/>
      </c>
    </row>
    <row r="40">
      <c r="B40" s="93">
        <f>ROW(B40)-ROW($B$32)</f>
        <v/>
      </c>
      <c r="C40" s="94" t="inlineStr">
        <is>
          <t>Cause # 8</t>
        </is>
      </c>
      <c r="D40" s="95" t="n">
        <v>1</v>
      </c>
      <c r="E40" s="178">
        <f>SUM(D$33:D40)/SUM($D$33:$D$47)</f>
        <v/>
      </c>
      <c r="F40" s="87" t="n"/>
      <c r="G40" s="87" t="n"/>
      <c r="H40" s="87" t="n"/>
      <c r="I40" s="34">
        <f>IF(OR(B40=1,OFFSET($E$32,B40-1,0,1,1)&lt;=$E$31),OFFSET($D$32,B40,0,1,1),"")</f>
        <v/>
      </c>
      <c r="J40" s="35">
        <f>IF(I40="",OFFSET($D$32,B40,0,1,1),"")</f>
        <v/>
      </c>
      <c r="K40" s="36">
        <f>$E$31</f>
        <v/>
      </c>
    </row>
    <row r="41">
      <c r="B41" s="93">
        <f>ROW(B41)-ROW($B$32)</f>
        <v/>
      </c>
      <c r="C41" s="94" t="inlineStr">
        <is>
          <t>Cause # 9</t>
        </is>
      </c>
      <c r="D41" s="95" t="n">
        <v>1</v>
      </c>
      <c r="E41" s="178">
        <f>SUM(D$33:D41)/SUM($D$33:$D$47)</f>
        <v/>
      </c>
      <c r="F41" s="87" t="n"/>
      <c r="G41" s="87" t="n"/>
      <c r="H41" s="87" t="n"/>
      <c r="I41" s="34">
        <f>IF(OR(B41=1,OFFSET($E$32,B41-1,0,1,1)&lt;=$E$31),OFFSET($D$32,B41,0,1,1),"")</f>
        <v/>
      </c>
      <c r="J41" s="35">
        <f>IF(I41="",OFFSET($D$32,B41,0,1,1),"")</f>
        <v/>
      </c>
      <c r="K41" s="36">
        <f>$E$31</f>
        <v/>
      </c>
    </row>
    <row r="42">
      <c r="B42" s="93">
        <f>ROW(B42)-ROW($B$32)</f>
        <v/>
      </c>
      <c r="C42" s="94" t="n"/>
      <c r="D42" s="95" t="n"/>
      <c r="E42" s="178">
        <f>SUM(D$33:D42)/SUM($D$33:$D$47)</f>
        <v/>
      </c>
      <c r="F42" s="87" t="n"/>
      <c r="G42" s="87" t="n"/>
      <c r="H42" s="87" t="n"/>
      <c r="I42" s="34">
        <f>IF(OR(B42=1,OFFSET($E$32,B42-1,0,1,1)&lt;=$E$31),OFFSET($D$32,B42,0,1,1),"")</f>
        <v/>
      </c>
      <c r="J42" s="35">
        <f>IF(I42="",OFFSET($D$32,B42,0,1,1),"")</f>
        <v/>
      </c>
      <c r="K42" s="36">
        <f>$E$31</f>
        <v/>
      </c>
    </row>
    <row r="43">
      <c r="B43" s="93">
        <f>ROW(B43)-ROW($B$32)</f>
        <v/>
      </c>
      <c r="C43" s="94" t="n"/>
      <c r="D43" s="95" t="n"/>
      <c r="E43" s="178">
        <f>SUM(D$33:D43)/SUM($D$33:$D$47)</f>
        <v/>
      </c>
      <c r="F43" s="87" t="n"/>
      <c r="G43" s="87" t="n"/>
      <c r="H43" s="87" t="n"/>
      <c r="I43" s="34">
        <f>IF(OR(B43=1,OFFSET($E$32,B43-1,0,1,1)&lt;=$E$31),OFFSET($D$32,B43,0,1,1),"")</f>
        <v/>
      </c>
      <c r="J43" s="35">
        <f>IF(I43="",OFFSET($D$32,B43,0,1,1),"")</f>
        <v/>
      </c>
      <c r="K43" s="36">
        <f>$E$31</f>
        <v/>
      </c>
    </row>
    <row r="44">
      <c r="B44" s="93">
        <f>ROW(B44)-ROW($B$32)</f>
        <v/>
      </c>
      <c r="C44" s="94" t="n"/>
      <c r="D44" s="95" t="n"/>
      <c r="E44" s="178">
        <f>SUM(D$33:D44)/SUM($D$33:$D$47)</f>
        <v/>
      </c>
      <c r="F44" s="87" t="n"/>
      <c r="G44" s="87" t="n"/>
      <c r="H44" s="87" t="n"/>
      <c r="I44" s="34">
        <f>IF(OR(B44=1,OFFSET($E$32,B44-1,0,1,1)&lt;=$E$31),OFFSET($D$32,B44,0,1,1),"")</f>
        <v/>
      </c>
      <c r="J44" s="35">
        <f>IF(I44="",OFFSET($D$32,B44,0,1,1),"")</f>
        <v/>
      </c>
      <c r="K44" s="36">
        <f>$E$31</f>
        <v/>
      </c>
    </row>
    <row r="45">
      <c r="B45" s="93">
        <f>ROW(B45)-ROW($B$32)</f>
        <v/>
      </c>
      <c r="C45" s="94" t="n"/>
      <c r="D45" s="95" t="n"/>
      <c r="E45" s="178">
        <f>SUM(D$33:D45)/SUM($D$33:$D$47)</f>
        <v/>
      </c>
      <c r="F45" s="87" t="n"/>
      <c r="G45" s="87" t="n"/>
      <c r="H45" s="87" t="n"/>
      <c r="I45" s="34">
        <f>IF(OR(B45=1,OFFSET($E$32,B45-1,0,1,1)&lt;=$E$31),OFFSET($D$32,B45,0,1,1),"")</f>
        <v/>
      </c>
      <c r="J45" s="35">
        <f>IF(I45="",OFFSET($D$32,B45,0,1,1),"")</f>
        <v/>
      </c>
      <c r="K45" s="36">
        <f>$E$31</f>
        <v/>
      </c>
    </row>
    <row r="46">
      <c r="B46" s="93">
        <f>ROW(B46)-ROW($B$32)</f>
        <v/>
      </c>
      <c r="C46" s="94" t="n"/>
      <c r="D46" s="95" t="n"/>
      <c r="E46" s="178">
        <f>SUM(D$33:D46)/SUM($D$33:$D$47)</f>
        <v/>
      </c>
      <c r="F46" s="87" t="n"/>
      <c r="G46" s="87" t="n"/>
      <c r="H46" s="87" t="n"/>
      <c r="I46" s="34">
        <f>IF(OR(B46=1,OFFSET($E$32,B46-1,0,1,1)&lt;=$E$31),OFFSET($D$32,B46,0,1,1),"")</f>
        <v/>
      </c>
      <c r="J46" s="35">
        <f>IF(I46="",OFFSET($D$32,B46,0,1,1),"")</f>
        <v/>
      </c>
      <c r="K46" s="36">
        <f>$E$31</f>
        <v/>
      </c>
    </row>
    <row r="47">
      <c r="B47" s="93">
        <f>ROW(B47)-ROW($B$32)</f>
        <v/>
      </c>
      <c r="C47" s="94" t="n"/>
      <c r="D47" s="95" t="n"/>
      <c r="E47" s="178">
        <f>SUM(D$33:D47)/SUM($D$33:$D$47)</f>
        <v/>
      </c>
      <c r="F47" s="87" t="n"/>
      <c r="G47" s="87" t="n"/>
      <c r="H47" s="87" t="n"/>
      <c r="I47" s="34">
        <f>IF(OR(B47=1,OFFSET($E$32,B47-1,0,1,1)&lt;=$E$31),OFFSET($D$32,B47,0,1,1),"")</f>
        <v/>
      </c>
      <c r="J47" s="35">
        <f>IF(I47="",OFFSET($D$32,B47,0,1,1),"")</f>
        <v/>
      </c>
      <c r="K47" s="36">
        <f>$E$31</f>
        <v/>
      </c>
    </row>
    <row r="48">
      <c r="B48" s="37" t="inlineStr">
        <is>
          <t>Insert new rows above this line</t>
        </is>
      </c>
      <c r="C48" s="22" t="n"/>
      <c r="D48" s="22" t="n"/>
      <c r="E48" s="22" t="n"/>
      <c r="F48" s="87" t="n"/>
      <c r="G48" s="87" t="n"/>
      <c r="H48" s="87" t="n"/>
      <c r="I48" s="22" t="n"/>
      <c r="J48" s="22" t="n"/>
      <c r="K48" s="22" t="n"/>
    </row>
  </sheetData>
  <printOptions horizontalCentered="1"/>
  <pageMargins left="0.75" right="0.75" top="0.5" bottom="0.5" header="0.5" footer="0.25"/>
  <pageSetup orientation="portrait" fitToHeight="0"/>
  <headerFooter alignWithMargins="0">
    <oddHeader/>
    <oddFooter>&amp;L&amp;8 © 2009 Vertex42 LLC&amp;R&amp;8 Templates by Vertex42.com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0" workbookViewId="0">
      <selection activeCell="G3" sqref="G3"/>
    </sheetView>
  </sheetViews>
  <sheetFormatPr baseColWidth="10" defaultColWidth="9.1640625" defaultRowHeight="15"/>
  <cols>
    <col width="4.5" customWidth="1" style="40" min="1" max="1"/>
    <col width="5.83203125" customWidth="1" style="40" min="2" max="2"/>
    <col width="24.5" customWidth="1" style="40" min="3" max="3"/>
    <col width="31.1640625" customWidth="1" style="40" min="4" max="5"/>
    <col width="12.83203125" customWidth="1" style="40" min="6" max="6"/>
    <col width="16" customWidth="1" style="40" min="7" max="7"/>
    <col width="9.1640625" customWidth="1" style="40" min="8" max="16384"/>
  </cols>
  <sheetData>
    <row r="1" ht="16" customHeight="1" thickBot="1"/>
    <row r="2" ht="19" customHeight="1" thickBot="1">
      <c r="B2" s="179" t="inlineStr">
        <is>
          <t>CORRECTIVE &amp; PREVENTIVE ACTION PLAN (CAPA)</t>
        </is>
      </c>
      <c r="C2" s="163" t="n"/>
      <c r="D2" s="163" t="n"/>
      <c r="E2" s="163" t="n"/>
      <c r="F2" s="163" t="n"/>
      <c r="G2" s="164" t="n"/>
    </row>
    <row r="3" ht="29" customHeight="1" thickBot="1">
      <c r="B3" s="126" t="inlineStr">
        <is>
          <t>Sl #</t>
        </is>
      </c>
      <c r="C3" s="127" t="inlineStr">
        <is>
          <t>Analysis Points Observed</t>
        </is>
      </c>
      <c r="D3" s="127" t="inlineStr">
        <is>
          <t xml:space="preserve">Corrective Action Identified </t>
        </is>
      </c>
      <c r="E3" s="127" t="inlineStr">
        <is>
          <t xml:space="preserve">Preventive Action Identified </t>
        </is>
      </c>
      <c r="F3" s="127" t="inlineStr">
        <is>
          <t>Planned Closure Date</t>
        </is>
      </c>
      <c r="G3" s="127" t="inlineStr">
        <is>
          <t xml:space="preserve">Actual Closure Date </t>
        </is>
      </c>
    </row>
    <row r="4">
      <c r="B4" s="60" t="n"/>
      <c r="C4" s="38" t="n"/>
      <c r="D4" s="38" t="n"/>
      <c r="E4" s="38" t="n"/>
      <c r="F4" s="180" t="n"/>
      <c r="G4" s="181" t="n"/>
    </row>
    <row r="5">
      <c r="B5" s="61" t="n"/>
      <c r="C5" s="39" t="n"/>
      <c r="D5" s="39" t="n"/>
      <c r="E5" s="39" t="n"/>
      <c r="F5" s="182" t="n"/>
      <c r="G5" s="183" t="n"/>
    </row>
    <row r="6">
      <c r="B6" s="61" t="n"/>
      <c r="C6" s="39" t="n"/>
      <c r="D6" s="39" t="n"/>
      <c r="E6" s="39" t="n"/>
      <c r="F6" s="182" t="n"/>
      <c r="G6" s="183" t="n"/>
    </row>
    <row r="7">
      <c r="B7" s="61" t="n"/>
      <c r="C7" s="39" t="n"/>
      <c r="D7" s="39" t="n"/>
      <c r="E7" s="39" t="n"/>
      <c r="F7" s="182" t="n"/>
      <c r="G7" s="183" t="n"/>
    </row>
    <row r="8">
      <c r="B8" s="61" t="n"/>
      <c r="C8" s="39" t="n"/>
      <c r="D8" s="39" t="n"/>
      <c r="E8" s="39" t="n"/>
      <c r="F8" s="182" t="n"/>
      <c r="G8" s="183" t="n"/>
    </row>
    <row r="9">
      <c r="B9" s="61" t="n"/>
      <c r="C9" s="39" t="n"/>
      <c r="D9" s="39" t="n"/>
      <c r="E9" s="39" t="n"/>
      <c r="F9" s="182" t="n"/>
      <c r="G9" s="183" t="n"/>
    </row>
    <row r="10">
      <c r="B10" s="61" t="n"/>
      <c r="C10" s="39" t="n"/>
      <c r="D10" s="39" t="n"/>
      <c r="E10" s="39" t="n"/>
      <c r="F10" s="182" t="n"/>
      <c r="G10" s="183" t="n"/>
    </row>
    <row r="11">
      <c r="B11" s="60" t="n"/>
      <c r="C11" s="38" t="n"/>
      <c r="D11" s="38" t="n"/>
      <c r="E11" s="38" t="n"/>
      <c r="F11" s="180" t="n"/>
      <c r="G11" s="181" t="n"/>
    </row>
    <row r="12">
      <c r="B12" s="61" t="n"/>
      <c r="C12" s="39" t="n"/>
      <c r="D12" s="39" t="n"/>
      <c r="E12" s="39" t="n"/>
      <c r="F12" s="182" t="n"/>
      <c r="G12" s="183" t="n"/>
    </row>
    <row r="13">
      <c r="B13" s="61" t="n"/>
      <c r="C13" s="39" t="n"/>
      <c r="D13" s="39" t="n"/>
      <c r="E13" s="39" t="n"/>
      <c r="F13" s="182" t="n"/>
      <c r="G13" s="183" t="n"/>
    </row>
    <row r="14">
      <c r="B14" s="61" t="n"/>
      <c r="C14" s="39" t="n"/>
      <c r="D14" s="39" t="n"/>
      <c r="E14" s="39" t="n"/>
      <c r="F14" s="182" t="n"/>
      <c r="G14" s="183" t="n"/>
    </row>
    <row r="15">
      <c r="B15" s="61" t="n"/>
      <c r="C15" s="39" t="n"/>
      <c r="D15" s="39" t="n"/>
      <c r="E15" s="39" t="n"/>
      <c r="F15" s="182" t="n"/>
      <c r="G15" s="183" t="n"/>
    </row>
    <row r="16">
      <c r="B16" s="61" t="n"/>
      <c r="C16" s="39" t="n"/>
      <c r="D16" s="39" t="n"/>
      <c r="E16" s="39" t="n"/>
      <c r="F16" s="182" t="n"/>
      <c r="G16" s="183" t="n"/>
    </row>
    <row r="17">
      <c r="B17" s="61" t="n"/>
      <c r="C17" s="39" t="n"/>
      <c r="D17" s="39" t="n"/>
      <c r="E17" s="39" t="n"/>
      <c r="F17" s="182" t="n"/>
      <c r="G17" s="183" t="n"/>
    </row>
    <row r="18">
      <c r="B18" s="60" t="n"/>
      <c r="C18" s="38" t="n"/>
      <c r="D18" s="38" t="n"/>
      <c r="E18" s="38" t="n"/>
      <c r="F18" s="180" t="n"/>
      <c r="G18" s="181" t="n"/>
    </row>
    <row r="19">
      <c r="B19" s="61" t="n"/>
      <c r="C19" s="39" t="n"/>
      <c r="D19" s="39" t="n"/>
      <c r="E19" s="39" t="n"/>
      <c r="F19" s="182" t="n"/>
      <c r="G19" s="183" t="n"/>
    </row>
    <row r="20">
      <c r="B20" s="61" t="n"/>
      <c r="C20" s="39" t="n"/>
      <c r="D20" s="39" t="n"/>
      <c r="E20" s="39" t="n"/>
      <c r="F20" s="182" t="n"/>
      <c r="G20" s="183" t="n"/>
    </row>
    <row r="21">
      <c r="B21" s="61" t="n"/>
      <c r="C21" s="39" t="n"/>
      <c r="D21" s="39" t="n"/>
      <c r="E21" s="39" t="n"/>
      <c r="F21" s="182" t="n"/>
      <c r="G21" s="183" t="n"/>
    </row>
    <row r="22">
      <c r="B22" s="61" t="n"/>
      <c r="C22" s="39" t="n"/>
      <c r="D22" s="39" t="n"/>
      <c r="E22" s="39" t="n"/>
      <c r="F22" s="182" t="n"/>
      <c r="G22" s="183" t="n"/>
    </row>
    <row r="23">
      <c r="B23" s="61" t="n"/>
      <c r="C23" s="39" t="n"/>
      <c r="D23" s="39" t="n"/>
      <c r="E23" s="39" t="n"/>
      <c r="F23" s="182" t="n"/>
      <c r="G23" s="183" t="n"/>
    </row>
    <row r="24">
      <c r="B24" s="61" t="n"/>
      <c r="C24" s="39" t="n"/>
      <c r="D24" s="39" t="n"/>
      <c r="E24" s="39" t="n"/>
      <c r="F24" s="182" t="n"/>
      <c r="G24" s="183" t="n"/>
    </row>
    <row r="25">
      <c r="B25" s="60" t="n"/>
      <c r="C25" s="38" t="n"/>
      <c r="D25" s="38" t="n"/>
      <c r="E25" s="38" t="n"/>
      <c r="F25" s="180" t="n"/>
      <c r="G25" s="181" t="n"/>
    </row>
    <row r="26">
      <c r="B26" s="61" t="n"/>
      <c r="C26" s="39" t="n"/>
      <c r="D26" s="39" t="n"/>
      <c r="E26" s="39" t="n"/>
      <c r="F26" s="182" t="n"/>
      <c r="G26" s="183" t="n"/>
    </row>
    <row r="27">
      <c r="B27" s="61" t="n"/>
      <c r="C27" s="39" t="n"/>
      <c r="D27" s="39" t="n"/>
      <c r="E27" s="39" t="n"/>
      <c r="F27" s="182" t="n"/>
      <c r="G27" s="183" t="n"/>
    </row>
    <row r="28">
      <c r="B28" s="61" t="n"/>
      <c r="C28" s="39" t="n"/>
      <c r="D28" s="39" t="n"/>
      <c r="E28" s="39" t="n"/>
      <c r="F28" s="182" t="n"/>
      <c r="G28" s="183" t="n"/>
    </row>
    <row r="29">
      <c r="B29" s="61" t="n"/>
      <c r="C29" s="39" t="n"/>
      <c r="D29" s="39" t="n"/>
      <c r="E29" s="39" t="n"/>
      <c r="F29" s="182" t="n"/>
      <c r="G29" s="183" t="n"/>
    </row>
    <row r="30">
      <c r="B30" s="61" t="n"/>
      <c r="C30" s="39" t="n"/>
      <c r="D30" s="39" t="n"/>
      <c r="E30" s="39" t="n"/>
      <c r="F30" s="182" t="n"/>
      <c r="G30" s="183" t="n"/>
    </row>
    <row r="31">
      <c r="B31" s="61" t="n"/>
      <c r="C31" s="39" t="n"/>
      <c r="D31" s="39" t="n"/>
      <c r="E31" s="39" t="n"/>
      <c r="F31" s="182" t="n"/>
      <c r="G31" s="183" t="n"/>
    </row>
    <row r="32">
      <c r="B32" s="60" t="n"/>
      <c r="C32" s="38" t="n"/>
      <c r="D32" s="38" t="n"/>
      <c r="E32" s="38" t="n"/>
      <c r="F32" s="180" t="n"/>
      <c r="G32" s="181" t="n"/>
    </row>
    <row r="33">
      <c r="B33" s="61" t="n"/>
      <c r="C33" s="39" t="n"/>
      <c r="D33" s="39" t="n"/>
      <c r="E33" s="39" t="n"/>
      <c r="F33" s="182" t="n"/>
      <c r="G33" s="183" t="n"/>
    </row>
    <row r="34">
      <c r="B34" s="61" t="n"/>
      <c r="C34" s="39" t="n"/>
      <c r="D34" s="39" t="n"/>
      <c r="E34" s="39" t="n"/>
      <c r="F34" s="182" t="n"/>
      <c r="G34" s="183" t="n"/>
    </row>
    <row r="35">
      <c r="B35" s="61" t="n"/>
      <c r="C35" s="39" t="n"/>
      <c r="D35" s="39" t="n"/>
      <c r="E35" s="39" t="n"/>
      <c r="F35" s="182" t="n"/>
      <c r="G35" s="183" t="n"/>
    </row>
    <row r="36">
      <c r="B36" s="61" t="n"/>
      <c r="C36" s="39" t="n"/>
      <c r="D36" s="39" t="n"/>
      <c r="E36" s="39" t="n"/>
      <c r="F36" s="182" t="n"/>
      <c r="G36" s="183" t="n"/>
    </row>
    <row r="37">
      <c r="B37" s="61" t="n"/>
      <c r="C37" s="39" t="n"/>
      <c r="D37" s="39" t="n"/>
      <c r="E37" s="39" t="n"/>
      <c r="F37" s="182" t="n"/>
      <c r="G37" s="183" t="n"/>
    </row>
    <row r="38">
      <c r="B38" s="61" t="n"/>
      <c r="C38" s="39" t="n"/>
      <c r="D38" s="39" t="n"/>
      <c r="E38" s="39" t="n"/>
      <c r="F38" s="182" t="n"/>
      <c r="G38" s="183" t="n"/>
    </row>
    <row r="39">
      <c r="B39" s="60" t="n"/>
      <c r="C39" s="38" t="n"/>
      <c r="D39" s="38" t="n"/>
      <c r="E39" s="38" t="n"/>
      <c r="F39" s="180" t="n"/>
      <c r="G39" s="181" t="n"/>
    </row>
    <row r="40">
      <c r="B40" s="61" t="n"/>
      <c r="C40" s="39" t="n"/>
      <c r="D40" s="39" t="n"/>
      <c r="E40" s="39" t="n"/>
      <c r="F40" s="182" t="n"/>
      <c r="G40" s="183" t="n"/>
    </row>
    <row r="41">
      <c r="B41" s="61" t="n"/>
      <c r="C41" s="39" t="n"/>
      <c r="D41" s="39" t="n"/>
      <c r="E41" s="39" t="n"/>
      <c r="F41" s="182" t="n"/>
      <c r="G41" s="183" t="n"/>
    </row>
    <row r="42">
      <c r="B42" s="61" t="n"/>
      <c r="C42" s="39" t="n"/>
      <c r="D42" s="39" t="n"/>
      <c r="E42" s="39" t="n"/>
      <c r="F42" s="182" t="n"/>
      <c r="G42" s="183" t="n"/>
    </row>
    <row r="43">
      <c r="B43" s="61" t="n"/>
      <c r="C43" s="39" t="n"/>
      <c r="D43" s="39" t="n"/>
      <c r="E43" s="39" t="n"/>
      <c r="F43" s="182" t="n"/>
      <c r="G43" s="183" t="n"/>
    </row>
    <row r="44" ht="16" customHeight="1" thickBot="1">
      <c r="B44" s="62" t="n"/>
      <c r="C44" s="49" t="n"/>
      <c r="D44" s="49" t="n"/>
      <c r="E44" s="49" t="n"/>
      <c r="F44" s="184" t="n"/>
      <c r="G44" s="185" t="n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bestinet</dc:creator>
  <dcterms:created xmlns:dcterms="http://purl.org/dc/terms/" xmlns:xsi="http://www.w3.org/2001/XMLSchema-instance" xsi:type="dcterms:W3CDTF">2017-10-31T03:53:43Z</dcterms:created>
  <dcterms:modified xmlns:dcterms="http://purl.org/dc/terms/" xmlns:xsi="http://www.w3.org/2001/XMLSchema-instance" xsi:type="dcterms:W3CDTF">2026-07-18T08:50:03Z</dcterms:modified>
  <cp:lastModifiedBy>SYAMIL BIN ABDUL SAMAT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0x010100D5AB0CD1DD65FF45ACCBA0C60D1867E8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_SourceUrl" fmtid="{D5CDD505-2E9C-101B-9397-08002B2CF9AE}" pid="5">
    <vt:lpwstr xmlns:vt="http://schemas.openxmlformats.org/officeDocument/2006/docPropsVTypes"/>
  </property>
  <property name="_SharedFileIndex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  <property name="xd_Signature" fmtid="{D5CDD505-2E9C-101B-9397-08002B2CF9AE}" pid="11">
    <vt:bool xmlns:vt="http://schemas.openxmlformats.org/officeDocument/2006/docPropsVTypes">0</vt:bool>
  </property>
</Properties>
</file>