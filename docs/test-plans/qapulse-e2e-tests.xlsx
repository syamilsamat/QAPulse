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420" yWindow="880" windowWidth="31580" windowHeight="21120" tabRatio="713" firstSheet="0" activeTab="0" autoFilterDateGrouping="1"/>
  </bookViews>
  <sheets>
    <sheet xmlns:r="http://schemas.openxmlformats.org/officeDocument/2006/relationships" name="Doc Info" sheetId="1" state="visible" r:id="rId1"/>
    <sheet xmlns:r="http://schemas.openxmlformats.org/officeDocument/2006/relationships" name="Review Log" sheetId="2" state="visible" r:id="rId2"/>
    <sheet xmlns:r="http://schemas.openxmlformats.org/officeDocument/2006/relationships" name="Test Step" sheetId="3" state="visible" r:id="rId3"/>
    <sheet xmlns:r="http://schemas.openxmlformats.org/officeDocument/2006/relationships" name="Review &amp; Rework Effort" sheetId="4" state="visible" r:id="rId4"/>
    <sheet xmlns:r="http://schemas.openxmlformats.org/officeDocument/2006/relationships" name="Pareto Analysis" sheetId="5" state="visible" r:id="rId5"/>
    <sheet xmlns:r="http://schemas.openxmlformats.org/officeDocument/2006/relationships" name="CAPA" sheetId="6" state="visible" r:id="rId6"/>
  </sheets>
  <definedNames>
    <definedName name="valuevx">42.314159</definedName>
    <definedName name="_xlnm._FilterDatabase" localSheetId="2" hidden="1">'Test Step'!$A$1:$M$1</definedName>
    <definedName name="_xlnm.Print_Titles" localSheetId="4">'Pareto Analysis'!$1:$2</definedName>
    <definedName name="_xlnm.Print_Area" localSheetId="4">'Pareto Analysis'!$A$1:$G$47</definedName>
  </definedNames>
  <calcPr calcId="191028" fullCalcOnLoad="1"/>
</workbook>
</file>

<file path=xl/styles.xml><?xml version="1.0" encoding="utf-8"?>
<styleSheet xmlns="http://schemas.openxmlformats.org/spreadsheetml/2006/main">
  <numFmts count="4">
    <numFmt numFmtId="164" formatCode="[$-409]d\-mmm\-yy;@"/>
    <numFmt numFmtId="165" formatCode="0.0"/>
    <numFmt numFmtId="166" formatCode="[$-409]d\-mmm;@"/>
    <numFmt numFmtId="167" formatCode="0.0%"/>
  </numFmts>
  <fonts count="27">
    <font>
      <name val="Calibri"/>
      <family val="2"/>
      <color theme="1"/>
      <sz val="11"/>
      <scheme val="minor"/>
    </font>
    <font>
      <name val="Arial"/>
      <charset val="134"/>
      <family val="2"/>
      <b val="1"/>
      <color indexed="8"/>
      <sz val="10"/>
    </font>
    <font>
      <name val="Arial"/>
      <charset val="134"/>
      <family val="2"/>
      <sz val="10"/>
    </font>
    <font>
      <name val="Tahoma"/>
      <family val="2"/>
      <color indexed="81"/>
      <sz val="9"/>
    </font>
    <font>
      <name val="Tahoma"/>
      <family val="2"/>
      <b val="1"/>
      <color indexed="81"/>
      <sz val="9"/>
    </font>
    <font>
      <name val="Arial"/>
      <family val="2"/>
      <sz val="10"/>
    </font>
    <font>
      <name val="Arial"/>
      <family val="2"/>
      <b val="1"/>
      <color indexed="53"/>
      <sz val="18"/>
    </font>
    <font>
      <name val="Arial"/>
      <family val="2"/>
      <sz val="10"/>
    </font>
    <font>
      <name val="Arial"/>
      <family val="2"/>
      <b val="1"/>
      <sz val="12"/>
    </font>
    <font>
      <name val="Arial"/>
      <family val="2"/>
      <b val="1"/>
      <sz val="10"/>
    </font>
    <font>
      <name val="Arial"/>
      <family val="2"/>
      <color indexed="12"/>
      <sz val="10"/>
      <u val="single"/>
    </font>
    <font>
      <name val="Arial"/>
      <family val="2"/>
      <color indexed="9"/>
      <sz val="8"/>
    </font>
    <font>
      <name val="Arial"/>
      <family val="2"/>
      <b val="1"/>
      <color indexed="53"/>
      <sz val="12"/>
    </font>
    <font>
      <name val="Arial"/>
      <family val="2"/>
      <color indexed="9"/>
      <sz val="12"/>
    </font>
    <font>
      <name val="Arial"/>
      <family val="2"/>
      <b val="1"/>
      <color indexed="9"/>
      <sz val="12"/>
    </font>
    <font>
      <name val="Arial"/>
      <family val="2"/>
      <color indexed="23"/>
      <sz val="12"/>
    </font>
    <font>
      <name val="Arial"/>
      <family val="2"/>
      <color indexed="55"/>
      <sz val="10"/>
    </font>
    <font>
      <name val="Arial"/>
      <family val="2"/>
      <color indexed="23"/>
      <sz val="8"/>
    </font>
    <font>
      <name val="Arial"/>
      <family val="2"/>
      <b val="1"/>
      <sz val="14"/>
    </font>
    <font>
      <name val="Arial"/>
      <family val="2"/>
      <color theme="1"/>
      <sz val="10"/>
    </font>
    <font>
      <name val="Arial"/>
      <charset val="134"/>
      <family val="2"/>
      <b val="1"/>
      <color indexed="8"/>
      <sz val="12"/>
    </font>
    <font>
      <name val="Arial"/>
      <family val="2"/>
      <b val="1"/>
      <color indexed="8"/>
      <sz val="20"/>
    </font>
    <font>
      <name val="Calibri"/>
      <family val="2"/>
      <sz val="8"/>
      <scheme val="minor"/>
    </font>
    <font>
      <name val="Calibri"/>
      <family val="2"/>
      <b val="1"/>
      <color rgb="FFFFFFFF"/>
      <sz val="11"/>
    </font>
    <font>
      <name val="Calibri"/>
      <family val="2"/>
      <b val="1"/>
      <color theme="1"/>
      <sz val="11"/>
      <scheme val="minor"/>
    </font>
    <font>
      <name val="Tahoma"/>
      <family val="2"/>
      <b val="1"/>
      <color rgb="FF000000"/>
      <sz val="9"/>
    </font>
    <font>
      <name val="Tahoma"/>
      <family val="2"/>
      <color rgb="FF000000"/>
      <sz val="9"/>
    </font>
  </fonts>
  <fills count="9">
    <fill>
      <patternFill/>
    </fill>
    <fill>
      <patternFill patternType="gray125"/>
    </fill>
    <fill>
      <patternFill patternType="solid">
        <fgColor indexed="22"/>
        <bgColor indexed="64"/>
      </patternFill>
    </fill>
    <fill>
      <patternFill patternType="solid">
        <fgColor indexed="47"/>
        <bgColor indexed="64"/>
      </patternFill>
    </fill>
    <fill>
      <patternFill patternType="solid">
        <fgColor indexed="53"/>
        <bgColor indexed="64"/>
      </patternFill>
    </fill>
    <fill>
      <patternFill patternType="solid">
        <fgColor theme="0" tint="-0.1499984740745262"/>
        <bgColor indexed="64"/>
      </patternFill>
    </fill>
    <fill>
      <patternFill patternType="solid">
        <fgColor indexed="9"/>
        <bgColor indexed="64"/>
      </patternFill>
    </fill>
    <fill>
      <patternFill patternType="solid">
        <fgColor theme="0" tint="-0.1499984740745262"/>
        <bgColor indexed="8"/>
      </patternFill>
    </fill>
    <fill>
      <patternFill patternType="solid">
        <fgColor rgb="FF002060"/>
        <bgColor rgb="FF000000"/>
      </patternFill>
    </fill>
  </fills>
  <borders count="53">
    <border>
      <left/>
      <right/>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8"/>
      </left>
      <right style="thin">
        <color indexed="8"/>
      </right>
      <top style="thin">
        <color indexed="8"/>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55"/>
      </left>
      <right/>
      <top/>
      <bottom/>
      <diagonal/>
    </border>
    <border>
      <left/>
      <right style="thin">
        <color indexed="55"/>
      </right>
      <top/>
      <bottom/>
      <diagonal/>
    </border>
    <border>
      <left style="double">
        <color indexed="64"/>
      </left>
      <right/>
      <top style="double">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8"/>
      </left>
      <right style="thin">
        <color indexed="8"/>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style="medium">
        <color indexed="64"/>
      </right>
      <top style="medium">
        <color indexed="64"/>
      </top>
      <bottom/>
      <diagonal/>
    </border>
  </borders>
  <cellStyleXfs count="8">
    <xf numFmtId="0" fontId="0" fillId="0" borderId="0"/>
    <xf numFmtId="0" fontId="2" fillId="0" borderId="0" applyAlignment="1">
      <alignment vertical="center"/>
    </xf>
    <xf numFmtId="0" fontId="7" fillId="0" borderId="0"/>
    <xf numFmtId="0" fontId="10" fillId="0" borderId="0" applyAlignment="1" applyProtection="1">
      <alignment vertical="top"/>
      <protection locked="0" hidden="0"/>
    </xf>
    <xf numFmtId="9" fontId="7" fillId="0" borderId="0"/>
    <xf numFmtId="0" fontId="9" fillId="0" borderId="26"/>
    <xf numFmtId="0" fontId="7" fillId="0" borderId="0" applyAlignment="1">
      <alignment vertical="center"/>
    </xf>
    <xf numFmtId="0" fontId="7" fillId="0" borderId="0"/>
  </cellStyleXfs>
  <cellXfs count="186">
    <xf numFmtId="0" fontId="0" fillId="0" borderId="0" pivotButton="0" quotePrefix="0" xfId="0"/>
    <xf numFmtId="0" fontId="2" fillId="0" borderId="3" applyAlignment="1" applyProtection="1" pivotButton="0" quotePrefix="0" xfId="1">
      <alignment horizontal="center" vertical="center"/>
      <protection locked="0" hidden="0"/>
    </xf>
    <xf numFmtId="15" fontId="2" fillId="0" borderId="3" applyAlignment="1" applyProtection="1" pivotButton="0" quotePrefix="0" xfId="1">
      <alignment horizontal="left" vertical="top"/>
      <protection locked="0" hidden="0"/>
    </xf>
    <xf numFmtId="0" fontId="2" fillId="0" borderId="3" applyAlignment="1" applyProtection="1" pivotButton="0" quotePrefix="0" xfId="1">
      <alignment horizontal="left" vertical="top"/>
      <protection locked="0" hidden="0"/>
    </xf>
    <xf numFmtId="0" fontId="2" fillId="0" borderId="3" applyAlignment="1" applyProtection="1" pivotButton="0" quotePrefix="0" xfId="1">
      <alignment horizontal="left" vertical="top" wrapText="1"/>
      <protection locked="0" hidden="0"/>
    </xf>
    <xf numFmtId="0" fontId="2" fillId="0" borderId="4" applyAlignment="1" applyProtection="1" pivotButton="0" quotePrefix="0" xfId="1">
      <alignment horizontal="center" vertical="center"/>
      <protection locked="0" hidden="0"/>
    </xf>
    <xf numFmtId="0" fontId="2" fillId="0" borderId="4" applyAlignment="1" applyProtection="1" pivotButton="0" quotePrefix="0" xfId="1">
      <alignment horizontal="left" vertical="top"/>
      <protection locked="0" hidden="0"/>
    </xf>
    <xf numFmtId="0" fontId="2" fillId="0" borderId="4" applyAlignment="1" applyProtection="1" pivotButton="0" quotePrefix="0" xfId="1">
      <alignment horizontal="left" vertical="top" wrapText="1"/>
      <protection locked="0" hidden="0"/>
    </xf>
    <xf numFmtId="0" fontId="2" fillId="0" borderId="5" applyAlignment="1" applyProtection="1" pivotButton="0" quotePrefix="0" xfId="1">
      <alignment horizontal="center" vertical="center"/>
      <protection locked="0" hidden="0"/>
    </xf>
    <xf numFmtId="0" fontId="2" fillId="0" borderId="5" applyAlignment="1" applyProtection="1" pivotButton="0" quotePrefix="0" xfId="1">
      <alignment horizontal="left" vertical="top"/>
      <protection locked="0" hidden="0"/>
    </xf>
    <xf numFmtId="0" fontId="2" fillId="0" borderId="5" applyAlignment="1" applyProtection="1" pivotButton="0" quotePrefix="0" xfId="1">
      <alignment horizontal="left" vertical="top" wrapText="1"/>
      <protection locked="0" hidden="0"/>
    </xf>
    <xf numFmtId="0" fontId="2" fillId="0" borderId="14" applyAlignment="1" applyProtection="1" pivotButton="0" quotePrefix="0" xfId="1">
      <alignment horizontal="left" vertical="top"/>
      <protection locked="0" hidden="0"/>
    </xf>
    <xf numFmtId="0" fontId="2" fillId="0" borderId="16" applyAlignment="1" applyProtection="1" pivotButton="0" quotePrefix="0" xfId="1">
      <alignment horizontal="center" vertical="center"/>
      <protection locked="0" hidden="0"/>
    </xf>
    <xf numFmtId="0" fontId="2" fillId="0" borderId="16" applyAlignment="1" applyProtection="1" pivotButton="0" quotePrefix="0" xfId="1">
      <alignment horizontal="left" vertical="top"/>
      <protection locked="0" hidden="0"/>
    </xf>
    <xf numFmtId="0" fontId="2" fillId="0" borderId="16" applyAlignment="1" applyProtection="1" pivotButton="0" quotePrefix="0" xfId="1">
      <alignment horizontal="left" vertical="top" wrapText="1"/>
      <protection locked="0" hidden="0"/>
    </xf>
    <xf numFmtId="0" fontId="2" fillId="0" borderId="17" applyAlignment="1" applyProtection="1" pivotButton="0" quotePrefix="0" xfId="1">
      <alignment horizontal="left" vertical="top" wrapText="1"/>
      <protection locked="0" hidden="0"/>
    </xf>
    <xf numFmtId="0" fontId="2" fillId="0" borderId="17" applyAlignment="1" applyProtection="1" pivotButton="0" quotePrefix="0" xfId="1">
      <alignment horizontal="left" vertical="top"/>
      <protection locked="0" hidden="0"/>
    </xf>
    <xf numFmtId="0" fontId="2" fillId="0" borderId="18" applyAlignment="1" applyProtection="1" pivotButton="0" quotePrefix="0" xfId="1">
      <alignment horizontal="left" vertical="top"/>
      <protection locked="0" hidden="0"/>
    </xf>
    <xf numFmtId="0" fontId="2" fillId="0" borderId="20" applyAlignment="1" applyProtection="1" pivotButton="0" quotePrefix="0" xfId="1">
      <alignment horizontal="center" vertical="center"/>
      <protection locked="0" hidden="0"/>
    </xf>
    <xf numFmtId="15" fontId="2" fillId="0" borderId="20" applyAlignment="1" applyProtection="1" pivotButton="0" quotePrefix="0" xfId="1">
      <alignment horizontal="left" vertical="top"/>
      <protection locked="0" hidden="0"/>
    </xf>
    <xf numFmtId="0" fontId="2" fillId="0" borderId="21" applyAlignment="1" applyProtection="1" pivotButton="0" quotePrefix="0" xfId="1">
      <alignment horizontal="left" vertical="top"/>
      <protection locked="0" hidden="0"/>
    </xf>
    <xf numFmtId="0" fontId="6" fillId="2" borderId="0" applyAlignment="1" pivotButton="0" quotePrefix="0" xfId="2">
      <alignment horizontal="left"/>
    </xf>
    <xf numFmtId="0" fontId="5" fillId="2" borderId="0" pivotButton="0" quotePrefix="0" xfId="2"/>
    <xf numFmtId="0" fontId="7" fillId="0" borderId="0" pivotButton="0" quotePrefix="0" xfId="2"/>
    <xf numFmtId="0" fontId="8" fillId="0" borderId="0" applyAlignment="1" pivotButton="0" quotePrefix="0" xfId="2">
      <alignment horizontal="left"/>
    </xf>
    <xf numFmtId="0" fontId="8" fillId="0" borderId="0" applyProtection="1" pivotButton="0" quotePrefix="0" xfId="2">
      <protection locked="0" hidden="0"/>
    </xf>
    <xf numFmtId="0" fontId="9" fillId="0" borderId="0" applyAlignment="1" pivotButton="0" quotePrefix="0" xfId="2">
      <alignment horizontal="right"/>
    </xf>
    <xf numFmtId="0" fontId="10" fillId="0" borderId="0" pivotButton="0" quotePrefix="0" xfId="3"/>
    <xf numFmtId="0" fontId="11" fillId="0" borderId="0" pivotButton="0" quotePrefix="0" xfId="2"/>
    <xf numFmtId="0" fontId="12" fillId="0" borderId="0" applyAlignment="1" pivotButton="0" quotePrefix="0" xfId="2">
      <alignment horizontal="center"/>
    </xf>
    <xf numFmtId="0" fontId="13" fillId="4" borderId="23" applyAlignment="1" pivotButton="0" quotePrefix="0" xfId="2">
      <alignment horizontal="center"/>
    </xf>
    <xf numFmtId="0" fontId="14" fillId="4" borderId="23" applyProtection="1" pivotButton="0" quotePrefix="0" xfId="2">
      <protection locked="0" hidden="0"/>
    </xf>
    <xf numFmtId="0" fontId="14" fillId="4" borderId="23" applyAlignment="1" applyProtection="1" pivotButton="0" quotePrefix="0" xfId="2">
      <alignment horizontal="center"/>
      <protection locked="0" hidden="0"/>
    </xf>
    <xf numFmtId="0" fontId="15" fillId="0" borderId="0" applyAlignment="1" pivotButton="0" quotePrefix="0" xfId="2">
      <alignment horizontal="center"/>
    </xf>
    <xf numFmtId="0" fontId="16" fillId="0" borderId="24" applyAlignment="1" pivotButton="0" quotePrefix="0" xfId="4">
      <alignment horizontal="center"/>
    </xf>
    <xf numFmtId="0" fontId="16" fillId="0" borderId="0" applyAlignment="1" pivotButton="0" quotePrefix="0" xfId="4">
      <alignment horizontal="center"/>
    </xf>
    <xf numFmtId="9" fontId="16" fillId="0" borderId="25" applyAlignment="1" pivotButton="0" quotePrefix="0" xfId="2">
      <alignment horizontal="center"/>
    </xf>
    <xf numFmtId="0" fontId="17" fillId="2" borderId="0" pivotButton="0" quotePrefix="0" xfId="2"/>
    <xf numFmtId="0" fontId="0" fillId="0" borderId="20" applyAlignment="1" pivotButton="0" quotePrefix="0" xfId="0">
      <alignment horizontal="left" vertical="top" wrapText="1"/>
    </xf>
    <xf numFmtId="0" fontId="0" fillId="0" borderId="3" applyAlignment="1" pivotButton="0" quotePrefix="0" xfId="0">
      <alignment horizontal="left" vertical="top" wrapText="1"/>
    </xf>
    <xf numFmtId="0" fontId="0" fillId="0" borderId="0" applyAlignment="1" pivotButton="0" quotePrefix="0" xfId="0">
      <alignment horizontal="left" vertical="top"/>
    </xf>
    <xf numFmtId="0" fontId="0" fillId="6" borderId="0" pivotButton="0" quotePrefix="0" xfId="0"/>
    <xf numFmtId="0" fontId="5" fillId="0" borderId="3" applyAlignment="1" pivotButton="0" quotePrefix="0" xfId="0">
      <alignment horizontal="left" vertical="top" wrapText="1"/>
    </xf>
    <xf numFmtId="0" fontId="9" fillId="5" borderId="3" applyAlignment="1" pivotButton="0" quotePrefix="0" xfId="0">
      <alignment horizontal="center" vertical="center"/>
    </xf>
    <xf numFmtId="0" fontId="9" fillId="5" borderId="3" applyAlignment="1" pivotButton="0" quotePrefix="0" xfId="0">
      <alignment horizontal="center" vertical="center" wrapText="1"/>
    </xf>
    <xf numFmtId="0" fontId="1" fillId="7" borderId="12" applyAlignment="1" pivotButton="0" quotePrefix="0" xfId="0">
      <alignment horizontal="center" vertical="center" wrapText="1"/>
    </xf>
    <xf numFmtId="0" fontId="1" fillId="7" borderId="15" applyAlignment="1" pivotButton="0" quotePrefix="0" xfId="0">
      <alignment horizontal="center" vertical="center" wrapText="1"/>
    </xf>
    <xf numFmtId="0" fontId="1" fillId="7" borderId="17" applyAlignment="1" pivotButton="0" quotePrefix="0" xfId="0">
      <alignment horizontal="center" vertical="center" wrapText="1"/>
    </xf>
    <xf numFmtId="0" fontId="1" fillId="7" borderId="18" applyAlignment="1" pivotButton="0" quotePrefix="0" xfId="0">
      <alignment horizontal="center" vertical="center" wrapText="1"/>
    </xf>
    <xf numFmtId="0" fontId="0" fillId="0" borderId="17" applyAlignment="1" pivotButton="0" quotePrefix="0" xfId="0">
      <alignment horizontal="left" vertical="top" wrapText="1"/>
    </xf>
    <xf numFmtId="1" fontId="5" fillId="0" borderId="3" applyAlignment="1" pivotButton="0" quotePrefix="0" xfId="0">
      <alignment horizontal="center" vertical="center" wrapText="1"/>
    </xf>
    <xf numFmtId="1" fontId="5" fillId="0" borderId="3" applyAlignment="1" pivotButton="0" quotePrefix="0" xfId="7">
      <alignment horizontal="center" vertical="center" wrapText="1"/>
    </xf>
    <xf numFmtId="1" fontId="5" fillId="0" borderId="3" applyAlignment="1" pivotButton="0" quotePrefix="0" xfId="0">
      <alignment horizontal="center" vertical="center"/>
    </xf>
    <xf numFmtId="1" fontId="5" fillId="0" borderId="3" applyAlignment="1" pivotButton="0" quotePrefix="0" xfId="7">
      <alignment horizontal="center" vertical="center"/>
    </xf>
    <xf numFmtId="1" fontId="2" fillId="0" borderId="19" applyAlignment="1" applyProtection="1" pivotButton="0" quotePrefix="0" xfId="1">
      <alignment horizontal="center" vertical="center" wrapText="1"/>
      <protection locked="0" hidden="0"/>
    </xf>
    <xf numFmtId="1" fontId="2" fillId="0" borderId="13" applyAlignment="1" applyProtection="1" pivotButton="0" quotePrefix="0" xfId="1">
      <alignment horizontal="center" vertical="center" wrapText="1"/>
      <protection locked="0" hidden="0"/>
    </xf>
    <xf numFmtId="1" fontId="2" fillId="0" borderId="1" applyAlignment="1" applyProtection="1" pivotButton="0" quotePrefix="0" xfId="1">
      <alignment horizontal="center" vertical="center" wrapText="1"/>
      <protection locked="0" hidden="0"/>
    </xf>
    <xf numFmtId="1" fontId="2" fillId="0" borderId="15" applyAlignment="1" applyProtection="1" pivotButton="0" quotePrefix="0" xfId="1">
      <alignment horizontal="center" vertical="center" wrapText="1"/>
      <protection locked="0" hidden="0"/>
    </xf>
    <xf numFmtId="1" fontId="2" fillId="0" borderId="3" applyAlignment="1" applyProtection="1" pivotButton="0" quotePrefix="0" xfId="1">
      <alignment horizontal="left" vertical="top" wrapText="1"/>
      <protection locked="0" hidden="0"/>
    </xf>
    <xf numFmtId="1" fontId="2" fillId="0" borderId="3" applyAlignment="1" applyProtection="1" pivotButton="0" quotePrefix="0" xfId="1">
      <alignment horizontal="left" vertical="top"/>
      <protection locked="0" hidden="0"/>
    </xf>
    <xf numFmtId="1" fontId="0" fillId="0" borderId="19" applyAlignment="1" pivotButton="0" quotePrefix="0" xfId="0">
      <alignment horizontal="left" vertical="top" wrapText="1"/>
    </xf>
    <xf numFmtId="1" fontId="0" fillId="0" borderId="13" applyAlignment="1" pivotButton="0" quotePrefix="0" xfId="0">
      <alignment horizontal="left" vertical="top" wrapText="1"/>
    </xf>
    <xf numFmtId="1" fontId="0" fillId="0" borderId="15" applyAlignment="1" pivotButton="0" quotePrefix="0" xfId="0">
      <alignment horizontal="left" vertical="top" wrapText="1"/>
    </xf>
    <xf numFmtId="164" fontId="5" fillId="0" borderId="3" applyAlignment="1" pivotButton="0" quotePrefix="0" xfId="0">
      <alignment horizontal="center" vertical="center" wrapText="1"/>
    </xf>
    <xf numFmtId="164" fontId="5" fillId="0" borderId="3" applyAlignment="1" pivotButton="0" quotePrefix="0" xfId="7">
      <alignment horizontal="center" vertical="center" wrapText="1"/>
    </xf>
    <xf numFmtId="164" fontId="5" fillId="0" borderId="3" applyAlignment="1" pivotButton="0" quotePrefix="0" xfId="0">
      <alignment horizontal="center" vertical="center"/>
    </xf>
    <xf numFmtId="164" fontId="2" fillId="0" borderId="3" applyAlignment="1" applyProtection="1" pivotButton="0" quotePrefix="0" xfId="1">
      <alignment horizontal="center" vertical="center"/>
      <protection locked="0" hidden="0"/>
    </xf>
    <xf numFmtId="164" fontId="2" fillId="0" borderId="4" applyAlignment="1" applyProtection="1" pivotButton="0" quotePrefix="0" xfId="1">
      <alignment horizontal="center" vertical="center"/>
      <protection locked="0" hidden="0"/>
    </xf>
    <xf numFmtId="164" fontId="2" fillId="0" borderId="5" applyAlignment="1" applyProtection="1" pivotButton="0" quotePrefix="0" xfId="1">
      <alignment horizontal="center" vertical="center"/>
      <protection locked="0" hidden="0"/>
    </xf>
    <xf numFmtId="164" fontId="2" fillId="0" borderId="16" applyAlignment="1" applyProtection="1" pivotButton="0" quotePrefix="0" xfId="1">
      <alignment horizontal="center" vertical="center"/>
      <protection locked="0" hidden="0"/>
    </xf>
    <xf numFmtId="1" fontId="2" fillId="0" borderId="4" applyAlignment="1" applyProtection="1" pivotButton="0" quotePrefix="0" xfId="1">
      <alignment horizontal="left" vertical="top"/>
      <protection locked="0" hidden="0"/>
    </xf>
    <xf numFmtId="1" fontId="2" fillId="0" borderId="5" applyAlignment="1" applyProtection="1" pivotButton="0" quotePrefix="0" xfId="1">
      <alignment horizontal="left" vertical="top"/>
      <protection locked="0" hidden="0"/>
    </xf>
    <xf numFmtId="1" fontId="2" fillId="0" borderId="16" applyAlignment="1" applyProtection="1" pivotButton="0" quotePrefix="0" xfId="1">
      <alignment horizontal="left" vertical="top"/>
      <protection locked="0" hidden="0"/>
    </xf>
    <xf numFmtId="164" fontId="2" fillId="0" borderId="2" applyAlignment="1" applyProtection="1" pivotButton="0" quotePrefix="0" xfId="1">
      <alignment horizontal="left" vertical="top"/>
      <protection locked="0" hidden="0"/>
    </xf>
    <xf numFmtId="164" fontId="2" fillId="0" borderId="22" applyAlignment="1" applyProtection="1" pivotButton="0" quotePrefix="0" xfId="1">
      <alignment horizontal="left" vertical="top"/>
      <protection locked="0" hidden="0"/>
    </xf>
    <xf numFmtId="165" fontId="2" fillId="0" borderId="3" applyAlignment="1" applyProtection="1" pivotButton="0" quotePrefix="0" xfId="1">
      <alignment horizontal="center" vertical="center"/>
      <protection locked="0" hidden="0"/>
    </xf>
    <xf numFmtId="165" fontId="2" fillId="0" borderId="4" applyAlignment="1" applyProtection="1" pivotButton="0" quotePrefix="0" xfId="1">
      <alignment horizontal="center" vertical="center"/>
      <protection locked="0" hidden="0"/>
    </xf>
    <xf numFmtId="165" fontId="2" fillId="0" borderId="5" applyAlignment="1" applyProtection="1" pivotButton="0" quotePrefix="0" xfId="1">
      <alignment horizontal="center" vertical="center"/>
      <protection locked="0" hidden="0"/>
    </xf>
    <xf numFmtId="165" fontId="2" fillId="0" borderId="16" applyAlignment="1" applyProtection="1" pivotButton="0" quotePrefix="0" xfId="1">
      <alignment horizontal="center" vertical="center"/>
      <protection locked="0" hidden="0"/>
    </xf>
    <xf numFmtId="166" fontId="0" fillId="0" borderId="20" applyAlignment="1" pivotButton="0" quotePrefix="0" xfId="0">
      <alignment horizontal="left" vertical="top" wrapText="1"/>
    </xf>
    <xf numFmtId="166" fontId="0" fillId="0" borderId="21" applyAlignment="1" pivotButton="0" quotePrefix="0" xfId="0">
      <alignment horizontal="left" vertical="top" wrapText="1"/>
    </xf>
    <xf numFmtId="166" fontId="0" fillId="0" borderId="3" applyAlignment="1" pivotButton="0" quotePrefix="0" xfId="0">
      <alignment horizontal="left" vertical="top" wrapText="1"/>
    </xf>
    <xf numFmtId="166" fontId="0" fillId="0" borderId="14" applyAlignment="1" pivotButton="0" quotePrefix="0" xfId="0">
      <alignment horizontal="left" vertical="top" wrapText="1"/>
    </xf>
    <xf numFmtId="166" fontId="0" fillId="0" borderId="17" applyAlignment="1" pivotButton="0" quotePrefix="0" xfId="0">
      <alignment horizontal="left" vertical="top" wrapText="1"/>
    </xf>
    <xf numFmtId="166" fontId="0" fillId="0" borderId="18" applyAlignment="1" pivotButton="0" quotePrefix="0" xfId="0">
      <alignment horizontal="left" vertical="top" wrapText="1"/>
    </xf>
    <xf numFmtId="1" fontId="2" fillId="0" borderId="20" applyAlignment="1" applyProtection="1" pivotButton="0" quotePrefix="0" xfId="1">
      <alignment horizontal="center" vertical="top"/>
      <protection locked="0" hidden="0"/>
    </xf>
    <xf numFmtId="1" fontId="2" fillId="0" borderId="20" applyAlignment="1" applyProtection="1" pivotButton="0" quotePrefix="0" xfId="1">
      <alignment horizontal="center" vertical="top" wrapText="1"/>
      <protection locked="0" hidden="0"/>
    </xf>
    <xf numFmtId="0" fontId="5" fillId="0" borderId="0" pivotButton="0" quotePrefix="0" xfId="2"/>
    <xf numFmtId="0" fontId="5" fillId="0" borderId="0" applyAlignment="1" pivotButton="0" quotePrefix="0" xfId="2">
      <alignment horizontal="left"/>
    </xf>
    <xf numFmtId="0" fontId="5" fillId="0" borderId="0" applyProtection="1" pivotButton="0" quotePrefix="0" xfId="2">
      <protection locked="0" hidden="0"/>
    </xf>
    <xf numFmtId="0" fontId="5" fillId="0" borderId="0" applyAlignment="1" applyProtection="1" pivotButton="0" quotePrefix="0" xfId="2">
      <alignment horizontal="left"/>
      <protection locked="0" hidden="0"/>
    </xf>
    <xf numFmtId="0" fontId="5" fillId="0" borderId="0" applyAlignment="1" pivotButton="0" quotePrefix="0" xfId="2">
      <alignment horizontal="right"/>
    </xf>
    <xf numFmtId="9" fontId="5" fillId="3" borderId="0" applyAlignment="1" applyProtection="1" pivotButton="0" quotePrefix="0" xfId="2">
      <alignment horizontal="center"/>
      <protection locked="0" hidden="0"/>
    </xf>
    <xf numFmtId="0" fontId="5" fillId="0" borderId="0" applyAlignment="1" pivotButton="0" quotePrefix="0" xfId="2">
      <alignment horizontal="center"/>
    </xf>
    <xf numFmtId="0" fontId="5" fillId="3" borderId="0" applyProtection="1" pivotButton="0" quotePrefix="0" xfId="2">
      <protection locked="0" hidden="0"/>
    </xf>
    <xf numFmtId="0" fontId="5" fillId="3" borderId="0" applyAlignment="1" applyProtection="1" pivotButton="0" quotePrefix="0" xfId="2">
      <alignment horizontal="center"/>
      <protection locked="0" hidden="0"/>
    </xf>
    <xf numFmtId="167" fontId="5" fillId="0" borderId="0" applyAlignment="1" pivotButton="0" quotePrefix="0" xfId="4">
      <alignment horizontal="center"/>
    </xf>
    <xf numFmtId="0" fontId="5" fillId="0" borderId="3" applyAlignment="1" pivotButton="0" quotePrefix="0" xfId="0">
      <alignment horizontal="center" vertical="top" wrapText="1"/>
    </xf>
    <xf numFmtId="0" fontId="0" fillId="6"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vertical="center"/>
    </xf>
    <xf numFmtId="1" fontId="0" fillId="0" borderId="0" applyAlignment="1" pivotButton="0" quotePrefix="0" xfId="0">
      <alignment horizontal="left"/>
    </xf>
    <xf numFmtId="0" fontId="24" fillId="0" borderId="0" pivotButton="0" quotePrefix="0" xfId="0"/>
    <xf numFmtId="0" fontId="0" fillId="0" borderId="32" applyAlignment="1" pivotButton="0" quotePrefix="0" xfId="0">
      <alignment horizontal="left"/>
    </xf>
    <xf numFmtId="0" fontId="0" fillId="0" borderId="36" pivotButton="0" quotePrefix="0" xfId="0"/>
    <xf numFmtId="0" fontId="19" fillId="6" borderId="34" applyAlignment="1" pivotButton="0" quotePrefix="0" xfId="0">
      <alignment horizontal="right"/>
    </xf>
    <xf numFmtId="0" fontId="9" fillId="6" borderId="33" pivotButton="0" quotePrefix="0" xfId="2"/>
    <xf numFmtId="0" fontId="0" fillId="6" borderId="35" pivotButton="0" quotePrefix="0" xfId="0"/>
    <xf numFmtId="0" fontId="0" fillId="0" borderId="37" pivotButton="0" quotePrefix="0" xfId="0"/>
    <xf numFmtId="0" fontId="0" fillId="0" borderId="0" applyAlignment="1" pivotButton="0" quotePrefix="0" xfId="0">
      <alignment wrapText="1"/>
    </xf>
    <xf numFmtId="0" fontId="23" fillId="8" borderId="32" applyAlignment="1" pivotButton="0" quotePrefix="0" xfId="0">
      <alignment horizontal="center" vertical="center" wrapText="1"/>
    </xf>
    <xf numFmtId="1" fontId="23" fillId="8" borderId="32" applyAlignment="1" pivotButton="0" quotePrefix="0" xfId="0">
      <alignment horizontal="left" vertical="center" wrapText="1"/>
    </xf>
    <xf numFmtId="0" fontId="23" fillId="8" borderId="32" applyAlignment="1" pivotButton="0" quotePrefix="0" xfId="0">
      <alignment horizontal="left" vertical="center" wrapText="1"/>
    </xf>
    <xf numFmtId="0" fontId="1" fillId="7" borderId="6" applyAlignment="1" pivotButton="0" quotePrefix="0" xfId="0">
      <alignment horizontal="center" vertical="center" wrapText="1"/>
    </xf>
    <xf numFmtId="1" fontId="2" fillId="0" borderId="39" applyAlignment="1" applyProtection="1" pivotButton="0" quotePrefix="0" xfId="1">
      <alignment horizontal="center" vertical="center" wrapText="1"/>
      <protection locked="0" hidden="0"/>
    </xf>
    <xf numFmtId="0" fontId="2" fillId="0" borderId="40" applyAlignment="1" applyProtection="1" pivotButton="0" quotePrefix="0" xfId="1">
      <alignment horizontal="center" vertical="center"/>
      <protection locked="0" hidden="0"/>
    </xf>
    <xf numFmtId="0" fontId="2" fillId="0" borderId="40" applyAlignment="1" applyProtection="1" pivotButton="0" quotePrefix="0" xfId="1">
      <alignment horizontal="left" vertical="top"/>
      <protection locked="0" hidden="0"/>
    </xf>
    <xf numFmtId="1" fontId="2" fillId="0" borderId="41" applyAlignment="1" applyProtection="1" pivotButton="0" quotePrefix="0" xfId="1">
      <alignment horizontal="left" vertical="top" wrapText="1"/>
      <protection locked="0" hidden="0"/>
    </xf>
    <xf numFmtId="1" fontId="2" fillId="0" borderId="41" applyAlignment="1" applyProtection="1" pivotButton="0" quotePrefix="0" xfId="1">
      <alignment horizontal="left" vertical="top"/>
      <protection locked="0" hidden="0"/>
    </xf>
    <xf numFmtId="0" fontId="2" fillId="0" borderId="42" applyAlignment="1" applyProtection="1" pivotButton="0" quotePrefix="0" xfId="1">
      <alignment horizontal="left" vertical="top"/>
      <protection locked="0" hidden="0"/>
    </xf>
    <xf numFmtId="1" fontId="2" fillId="0" borderId="43" applyAlignment="1" applyProtection="1" pivotButton="0" quotePrefix="0" xfId="1">
      <alignment horizontal="center" vertical="center" wrapText="1"/>
      <protection locked="0" hidden="0"/>
    </xf>
    <xf numFmtId="0" fontId="2" fillId="0" borderId="44" applyAlignment="1" applyProtection="1" pivotButton="0" quotePrefix="0" xfId="1">
      <alignment horizontal="center" vertical="center"/>
      <protection locked="0" hidden="0"/>
    </xf>
    <xf numFmtId="0" fontId="2" fillId="0" borderId="44" applyAlignment="1" applyProtection="1" pivotButton="0" quotePrefix="0" xfId="1">
      <alignment horizontal="left" vertical="top"/>
      <protection locked="0" hidden="0"/>
    </xf>
    <xf numFmtId="1" fontId="2" fillId="0" borderId="45" applyAlignment="1" applyProtection="1" pivotButton="0" quotePrefix="0" xfId="1">
      <alignment horizontal="left" vertical="top" wrapText="1"/>
      <protection locked="0" hidden="0"/>
    </xf>
    <xf numFmtId="1" fontId="2" fillId="0" borderId="45" applyAlignment="1" applyProtection="1" pivotButton="0" quotePrefix="0" xfId="1">
      <alignment horizontal="left" vertical="top"/>
      <protection locked="0" hidden="0"/>
    </xf>
    <xf numFmtId="0" fontId="2" fillId="0" borderId="46" applyAlignment="1" applyProtection="1" pivotButton="0" quotePrefix="0" xfId="1">
      <alignment horizontal="left" vertical="top"/>
      <protection locked="0" hidden="0"/>
    </xf>
    <xf numFmtId="0" fontId="9" fillId="5" borderId="7" applyAlignment="1" pivotButton="0" quotePrefix="0" xfId="0">
      <alignment horizontal="left" vertical="top" wrapText="1"/>
    </xf>
    <xf numFmtId="0" fontId="9" fillId="5" borderId="6" applyAlignment="1" pivotButton="0" quotePrefix="0" xfId="0">
      <alignment horizontal="left" vertical="top" wrapText="1"/>
    </xf>
    <xf numFmtId="0" fontId="1" fillId="7" borderId="7" applyAlignment="1" pivotButton="0" quotePrefix="0" xfId="0">
      <alignment horizontal="center" vertical="center" wrapText="1"/>
    </xf>
    <xf numFmtId="0" fontId="21" fillId="5" borderId="7" applyAlignment="1" pivotButton="0" quotePrefix="0" xfId="0">
      <alignment horizontal="center"/>
    </xf>
    <xf numFmtId="0" fontId="21" fillId="5" borderId="8" applyAlignment="1" pivotButton="0" quotePrefix="0" xfId="0">
      <alignment horizontal="center"/>
    </xf>
    <xf numFmtId="0" fontId="21" fillId="5" borderId="9" applyAlignment="1" pivotButton="0" quotePrefix="0" xfId="0">
      <alignment horizontal="center"/>
    </xf>
    <xf numFmtId="0" fontId="1" fillId="7" borderId="6" applyAlignment="1" pivotButton="0" quotePrefix="0" xfId="0">
      <alignment horizontal="center" vertical="center" wrapText="1"/>
    </xf>
    <xf numFmtId="0" fontId="18" fillId="5" borderId="2" pivotButton="0" quotePrefix="0" xfId="2"/>
    <xf numFmtId="0" fontId="0" fillId="5" borderId="27" pivotButton="0" quotePrefix="0" xfId="0"/>
    <xf numFmtId="0" fontId="0" fillId="5" borderId="23" pivotButton="0" quotePrefix="0" xfId="0"/>
    <xf numFmtId="0" fontId="0" fillId="5" borderId="31" pivotButton="0" quotePrefix="0" xfId="0"/>
    <xf numFmtId="0" fontId="18" fillId="5" borderId="2" applyAlignment="1" pivotButton="0" quotePrefix="0" xfId="5">
      <alignment horizontal="left" vertical="center"/>
    </xf>
    <xf numFmtId="0" fontId="18" fillId="5" borderId="27" applyAlignment="1" pivotButton="0" quotePrefix="0" xfId="5">
      <alignment horizontal="left" vertical="center"/>
    </xf>
    <xf numFmtId="0" fontId="18" fillId="5" borderId="28" applyAlignment="1" pivotButton="0" quotePrefix="0" xfId="5">
      <alignment horizontal="left" vertical="center"/>
    </xf>
    <xf numFmtId="0" fontId="5" fillId="6" borderId="29" applyAlignment="1" pivotButton="0" quotePrefix="0" xfId="6">
      <alignment horizontal="center"/>
    </xf>
    <xf numFmtId="0" fontId="5" fillId="6" borderId="30" applyAlignment="1" pivotButton="0" quotePrefix="0" xfId="6">
      <alignment horizontal="center"/>
    </xf>
    <xf numFmtId="0" fontId="9" fillId="5" borderId="2" applyAlignment="1" pivotButton="0" quotePrefix="0" xfId="2">
      <alignment horizontal="left" vertical="center"/>
    </xf>
    <xf numFmtId="0" fontId="9" fillId="5" borderId="27" applyAlignment="1" pivotButton="0" quotePrefix="0" xfId="2">
      <alignment horizontal="left" vertical="center"/>
    </xf>
    <xf numFmtId="0" fontId="5" fillId="6" borderId="35" applyAlignment="1" pivotButton="0" quotePrefix="0" xfId="2">
      <alignment horizontal="left" vertical="top"/>
    </xf>
    <xf numFmtId="0" fontId="5" fillId="6" borderId="38" applyAlignment="1" pivotButton="0" quotePrefix="0" xfId="2">
      <alignment horizontal="left" vertical="top"/>
    </xf>
    <xf numFmtId="0" fontId="20" fillId="7" borderId="10" applyAlignment="1" pivotButton="0" quotePrefix="0" xfId="0">
      <alignment horizontal="center" vertical="center" wrapText="1"/>
    </xf>
    <xf numFmtId="0" fontId="20" fillId="7" borderId="11" applyAlignment="1" pivotButton="0" quotePrefix="0" xfId="0">
      <alignment horizontal="center" vertical="center" wrapText="1"/>
    </xf>
    <xf numFmtId="0" fontId="20" fillId="7" borderId="12" applyAlignment="1" pivotButton="0" quotePrefix="0" xfId="0">
      <alignment horizontal="center" vertical="center" wrapText="1"/>
    </xf>
    <xf numFmtId="0" fontId="18" fillId="5" borderId="7" applyAlignment="1" pivotButton="0" quotePrefix="0" xfId="0">
      <alignment horizontal="center" vertical="center"/>
    </xf>
    <xf numFmtId="0" fontId="18" fillId="5" borderId="8" applyAlignment="1" pivotButton="0" quotePrefix="0" xfId="0">
      <alignment horizontal="center" vertical="center"/>
    </xf>
    <xf numFmtId="0" fontId="18" fillId="5" borderId="9" applyAlignment="1" pivotButton="0" quotePrefix="0" xfId="0">
      <alignment horizontal="center" vertical="center"/>
    </xf>
    <xf numFmtId="0" fontId="18" fillId="5" borderId="3" applyAlignment="1" pivotButton="0" quotePrefix="0" xfId="5">
      <alignment horizontal="left" vertical="center"/>
    </xf>
    <xf numFmtId="0" fontId="0" fillId="0" borderId="27" pivotButton="0" quotePrefix="0" xfId="0"/>
    <xf numFmtId="0" fontId="0" fillId="0" borderId="28" pivotButton="0" quotePrefix="0" xfId="0"/>
    <xf numFmtId="0" fontId="0" fillId="0" borderId="30" pivotButton="0" quotePrefix="0" xfId="0"/>
    <xf numFmtId="0" fontId="0" fillId="0" borderId="49" pivotButton="0" quotePrefix="0" xfId="0"/>
    <xf numFmtId="0" fontId="0" fillId="0" borderId="50" pivotButton="0" quotePrefix="0" xfId="0"/>
    <xf numFmtId="0" fontId="18" fillId="5" borderId="3" pivotButton="0" quotePrefix="0" xfId="2"/>
    <xf numFmtId="164" fontId="5" fillId="0" borderId="3" applyAlignment="1" pivotButton="0" quotePrefix="0" xfId="0">
      <alignment horizontal="center" vertical="center" wrapText="1"/>
    </xf>
    <xf numFmtId="164" fontId="5" fillId="0" borderId="3" applyAlignment="1" pivotButton="0" quotePrefix="0" xfId="7">
      <alignment horizontal="center" vertical="center" wrapText="1"/>
    </xf>
    <xf numFmtId="164" fontId="5" fillId="0" borderId="3" applyAlignment="1" pivotButton="0" quotePrefix="0" xfId="0">
      <alignment horizontal="center" vertical="center"/>
    </xf>
    <xf numFmtId="0" fontId="21" fillId="5" borderId="6" applyAlignment="1" pivotButton="0" quotePrefix="0" xfId="0">
      <alignment horizontal="center"/>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165" fontId="2" fillId="0" borderId="3" applyAlignment="1" applyProtection="1" pivotButton="0" quotePrefix="0" xfId="1">
      <alignment horizontal="center" vertical="center"/>
      <protection locked="0" hidden="0"/>
    </xf>
    <xf numFmtId="164" fontId="2" fillId="0" borderId="3" applyAlignment="1" applyProtection="1" pivotButton="0" quotePrefix="0" xfId="1">
      <alignment horizontal="center" vertical="center"/>
      <protection locked="0" hidden="0"/>
    </xf>
    <xf numFmtId="164" fontId="2" fillId="0" borderId="2" applyAlignment="1" applyProtection="1" pivotButton="0" quotePrefix="0" xfId="1">
      <alignment horizontal="left" vertical="top"/>
      <protection locked="0" hidden="0"/>
    </xf>
    <xf numFmtId="165" fontId="2" fillId="0" borderId="4" applyAlignment="1" applyProtection="1" pivotButton="0" quotePrefix="0" xfId="1">
      <alignment horizontal="center" vertical="center"/>
      <protection locked="0" hidden="0"/>
    </xf>
    <xf numFmtId="164" fontId="2" fillId="0" borderId="4" applyAlignment="1" applyProtection="1" pivotButton="0" quotePrefix="0" xfId="1">
      <alignment horizontal="center" vertical="center"/>
      <protection locked="0" hidden="0"/>
    </xf>
    <xf numFmtId="165" fontId="2" fillId="0" borderId="5" applyAlignment="1" applyProtection="1" pivotButton="0" quotePrefix="0" xfId="1">
      <alignment horizontal="center" vertical="center"/>
      <protection locked="0" hidden="0"/>
    </xf>
    <xf numFmtId="164" fontId="2" fillId="0" borderId="5" applyAlignment="1" applyProtection="1" pivotButton="0" quotePrefix="0" xfId="1">
      <alignment horizontal="center" vertical="center"/>
      <protection locked="0" hidden="0"/>
    </xf>
    <xf numFmtId="165" fontId="2" fillId="0" borderId="16" applyAlignment="1" applyProtection="1" pivotButton="0" quotePrefix="0" xfId="1">
      <alignment horizontal="center" vertical="center"/>
      <protection locked="0" hidden="0"/>
    </xf>
    <xf numFmtId="164" fontId="2" fillId="0" borderId="16" applyAlignment="1" applyProtection="1" pivotButton="0" quotePrefix="0" xfId="1">
      <alignment horizontal="center" vertical="center"/>
      <protection locked="0" hidden="0"/>
    </xf>
    <xf numFmtId="164" fontId="2" fillId="0" borderId="22" applyAlignment="1" applyProtection="1" pivotButton="0" quotePrefix="0" xfId="1">
      <alignment horizontal="left" vertical="top"/>
      <protection locked="0" hidden="0"/>
    </xf>
    <xf numFmtId="0" fontId="0" fillId="0" borderId="0" applyAlignment="1" pivotButton="0" quotePrefix="0" xfId="0">
      <alignment vertical="top" wrapText="1"/>
    </xf>
    <xf numFmtId="167" fontId="5" fillId="0" borderId="0" applyAlignment="1" pivotButton="0" quotePrefix="0" xfId="4">
      <alignment horizontal="center"/>
    </xf>
    <xf numFmtId="0" fontId="18" fillId="5" borderId="6" applyAlignment="1" pivotButton="0" quotePrefix="0" xfId="0">
      <alignment horizontal="center" vertical="center"/>
    </xf>
    <xf numFmtId="166" fontId="0" fillId="0" borderId="20" applyAlignment="1" pivotButton="0" quotePrefix="0" xfId="0">
      <alignment horizontal="left" vertical="top" wrapText="1"/>
    </xf>
    <xf numFmtId="166" fontId="0" fillId="0" borderId="21" applyAlignment="1" pivotButton="0" quotePrefix="0" xfId="0">
      <alignment horizontal="left" vertical="top" wrapText="1"/>
    </xf>
    <xf numFmtId="166" fontId="0" fillId="0" borderId="3" applyAlignment="1" pivotButton="0" quotePrefix="0" xfId="0">
      <alignment horizontal="left" vertical="top" wrapText="1"/>
    </xf>
    <xf numFmtId="166" fontId="0" fillId="0" borderId="14" applyAlignment="1" pivotButton="0" quotePrefix="0" xfId="0">
      <alignment horizontal="left" vertical="top" wrapText="1"/>
    </xf>
    <xf numFmtId="166" fontId="0" fillId="0" borderId="17" applyAlignment="1" pivotButton="0" quotePrefix="0" xfId="0">
      <alignment horizontal="left" vertical="top" wrapText="1"/>
    </xf>
    <xf numFmtId="166" fontId="0" fillId="0" borderId="18" applyAlignment="1" pivotButton="0" quotePrefix="0" xfId="0">
      <alignment horizontal="left" vertical="top" wrapText="1"/>
    </xf>
  </cellXfs>
  <cellStyles count="8">
    <cellStyle name="Normal" xfId="0" builtinId="0"/>
    <cellStyle name="Normal 2 2" xfId="1"/>
    <cellStyle name="Normal 2" xfId="2"/>
    <cellStyle name="Hyperlink" xfId="3" builtinId="8"/>
    <cellStyle name="Percent 2" xfId="4"/>
    <cellStyle name="Header 1" xfId="5"/>
    <cellStyle name="Normal_Doc. Info 2" xfId="6"/>
    <cellStyle name="Comma_UM HPC Pricing Summary" xfId="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MY"/>
              <a:t>[Chart Title]</a:t>
            </a:r>
          </a:p>
        </rich>
      </tx>
      <layout>
        <manualLayout>
          <xMode val="edge"/>
          <yMode val="edge"/>
          <wMode val="factor"/>
          <hMode val="factor"/>
          <x val="0.3971298563756085"/>
          <y val="0.01355013550135501"/>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08612453605421409"/>
          <y val="0.1029813023514311"/>
          <w val="0.8070188008043024"/>
          <h val="0.7452594249116725"/>
        </manualLayout>
      </layout>
      <barChart>
        <barDir val="col"/>
        <grouping val="clustered"/>
        <varyColors val="0"/>
        <ser>
          <idx val="0"/>
          <order val="0"/>
          <tx>
            <strRef>
              <f>'Pareto Analysis'!$I$32</f>
              <strCache>
                <ptCount val="1"/>
                <pt idx="0">
                  <v>Vital Few</v>
                </pt>
              </strCache>
            </strRef>
          </tx>
          <spPr>
            <a:solidFill xmlns:a="http://schemas.openxmlformats.org/drawingml/2006/main">
              <a:srgbClr val="8394C9"/>
            </a:solidFill>
            <a:ln xmlns:a="http://schemas.openxmlformats.org/drawingml/2006/main" w="25400">
              <a:noFill/>
              <a:prstDash val="solid"/>
            </a:ln>
          </spPr>
          <invertIfNegative val="0"/>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Analysis'!$I$33:$I$48</f>
              <numCache>
                <formatCode>General</formatCode>
                <ptCount val="16"/>
                <pt idx="0">
                  <v>50</v>
                </pt>
                <pt idx="1">
                  <v>30</v>
                </pt>
                <pt idx="2">
                  <v>15</v>
                </pt>
                <pt idx="3">
                  <v>0</v>
                </pt>
                <pt idx="4">
                  <v>0</v>
                </pt>
                <pt idx="5">
                  <v>0</v>
                </pt>
                <pt idx="6">
                  <v>0</v>
                </pt>
                <pt idx="7">
                  <v>0</v>
                </pt>
                <pt idx="8">
                  <v>0</v>
                </pt>
                <pt idx="9">
                  <v>0</v>
                </pt>
                <pt idx="10">
                  <v>0</v>
                </pt>
                <pt idx="11">
                  <v>0</v>
                </pt>
                <pt idx="12">
                  <v>0</v>
                </pt>
                <pt idx="13">
                  <v>0</v>
                </pt>
                <pt idx="14">
                  <v>0</v>
                </pt>
              </numCache>
            </numRef>
          </val>
        </ser>
        <ser>
          <idx val="1"/>
          <order val="1"/>
          <tx>
            <strRef>
              <f>'Pareto Analysis'!$J$32</f>
              <strCache>
                <ptCount val="1"/>
                <pt idx="0">
                  <v>Useful Many</v>
                </pt>
              </strCache>
            </strRef>
          </tx>
          <spPr>
            <a:solidFill xmlns:a="http://schemas.openxmlformats.org/drawingml/2006/main">
              <a:srgbClr val="BCC5E1"/>
            </a:solidFill>
            <a:ln xmlns:a="http://schemas.openxmlformats.org/drawingml/2006/main" w="25400">
              <a:noFill/>
              <a:prstDash val="solid"/>
            </a:ln>
          </spPr>
          <invertIfNegative val="0"/>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Analysis'!$J$33:$J$48</f>
              <numCache>
                <formatCode>General</formatCode>
                <ptCount val="16"/>
                <pt idx="0">
                  <v>0</v>
                </pt>
                <pt idx="1">
                  <v>0</v>
                </pt>
                <pt idx="2">
                  <v>0</v>
                </pt>
                <pt idx="3">
                  <v>5</v>
                </pt>
                <pt idx="4">
                  <v>3</v>
                </pt>
                <pt idx="5">
                  <v>2</v>
                </pt>
                <pt idx="6">
                  <v>1</v>
                </pt>
                <pt idx="7">
                  <v>1</v>
                </pt>
                <pt idx="8">
                  <v>1</v>
                </pt>
                <pt idx="9">
                  <v>0</v>
                </pt>
                <pt idx="10">
                  <v>0</v>
                </pt>
                <pt idx="11">
                  <v>0</v>
                </pt>
                <pt idx="12">
                  <v>0</v>
                </pt>
                <pt idx="13">
                  <v>0</v>
                </pt>
                <pt idx="14">
                  <v>0</v>
                </pt>
              </numCache>
            </numRef>
          </val>
        </ser>
        <ser>
          <idx val="2"/>
          <order val="2"/>
          <tx>
            <v>Labels</v>
          </tx>
          <spPr>
            <a:solidFill xmlns:a="http://schemas.openxmlformats.org/drawingml/2006/main">
              <a:srgbClr val="660066"/>
            </a:solidFill>
            <a:ln xmlns:a="http://schemas.openxmlformats.org/drawingml/2006/main" w="12700">
              <a:solidFill>
                <a:srgbClr val="000000"/>
              </a:solidFill>
              <a:prstDash val="solid"/>
            </a:ln>
          </spPr>
          <invertIfNegative val="0"/>
          <dLbls>
            <spPr>
              <a:noFill xmlns:a="http://schemas.openxmlformats.org/drawingml/2006/main"/>
              <a:ln xmlns:a="http://schemas.openxmlformats.org/drawingml/2006/main" w="25400">
                <a:noFill/>
                <a:prstDash val="solid"/>
              </a:ln>
            </spPr>
            <txPr>
              <a:bodyPr xmlns:a="http://schemas.openxmlformats.org/drawingml/2006/main" rot="-5400000" vert="horz" wrap="square" lIns="38100" tIns="19050" rIns="38100" bIns="19050" anchor="ctr">
                <a:spAutoFit/>
              </a:bodyPr>
              <a:lstStyle xmlns:a="http://schemas.openxmlformats.org/drawingml/2006/main"/>
              <a:p xmlns:a="http://schemas.openxmlformats.org/drawingml/2006/main">
                <a:pPr algn="ctr">
                  <a:defRPr sz="1000" b="0" i="0" strike="noStrike" baseline="0">
                    <a:solidFill>
                      <a:srgbClr val="000000"/>
                    </a:solidFill>
                    <a:latin typeface="Arial"/>
                    <a:ea typeface="Arial"/>
                    <a:cs typeface="Arial"/>
                  </a:defRPr>
                </a:pPr>
                <a:r>
                  <a:t>None</a:t>
                </a:r>
                <a:endParaRPr lang="en-US"/>
              </a:p>
            </txPr>
            <dLblPos val="outEnd"/>
            <showLegendKey val="0"/>
            <showVal val="0"/>
            <showCatName val="1"/>
            <showSerName val="0"/>
            <showPercent val="0"/>
            <showBubbleSize val="0"/>
            <showLeaderLines val="0"/>
          </dLbls>
          <cat>
            <strRef>
              <f>'Pareto Analysis'!$C$33:$C$48</f>
              <strCache>
                <ptCount val="9"/>
                <pt idx="0">
                  <v>Glue</v>
                </pt>
                <pt idx="1">
                  <v>Binding</v>
                </pt>
                <pt idx="2">
                  <v>Button</v>
                </pt>
                <pt idx="3">
                  <v>Pressure Applied</v>
                </pt>
                <pt idx="4">
                  <v>Cause # 5</v>
                </pt>
                <pt idx="5">
                  <v>Cause # 6</v>
                </pt>
                <pt idx="6">
                  <v>Cause # 7</v>
                </pt>
                <pt idx="7">
                  <v>Cause # 8</v>
                </pt>
                <pt idx="8">
                  <v>Cause # 9</v>
                </pt>
              </strCache>
            </strRef>
          </cat>
          <val>
            <numRef>
              <f>'Pareto Analysis'!$C$33:$C$48</f>
              <numCache>
                <formatCode>General</formatCode>
                <ptCount val="16"/>
                <pt idx="0">
                  <v>0</v>
                </pt>
                <pt idx="1">
                  <v>0</v>
                </pt>
                <pt idx="2">
                  <v>0</v>
                </pt>
                <pt idx="3">
                  <v>0</v>
                </pt>
                <pt idx="4">
                  <v>0</v>
                </pt>
                <pt idx="5">
                  <v>0</v>
                </pt>
                <pt idx="6">
                  <v>0</v>
                </pt>
                <pt idx="7">
                  <v>0</v>
                </pt>
                <pt idx="8">
                  <v>0</v>
                </pt>
              </numCache>
            </numRef>
          </val>
        </ser>
        <dLbls>
          <showLegendKey val="0"/>
          <showVal val="0"/>
          <showCatName val="0"/>
          <showSerName val="0"/>
          <showPercent val="0"/>
          <showBubbleSize val="0"/>
        </dLbls>
        <gapWidth val="10"/>
        <overlap val="100"/>
        <axId val="1200295535"/>
        <axId val="1"/>
      </barChart>
      <lineChart>
        <grouping val="standard"/>
        <varyColors val="0"/>
        <ser>
          <idx val="3"/>
          <order val="3"/>
          <tx>
            <strRef>
              <f>'Pareto Analysis'!$E$32</f>
              <strCache>
                <ptCount val="1"/>
                <pt idx="0">
                  <v>Cumulative%</v>
                </pt>
              </strCache>
            </strRef>
          </tx>
          <spPr>
            <a:ln xmlns:a="http://schemas.openxmlformats.org/drawingml/2006/main" w="25400">
              <a:solidFill>
                <a:srgbClr val="6B0C00"/>
              </a:solidFill>
              <a:prstDash val="solid"/>
            </a:ln>
          </spPr>
          <marker>
            <symbol val="diamond"/>
            <size val="6"/>
            <spPr>
              <a:solidFill xmlns:a="http://schemas.openxmlformats.org/drawingml/2006/main">
                <a:srgbClr val="6B0C00"/>
              </a:solidFill>
              <a:ln xmlns:a="http://schemas.openxmlformats.org/drawingml/2006/main">
                <a:solidFill>
                  <a:srgbClr val="6B0C00"/>
                </a:solidFill>
                <a:prstDash val="solid"/>
              </a:ln>
            </spPr>
          </marker>
          <val>
            <numRef>
              <f>'Pareto Analysis'!$E$33:$E$48</f>
              <numCache>
                <formatCode>0.0%</formatCode>
                <ptCount val="16"/>
                <pt idx="0">
                  <v>0.462962962962963</v>
                </pt>
                <pt idx="1">
                  <v>0.7407407407407407</v>
                </pt>
                <pt idx="2">
                  <v>0.8796296296296297</v>
                </pt>
                <pt idx="3">
                  <v>0.9259259259259259</v>
                </pt>
                <pt idx="4">
                  <v>0.9537037037037037</v>
                </pt>
                <pt idx="5">
                  <v>0.9722222222222222</v>
                </pt>
                <pt idx="6">
                  <v>0.9814814814814815</v>
                </pt>
                <pt idx="7">
                  <v>0.9907407407407407</v>
                </pt>
                <pt idx="8">
                  <v>1</v>
                </pt>
                <pt idx="9">
                  <v>1</v>
                </pt>
                <pt idx="10">
                  <v>1</v>
                </pt>
                <pt idx="11">
                  <v>1</v>
                </pt>
                <pt idx="12">
                  <v>1</v>
                </pt>
                <pt idx="13">
                  <v>1</v>
                </pt>
                <pt idx="14">
                  <v>1</v>
                </pt>
              </numCache>
            </numRef>
          </val>
          <smooth val="0"/>
        </ser>
        <ser>
          <idx val="4"/>
          <order val="4"/>
          <tx>
            <strRef>
              <f>'Pareto Analysis'!$K$32</f>
              <strCache>
                <ptCount val="1"/>
                <pt idx="0">
                  <v>Cut Off %</v>
                </pt>
              </strCache>
            </strRef>
          </tx>
          <spPr>
            <a:ln xmlns:a="http://schemas.openxmlformats.org/drawingml/2006/main" w="12700">
              <a:solidFill>
                <a:srgbClr val="6B0C00"/>
              </a:solidFill>
              <a:prstDash val="sysDash"/>
            </a:ln>
          </spPr>
          <marker>
            <symbol val="none"/>
            <spPr>
              <a:ln xmlns:a="http://schemas.openxmlformats.org/drawingml/2006/main">
                <a:prstDash val="solid"/>
              </a:ln>
            </spPr>
          </marker>
          <val>
            <numRef>
              <f>'Pareto Analysis'!$K$33:$K$48</f>
              <numCache>
                <formatCode>0%</formatCode>
                <ptCount val="16"/>
                <pt idx="0">
                  <v>0.8</v>
                </pt>
                <pt idx="1">
                  <v>0.8</v>
                </pt>
                <pt idx="2">
                  <v>0.8</v>
                </pt>
                <pt idx="3">
                  <v>0.8</v>
                </pt>
                <pt idx="4">
                  <v>0.8</v>
                </pt>
                <pt idx="5">
                  <v>0.8</v>
                </pt>
                <pt idx="6">
                  <v>0.8</v>
                </pt>
                <pt idx="7">
                  <v>0.8</v>
                </pt>
                <pt idx="8">
                  <v>0.8</v>
                </pt>
                <pt idx="9">
                  <v>0.8</v>
                </pt>
                <pt idx="10">
                  <v>0.8</v>
                </pt>
                <pt idx="11">
                  <v>0.8</v>
                </pt>
                <pt idx="12">
                  <v>0.8</v>
                </pt>
                <pt idx="13">
                  <v>0.8</v>
                </pt>
                <pt idx="14">
                  <v>0.8</v>
                </pt>
              </numCache>
            </numRef>
          </val>
          <smooth val="0"/>
        </ser>
        <dLbls>
          <showLegendKey val="0"/>
          <showVal val="0"/>
          <showCatName val="0"/>
          <showSerName val="0"/>
          <showPercent val="0"/>
          <showBubbleSize val="0"/>
        </dLbls>
        <marker val="1"/>
        <smooth val="0"/>
        <axId val="3"/>
        <axId val="4"/>
      </lineChart>
      <catAx>
        <axId val="1200295535"/>
        <scaling>
          <orientation val="minMax"/>
        </scaling>
        <delete val="0"/>
        <axPos val="b"/>
        <title>
          <tx>
            <strRef>
              <f>'Pareto Analysis'!$C$32</f>
              <strCache>
                <ptCount val="1"/>
                <pt idx="0">
                  <v>Causes</v>
                </pt>
              </strCache>
            </strRef>
          </tx>
          <layout>
            <manualLayout>
              <xMode val="edge"/>
              <yMode val="edge"/>
              <wMode val="factor"/>
              <hMode val="factor"/>
              <x val="0.4322175756738542"/>
              <y val="0.8617908940244258"/>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None</a:t>
              </a:r>
              <a:endParaRPr lang="en-US"/>
            </a:p>
          </txPr>
        </title>
        <numFmt formatCode="General" sourceLinked="1"/>
        <majorTickMark val="out"/>
        <minorTickMark val="none"/>
        <spPr>
          <a:ln xmlns:a="http://schemas.openxmlformats.org/drawingml/2006/main" w="3175">
            <a:solidFill>
              <a:srgbClr val="000000"/>
            </a:solidFill>
            <a:prstDash val="solid"/>
          </a:ln>
        </spPr>
        <crossAx val="1"/>
        <crosses val="autoZero"/>
        <auto val="1"/>
        <lblAlgn val="ctr"/>
        <lblOffset val="100"/>
        <tickMarkSkip val="1"/>
        <noMultiLvlLbl val="0"/>
      </catAx>
      <valAx>
        <axId val="1"/>
        <scaling>
          <orientation val="minMax"/>
        </scaling>
        <delete val="0"/>
        <axPos val="l"/>
        <title>
          <tx>
            <strRef>
              <f>'Pareto Analysis'!$D$32</f>
              <strCache>
                <ptCount val="1"/>
                <pt idx="0">
                  <v>Defects</v>
                </pt>
              </strCache>
            </strRef>
          </tx>
          <layout>
            <manualLayout>
              <xMode val="edge"/>
              <yMode val="edge"/>
              <wMode val="factor"/>
              <hMode val="factor"/>
              <x val="0.006379585326953748"/>
              <y val="0.3848249863076059"/>
            </manualLayout>
          </layout>
          <overlay val="0"/>
          <spPr>
            <a:noFill xmlns:a="http://schemas.openxmlformats.org/drawingml/2006/main"/>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t>None</a:t>
              </a:r>
              <a:endParaRPr lang="en-US"/>
            </a:p>
          </tx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t>None</a:t>
            </a:r>
            <a:endParaRPr lang="en-US"/>
          </a:p>
        </txPr>
        <crossAx val="1200295535"/>
        <crosses val="autoZero"/>
        <crossBetween val="between"/>
      </valAx>
      <catAx>
        <axId val="3"/>
        <scaling>
          <orientation val="minMax"/>
        </scaling>
        <delete val="1"/>
        <axPos val="b"/>
        <majorTickMark val="out"/>
        <minorTickMark val="none"/>
        <tickLblPos val="nextTo"/>
        <crossAx val="4"/>
        <crosses val="autoZero"/>
        <auto val="1"/>
        <lblAlgn val="ctr"/>
        <lblOffset val="100"/>
        <noMultiLvlLbl val="0"/>
      </catAx>
      <valAx>
        <axId val="4"/>
        <scaling>
          <orientation val="minMax"/>
          <max val="1"/>
          <min val="0"/>
        </scaling>
        <delete val="0"/>
        <axPos val="r"/>
        <title>
          <tx>
            <rich>
              <a:bodyPr xmlns:a="http://schemas.openxmlformats.org/drawingml/2006/main"/>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rPr lang="en-MY"/>
                  <a:t>Cumulative %</a:t>
                </a:r>
              </a:p>
            </rich>
          </tx>
          <layout>
            <manualLayout>
              <xMode val="edge"/>
              <yMode val="edge"/>
              <wMode val="factor"/>
              <hMode val="factor"/>
              <x val="0.9553444096999837"/>
              <y val="0.352304376587073"/>
            </manualLayout>
          </layout>
          <overlay val="0"/>
          <spPr>
            <a:noFill xmlns:a="http://schemas.openxmlformats.org/drawingml/2006/main"/>
            <a:ln xmlns:a="http://schemas.openxmlformats.org/drawingml/2006/main" w="25400">
              <a:noFill/>
              <a:prstDash val="solid"/>
            </a:ln>
          </spPr>
        </title>
        <numFmt formatCode="0%" sourceLinked="0"/>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000" b="0" i="0" strike="noStrike" baseline="0">
                <a:solidFill>
                  <a:srgbClr val="000000"/>
                </a:solidFill>
                <a:latin typeface="Arial"/>
                <a:ea typeface="Arial"/>
                <a:cs typeface="Arial"/>
              </a:defRPr>
            </a:pPr>
            <a:r>
              <a:t>None</a:t>
            </a:r>
            <a:endParaRPr lang="en-US"/>
          </a:p>
        </txPr>
        <crossAx val="3"/>
        <crosses val="max"/>
        <crossBetween val="between"/>
        <majorUnit val="0.2"/>
      </valAx>
    </plotArea>
    <legend>
      <legendPos val="r"/>
      <legendEntry>
        <idx val="2"/>
        <delete val="1"/>
      </legendEntry>
      <layout>
        <manualLayout>
          <xMode val="edge"/>
          <yMode val="edge"/>
          <wMode val="factor"/>
          <hMode val="factor"/>
          <x val="0.06858070970793721"/>
          <y val="0.9322518831487527"/>
          <w val="0.8405117063716318"/>
          <h val="0.0596208807232429"/>
        </manualLayout>
      </layout>
      <overlay val="0"/>
      <spPr>
        <a:solidFill xmlns:a="http://schemas.openxmlformats.org/drawingml/2006/main">
          <a:srgbClr val="FFFFFF"/>
        </a:solidFill>
        <a:ln xmlns:a="http://schemas.openxmlformats.org/drawingml/2006/main" w="25400">
          <a:noFill/>
          <a:prstDash val="solid"/>
        </a:ln>
      </spPr>
      <txPr>
        <a:bodyPr xmlns:a="http://schemas.openxmlformats.org/drawingml/2006/main"/>
        <a:lstStyle xmlns:a="http://schemas.openxmlformats.org/drawingml/2006/main"/>
        <a:p xmlns:a="http://schemas.openxmlformats.org/drawingml/2006/main">
          <a:pPr>
            <a:defRPr sz="920" b="0" i="0" strike="noStrike" baseline="0">
              <a:solidFill>
                <a:srgbClr val="000000"/>
              </a:solidFill>
              <a:latin typeface="Arial"/>
              <a:ea typeface="Arial"/>
              <a:cs typeface="Arial"/>
            </a:defRPr>
          </a:pPr>
          <a:r>
            <a:t>None</a:t>
          </a:r>
          <a:endParaRPr lang="en-US"/>
        </a:p>
      </txPr>
    </legend>
    <plotVisOnly val="0"/>
    <dispBlanksAs val="gap"/>
  </chart>
  <spPr>
    <a:solidFill xmlns:a="http://schemas.openxmlformats.org/drawingml/2006/main">
      <a:srgbClr val="FFFFFF"/>
    </a:solidFill>
    <a:ln xmlns:a="http://schemas.openxmlformats.org/drawingml/2006/main" w="9525">
      <a:noFill/>
      <a:prstDash val="solid"/>
    </a:ln>
  </spPr>
</chartSpace>
</file>

<file path=xl/comments/comment1.xml><?xml version="1.0" encoding="utf-8"?>
<comments xmlns="http://schemas.openxmlformats.org/spreadsheetml/2006/main">
  <authors>
    <author>bestinet</author>
  </authors>
  <commentList>
    <comment ref="C4" authorId="0" shapeId="0">
      <text>
        <t>bestinet:
Mention as number "1st, 2nd or 3rd" review cycle, depending on the number of times document OR code/module was reviewed</t>
      </text>
    </comment>
    <comment ref="D4" authorId="0" shapeId="0">
      <text>
        <t>bestinet:
Version number of the document OR code/module reviewed</t>
      </text>
    </comment>
    <comment ref="E4" authorId="0" shapeId="0">
      <text>
        <t>bestinet:
Comment entry date</t>
      </text>
    </comment>
    <comment ref="F4" authorId="0" shapeId="0">
      <text>
        <t xml:space="preserve">bestinet:
If more than one reviewer but review comment is same by both/multiple reviewers then mention one comment and mention name of reviewers together </t>
      </text>
    </comment>
    <comment ref="G4" authorId="0" shapeId="0">
      <text>
        <t>bestinet:
Total number of pages or code lines reviewed</t>
      </text>
    </comment>
    <comment ref="I4" authorId="0" shapeId="0">
      <text>
        <t>bestinet:
Mention page, section number, line number where the comment was found</t>
      </text>
    </comment>
    <comment ref="K4" authorId="0" shapeId="0">
      <text>
        <t xml:space="preserve">bestinet:
Select severity of the comment </t>
      </text>
    </comment>
  </commentList>
</comments>
</file>

<file path=xl/comments/comment2.xml><?xml version="1.0" encoding="utf-8"?>
<comments xmlns="http://schemas.openxmlformats.org/spreadsheetml/2006/main">
  <authors>
    <author>bestinet</author>
  </authors>
  <commentList>
    <comment ref="C4" authorId="0" shapeId="0">
      <text>
        <t>bestinet:
Mention as number "1st, 2nd or 3rd" review cycle, depending on the number of times document OR code/module was reviewed</t>
      </text>
    </comment>
    <comment ref="E4" authorId="0" shapeId="0">
      <text>
        <t>bestinet:
Time taken by the reviewers (if multiple reviewers sum all reviewers effort) to review the document / code in each review cycle</t>
      </text>
    </comment>
    <comment ref="F4" authorId="0" shapeId="0">
      <text>
        <t>bestinet:
Time taken by the authors (if multiple authors sum all authors effort) to close/fix the review comments on the document / code in each review cycle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6</col>
      <colOff>57150</colOff>
      <row>0</row>
      <rowOff>38100</rowOff>
    </from>
    <to>
      <col>6</col>
      <colOff>1543050</colOff>
      <row>2</row>
      <rowOff>295275</rowOff>
    </to>
    <pic>
      <nvPicPr>
        <cNvPr id="2" name="Picture 1"/>
        <cNvPicPr/>
      </nvPicPr>
      <blipFill>
        <a:blip xmlns:a="http://schemas.openxmlformats.org/drawingml/2006/main" xmlns:r="http://schemas.openxmlformats.org/officeDocument/2006/relationships" cstate="print" r:embed="rId1"/>
        <a:stretch xmlns:a="http://schemas.openxmlformats.org/drawingml/2006/main">
          <a:fillRect/>
        </a:stretch>
      </blipFill>
      <spPr bwMode="auto">
        <a:xfrm xmlns:a="http://schemas.openxmlformats.org/drawingml/2006/main">
          <a:off x="6715125" y="38100"/>
          <a:ext cx="1485900" cy="8096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5</row>
      <rowOff>47625</rowOff>
    </from>
    <to>
      <col>6</col>
      <colOff>828675</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G48"/>
  <sheetViews>
    <sheetView showGridLines="0" tabSelected="1" topLeftCell="A4" workbookViewId="0">
      <selection activeCell="K34" sqref="K34"/>
    </sheetView>
  </sheetViews>
  <sheetFormatPr baseColWidth="10" defaultColWidth="8.83203125" defaultRowHeight="15"/>
  <cols>
    <col width="2.5" customWidth="1" min="1" max="1"/>
    <col width="6" customWidth="1" min="2" max="2"/>
    <col width="12.6640625" customWidth="1" min="3" max="3"/>
    <col width="16.33203125" customWidth="1" style="99" min="4" max="4"/>
    <col width="53.6640625" customWidth="1" min="5" max="5"/>
    <col width="16.33203125" customWidth="1" min="6" max="6"/>
    <col width="24" customWidth="1" min="7" max="7"/>
  </cols>
  <sheetData>
    <row r="1" ht="28.5" customHeight="1">
      <c r="B1" s="152" t="inlineStr">
        <is>
          <t>Review</t>
        </is>
      </c>
      <c r="C1" s="153" t="n"/>
      <c r="D1" s="153" t="n"/>
      <c r="E1" s="153" t="n"/>
      <c r="F1" s="154" t="n"/>
      <c r="G1" s="140" t="n"/>
    </row>
    <row r="2">
      <c r="B2" s="41" t="n"/>
      <c r="C2" s="41" t="n"/>
      <c r="D2" s="98" t="n"/>
      <c r="E2" s="41" t="n"/>
      <c r="F2" s="41" t="n"/>
      <c r="G2" s="155" t="n"/>
    </row>
    <row r="3" ht="26.25" customHeight="1">
      <c r="B3" s="152" t="inlineStr">
        <is>
          <t>Review Log</t>
        </is>
      </c>
      <c r="C3" s="153" t="n"/>
      <c r="D3" s="153" t="n"/>
      <c r="E3" s="153" t="n"/>
      <c r="F3" s="154" t="n"/>
      <c r="G3" s="155" t="n"/>
    </row>
    <row r="4">
      <c r="B4" s="41" t="n"/>
      <c r="C4" s="41" t="n"/>
      <c r="D4" s="98" t="n"/>
      <c r="E4" s="41" t="n"/>
      <c r="F4" s="41" t="n"/>
      <c r="G4" s="105" t="inlineStr">
        <is>
          <t>Ref. No.: BSB-QA-FWCMS-153-CRD-V1.0</t>
        </is>
      </c>
    </row>
    <row r="5">
      <c r="B5" s="142" t="inlineStr">
        <is>
          <t>Project Name</t>
        </is>
      </c>
      <c r="C5" s="153" t="n"/>
      <c r="D5" s="103" t="inlineStr">
        <is>
          <t>FWCMS IDM - #32484 - IDM - Audit Finding</t>
        </is>
      </c>
      <c r="E5" s="104" t="n"/>
      <c r="F5" s="108" t="n"/>
      <c r="G5" s="106" t="n"/>
    </row>
    <row r="6">
      <c r="B6" s="41" t="n"/>
      <c r="C6" s="41" t="n"/>
      <c r="D6" s="144" t="n"/>
      <c r="E6" s="156" t="n"/>
      <c r="F6" s="157" t="n"/>
      <c r="G6" s="107" t="n"/>
    </row>
    <row r="7" ht="18" customHeight="1">
      <c r="B7" s="158" t="inlineStr">
        <is>
          <t>Document Information</t>
        </is>
      </c>
      <c r="C7" s="153" t="n"/>
      <c r="D7" s="153" t="n"/>
      <c r="E7" s="153" t="n"/>
      <c r="F7" s="153" t="n"/>
      <c r="G7" s="154" t="n"/>
    </row>
    <row r="8">
      <c r="B8" s="43" t="inlineStr">
        <is>
          <t>Sl #</t>
        </is>
      </c>
      <c r="C8" s="44" t="inlineStr">
        <is>
          <t>Date</t>
        </is>
      </c>
      <c r="D8" s="43" t="inlineStr">
        <is>
          <t>Updated By</t>
        </is>
      </c>
      <c r="E8" s="43" t="inlineStr">
        <is>
          <t xml:space="preserve">Update Summary </t>
        </is>
      </c>
      <c r="F8" s="44" t="inlineStr">
        <is>
          <t>Reviewed By</t>
        </is>
      </c>
      <c r="G8" s="44" t="inlineStr">
        <is>
          <t>Reviewed Date</t>
        </is>
      </c>
    </row>
    <row r="9">
      <c r="B9" s="50" t="n">
        <v>1</v>
      </c>
      <c r="C9" s="159" t="n">
        <v>45799</v>
      </c>
      <c r="D9" s="97" t="inlineStr">
        <is>
          <t>Taqinah</t>
        </is>
      </c>
      <c r="E9" s="42" t="inlineStr">
        <is>
          <t>Draft TC</t>
        </is>
      </c>
      <c r="F9" s="42" t="inlineStr">
        <is>
          <t>Syamil</t>
        </is>
      </c>
      <c r="G9" s="159" t="n">
        <v>45800</v>
      </c>
    </row>
    <row r="10">
      <c r="B10" s="51" t="n">
        <v>2</v>
      </c>
      <c r="C10" s="160" t="n"/>
      <c r="D10" s="97" t="n"/>
      <c r="E10" s="42" t="n"/>
      <c r="F10" s="42" t="n"/>
      <c r="G10" s="160" t="n"/>
    </row>
    <row r="11">
      <c r="B11" s="52" t="n">
        <v>3</v>
      </c>
      <c r="C11" s="160" t="n"/>
      <c r="D11" s="97" t="n"/>
      <c r="E11" s="42" t="n"/>
      <c r="F11" s="42" t="n"/>
      <c r="G11" s="161" t="n"/>
    </row>
    <row r="12">
      <c r="B12" s="53" t="n">
        <v>4</v>
      </c>
      <c r="C12" s="160" t="n"/>
      <c r="D12" s="97" t="n"/>
      <c r="E12" s="42" t="n"/>
      <c r="F12" s="42" t="n"/>
      <c r="G12" s="160" t="n"/>
    </row>
    <row r="13">
      <c r="B13" s="53" t="n">
        <v>5</v>
      </c>
      <c r="C13" s="160" t="n"/>
      <c r="D13" s="97" t="n"/>
      <c r="E13" s="42" t="n"/>
      <c r="F13" s="42" t="n"/>
      <c r="G13" s="160" t="n"/>
    </row>
    <row r="14">
      <c r="B14" s="50" t="n">
        <v>6</v>
      </c>
      <c r="C14" s="159" t="n"/>
      <c r="D14" s="97" t="n"/>
      <c r="E14" s="42" t="n"/>
      <c r="F14" s="42" t="n"/>
      <c r="G14" s="159" t="n"/>
    </row>
    <row r="15">
      <c r="B15" s="51" t="n">
        <v>7</v>
      </c>
      <c r="C15" s="160" t="n"/>
      <c r="D15" s="97" t="n"/>
      <c r="E15" s="42" t="n"/>
      <c r="F15" s="42" t="n"/>
      <c r="G15" s="160" t="n"/>
    </row>
    <row r="16">
      <c r="B16" s="52" t="n">
        <v>8</v>
      </c>
      <c r="C16" s="160" t="n"/>
      <c r="D16" s="97" t="n"/>
      <c r="E16" s="42" t="n"/>
      <c r="F16" s="42" t="n"/>
      <c r="G16" s="161" t="n"/>
    </row>
    <row r="17">
      <c r="B17" s="53" t="n">
        <v>9</v>
      </c>
      <c r="C17" s="160" t="n"/>
      <c r="D17" s="97" t="n"/>
      <c r="E17" s="42" t="n"/>
      <c r="F17" s="42" t="n"/>
      <c r="G17" s="160" t="n"/>
    </row>
    <row r="18">
      <c r="B18" s="53" t="n">
        <v>10</v>
      </c>
      <c r="C18" s="160" t="n"/>
      <c r="D18" s="97" t="n"/>
      <c r="E18" s="42" t="n"/>
      <c r="F18" s="42" t="n"/>
      <c r="G18" s="160" t="n"/>
    </row>
    <row r="19">
      <c r="B19" s="50" t="n">
        <v>11</v>
      </c>
      <c r="C19" s="159" t="n"/>
      <c r="D19" s="97" t="n"/>
      <c r="E19" s="42" t="n"/>
      <c r="F19" s="42" t="n"/>
      <c r="G19" s="159" t="n"/>
    </row>
    <row r="20">
      <c r="B20" s="51" t="n">
        <v>12</v>
      </c>
      <c r="C20" s="160" t="n"/>
      <c r="D20" s="97" t="n"/>
      <c r="E20" s="42" t="n"/>
      <c r="F20" s="42" t="n"/>
      <c r="G20" s="160" t="n"/>
    </row>
    <row r="21">
      <c r="B21" s="52" t="n">
        <v>13</v>
      </c>
      <c r="C21" s="160" t="n"/>
      <c r="D21" s="97" t="n"/>
      <c r="E21" s="42" t="n"/>
      <c r="F21" s="42" t="n"/>
      <c r="G21" s="161" t="n"/>
    </row>
    <row r="22">
      <c r="B22" s="53" t="n">
        <v>14</v>
      </c>
      <c r="C22" s="160" t="n"/>
      <c r="D22" s="97" t="n"/>
      <c r="E22" s="42" t="n"/>
      <c r="F22" s="42" t="n"/>
      <c r="G22" s="160" t="n"/>
    </row>
    <row r="23">
      <c r="B23" s="53" t="n">
        <v>15</v>
      </c>
      <c r="C23" s="160" t="n"/>
      <c r="D23" s="97" t="n"/>
      <c r="E23" s="42" t="n"/>
      <c r="F23" s="42" t="n"/>
      <c r="G23" s="160" t="n"/>
    </row>
    <row r="24">
      <c r="B24" s="50" t="n">
        <v>16</v>
      </c>
      <c r="C24" s="159" t="n"/>
      <c r="D24" s="97" t="n"/>
      <c r="E24" s="42" t="n"/>
      <c r="F24" s="42" t="n"/>
      <c r="G24" s="159" t="n"/>
    </row>
    <row r="25">
      <c r="B25" s="51" t="n">
        <v>17</v>
      </c>
      <c r="C25" s="160" t="n"/>
      <c r="D25" s="97" t="n"/>
      <c r="E25" s="42" t="n"/>
      <c r="F25" s="42" t="n"/>
      <c r="G25" s="160" t="n"/>
    </row>
    <row r="26">
      <c r="B26" s="52" t="n">
        <v>18</v>
      </c>
      <c r="C26" s="160" t="n"/>
      <c r="D26" s="97" t="n"/>
      <c r="E26" s="42" t="n"/>
      <c r="F26" s="42" t="n"/>
      <c r="G26" s="161" t="n"/>
    </row>
    <row r="27">
      <c r="B27" s="53" t="n">
        <v>19</v>
      </c>
      <c r="C27" s="160" t="n"/>
      <c r="D27" s="97" t="n"/>
      <c r="E27" s="42" t="n"/>
      <c r="F27" s="42" t="n"/>
      <c r="G27" s="160" t="n"/>
    </row>
    <row r="28">
      <c r="B28" s="53" t="n">
        <v>20</v>
      </c>
      <c r="C28" s="160" t="n"/>
      <c r="D28" s="97" t="n"/>
      <c r="E28" s="42" t="n"/>
      <c r="F28" s="42" t="n"/>
      <c r="G28" s="160" t="n"/>
    </row>
    <row r="29">
      <c r="B29" s="50" t="n">
        <v>21</v>
      </c>
      <c r="C29" s="159" t="n"/>
      <c r="D29" s="97" t="n"/>
      <c r="E29" s="42" t="n"/>
      <c r="F29" s="42" t="n"/>
      <c r="G29" s="159" t="n"/>
    </row>
    <row r="30">
      <c r="B30" s="51" t="n">
        <v>22</v>
      </c>
      <c r="C30" s="160" t="n"/>
      <c r="D30" s="97" t="n"/>
      <c r="E30" s="42" t="n"/>
      <c r="F30" s="42" t="n"/>
      <c r="G30" s="160" t="n"/>
    </row>
    <row r="31">
      <c r="B31" s="52" t="n">
        <v>23</v>
      </c>
      <c r="C31" s="160" t="n"/>
      <c r="D31" s="97" t="n"/>
      <c r="E31" s="42" t="n"/>
      <c r="F31" s="42" t="n"/>
      <c r="G31" s="161" t="n"/>
    </row>
    <row r="32">
      <c r="B32" s="53" t="n">
        <v>24</v>
      </c>
      <c r="C32" s="160" t="n"/>
      <c r="D32" s="97" t="n"/>
      <c r="E32" s="42" t="n"/>
      <c r="F32" s="42" t="n"/>
      <c r="G32" s="160" t="n"/>
    </row>
    <row r="33">
      <c r="B33" s="53" t="n">
        <v>25</v>
      </c>
      <c r="C33" s="160" t="n"/>
      <c r="D33" s="97" t="n"/>
      <c r="E33" s="42" t="n"/>
      <c r="F33" s="42" t="n"/>
      <c r="G33" s="160" t="n"/>
    </row>
    <row r="34">
      <c r="B34" s="50" t="n">
        <v>26</v>
      </c>
      <c r="C34" s="159" t="n"/>
      <c r="D34" s="97" t="n"/>
      <c r="E34" s="42" t="n"/>
      <c r="F34" s="42" t="n"/>
      <c r="G34" s="159" t="n"/>
    </row>
    <row r="35">
      <c r="B35" s="51" t="n">
        <v>27</v>
      </c>
      <c r="C35" s="160" t="n"/>
      <c r="D35" s="97" t="n"/>
      <c r="E35" s="42" t="n"/>
      <c r="F35" s="42" t="n"/>
      <c r="G35" s="160" t="n"/>
    </row>
    <row r="36">
      <c r="B36" s="52" t="n">
        <v>28</v>
      </c>
      <c r="C36" s="160" t="n"/>
      <c r="D36" s="97" t="n"/>
      <c r="E36" s="42" t="n"/>
      <c r="F36" s="42" t="n"/>
      <c r="G36" s="161" t="n"/>
    </row>
    <row r="37">
      <c r="B37" s="53" t="n">
        <v>29</v>
      </c>
      <c r="C37" s="160" t="n"/>
      <c r="D37" s="97" t="n"/>
      <c r="E37" s="42" t="n"/>
      <c r="F37" s="42" t="n"/>
      <c r="G37" s="160" t="n"/>
    </row>
    <row r="38">
      <c r="B38" s="53" t="n">
        <v>30</v>
      </c>
      <c r="C38" s="160" t="n"/>
      <c r="D38" s="97" t="n"/>
      <c r="E38" s="42" t="n"/>
      <c r="F38" s="42" t="n"/>
      <c r="G38" s="160" t="n"/>
    </row>
    <row r="39">
      <c r="B39" s="50" t="n">
        <v>31</v>
      </c>
      <c r="C39" s="159" t="n"/>
      <c r="D39" s="97" t="n"/>
      <c r="E39" s="42" t="n"/>
      <c r="F39" s="42" t="n"/>
      <c r="G39" s="159" t="n"/>
    </row>
    <row r="40">
      <c r="B40" s="51" t="n">
        <v>32</v>
      </c>
      <c r="C40" s="160" t="n"/>
      <c r="D40" s="97" t="n"/>
      <c r="E40" s="42" t="n"/>
      <c r="F40" s="42" t="n"/>
      <c r="G40" s="160" t="n"/>
    </row>
    <row r="41">
      <c r="B41" s="52" t="n">
        <v>33</v>
      </c>
      <c r="C41" s="160" t="n"/>
      <c r="D41" s="97" t="n"/>
      <c r="E41" s="42" t="n"/>
      <c r="F41" s="42" t="n"/>
      <c r="G41" s="161" t="n"/>
    </row>
    <row r="42">
      <c r="B42" s="53" t="n">
        <v>34</v>
      </c>
      <c r="C42" s="160" t="n"/>
      <c r="D42" s="97" t="n"/>
      <c r="E42" s="42" t="n"/>
      <c r="F42" s="42" t="n"/>
      <c r="G42" s="160" t="n"/>
    </row>
    <row r="43">
      <c r="B43" s="53" t="n">
        <v>35</v>
      </c>
      <c r="C43" s="160" t="n"/>
      <c r="D43" s="97" t="n"/>
      <c r="E43" s="42" t="n"/>
      <c r="F43" s="42" t="n"/>
      <c r="G43" s="160" t="n"/>
    </row>
    <row r="44">
      <c r="B44" s="50" t="n">
        <v>36</v>
      </c>
      <c r="C44" s="159" t="n"/>
      <c r="D44" s="97" t="n"/>
      <c r="E44" s="42" t="n"/>
      <c r="F44" s="42" t="n"/>
      <c r="G44" s="159" t="n"/>
    </row>
    <row r="45">
      <c r="B45" s="51" t="n">
        <v>37</v>
      </c>
      <c r="C45" s="160" t="n"/>
      <c r="D45" s="97" t="n"/>
      <c r="E45" s="42" t="n"/>
      <c r="F45" s="42" t="n"/>
      <c r="G45" s="160" t="n"/>
    </row>
    <row r="46">
      <c r="B46" s="52" t="n">
        <v>38</v>
      </c>
      <c r="C46" s="160" t="n"/>
      <c r="D46" s="97" t="n"/>
      <c r="E46" s="42" t="n"/>
      <c r="F46" s="42" t="n"/>
      <c r="G46" s="161" t="n"/>
    </row>
    <row r="47">
      <c r="B47" s="53" t="n">
        <v>39</v>
      </c>
      <c r="C47" s="160" t="n"/>
      <c r="D47" s="97" t="n"/>
      <c r="E47" s="42" t="n"/>
      <c r="F47" s="42" t="n"/>
      <c r="G47" s="160" t="n"/>
    </row>
    <row r="48">
      <c r="B48" s="53" t="n">
        <v>40</v>
      </c>
      <c r="C48" s="160" t="n"/>
      <c r="D48" s="97" t="n"/>
      <c r="E48" s="42" t="n"/>
      <c r="F48" s="42" t="n"/>
      <c r="G48" s="160" t="n"/>
    </row>
  </sheetData>
  <mergeCells count="6">
    <mergeCell ref="G1:G3"/>
    <mergeCell ref="B5:C5"/>
    <mergeCell ref="B3:F3"/>
    <mergeCell ref="B1:F1"/>
    <mergeCell ref="D6:F6"/>
    <mergeCell ref="B7:G7"/>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P17"/>
  <sheetViews>
    <sheetView showGridLines="0" workbookViewId="0">
      <pane xSplit="8" ySplit="4" topLeftCell="I5" activePane="bottomRight" state="frozen"/>
      <selection pane="topRight" activeCell="I1" sqref="I1"/>
      <selection pane="bottomLeft" activeCell="A5" sqref="A5"/>
      <selection pane="bottomRight" activeCell="G29" sqref="G29"/>
    </sheetView>
  </sheetViews>
  <sheetFormatPr baseColWidth="10" defaultColWidth="8.83203125" defaultRowHeight="15"/>
  <cols>
    <col width="1.83203125" customWidth="1" min="1" max="1"/>
    <col width="4.6640625" customWidth="1" min="2" max="2"/>
    <col width="12.33203125" customWidth="1" min="5" max="5"/>
    <col width="17.83203125" customWidth="1" min="6" max="6"/>
    <col width="16.83203125" customWidth="1" min="8" max="8"/>
    <col width="14.1640625" customWidth="1" min="9" max="9"/>
    <col width="37.83203125" customWidth="1" min="10" max="10"/>
    <col width="10" customWidth="1" min="11" max="11"/>
    <col width="22.5" customWidth="1" min="12" max="12"/>
    <col width="10.5" customWidth="1" min="13" max="13"/>
    <col width="15.1640625" customWidth="1" min="14" max="15"/>
    <col width="19.6640625" customWidth="1" min="16" max="16"/>
  </cols>
  <sheetData>
    <row r="1" ht="16" customHeight="1" thickBot="1"/>
    <row r="2" ht="26" customHeight="1" thickBot="1">
      <c r="B2" s="162" t="inlineStr">
        <is>
          <t xml:space="preserve">Review Log </t>
        </is>
      </c>
      <c r="C2" s="163" t="n"/>
      <c r="D2" s="163" t="n"/>
      <c r="E2" s="163" t="n"/>
      <c r="F2" s="163" t="n"/>
      <c r="G2" s="163" t="n"/>
      <c r="H2" s="163" t="n"/>
      <c r="I2" s="163" t="n"/>
      <c r="J2" s="163" t="n"/>
      <c r="K2" s="163" t="n"/>
      <c r="L2" s="163" t="n"/>
      <c r="M2" s="163" t="n"/>
      <c r="N2" s="163" t="n"/>
      <c r="O2" s="163" t="n"/>
      <c r="P2" s="164" t="n"/>
    </row>
    <row r="3" ht="23.25" customHeight="1">
      <c r="B3" s="146" t="inlineStr">
        <is>
          <t>To be filled by Reviewer</t>
        </is>
      </c>
      <c r="C3" s="165" t="n"/>
      <c r="D3" s="165" t="n"/>
      <c r="E3" s="165" t="n"/>
      <c r="F3" s="165" t="n"/>
      <c r="G3" s="165" t="n"/>
      <c r="H3" s="165" t="n"/>
      <c r="I3" s="165" t="n"/>
      <c r="J3" s="165" t="n"/>
      <c r="K3" s="165" t="n"/>
      <c r="L3" s="45" t="n"/>
      <c r="M3" s="148" t="inlineStr">
        <is>
          <t>To be filled by Author &amp; Reviewer</t>
        </is>
      </c>
      <c r="N3" s="165" t="n"/>
      <c r="O3" s="165" t="n"/>
      <c r="P3" s="166" t="n"/>
    </row>
    <row r="4" ht="71" customHeight="1" thickBot="1">
      <c r="B4" s="46" t="inlineStr">
        <is>
          <t>Sl #</t>
        </is>
      </c>
      <c r="C4" s="47" t="inlineStr">
        <is>
          <t xml:space="preserve">Review Cycle </t>
        </is>
      </c>
      <c r="D4" s="47" t="inlineStr">
        <is>
          <t>Version
Number</t>
        </is>
      </c>
      <c r="E4" s="47" t="inlineStr">
        <is>
          <t xml:space="preserve">Posted Date
</t>
        </is>
      </c>
      <c r="F4" s="47" t="inlineStr">
        <is>
          <t>Reviewer Name</t>
        </is>
      </c>
      <c r="G4" s="47" t="inlineStr">
        <is>
          <t>Size of Work Product (LOC, Pages )</t>
        </is>
      </c>
      <c r="H4" s="47" t="inlineStr">
        <is>
          <t>Document Name / 
Code, Module Name</t>
        </is>
      </c>
      <c r="I4" s="47" t="inlineStr">
        <is>
          <t xml:space="preserve"> Section ID, Line OR
Page Number</t>
        </is>
      </c>
      <c r="J4" s="47" t="inlineStr">
        <is>
          <t>Comment Description</t>
        </is>
      </c>
      <c r="K4" s="47" t="inlineStr">
        <is>
          <t>Severity</t>
        </is>
      </c>
      <c r="L4" s="48" t="inlineStr">
        <is>
          <t>Action required for comment resolution</t>
        </is>
      </c>
      <c r="M4" s="46" t="inlineStr">
        <is>
          <t>Comment Status</t>
        </is>
      </c>
      <c r="N4" s="47" t="inlineStr">
        <is>
          <t>Comment Target Closure Date</t>
        </is>
      </c>
      <c r="O4" s="47" t="inlineStr">
        <is>
          <t>Comment Actual Closure Date</t>
        </is>
      </c>
      <c r="P4" s="48" t="inlineStr">
        <is>
          <t>Remarks</t>
        </is>
      </c>
    </row>
    <row r="5">
      <c r="B5" s="56" t="n">
        <v>1</v>
      </c>
      <c r="C5" s="1" t="inlineStr">
        <is>
          <t>1st</t>
        </is>
      </c>
      <c r="D5" s="167" t="n">
        <v>1</v>
      </c>
      <c r="E5" s="168" t="n"/>
      <c r="F5" s="3" t="inlineStr">
        <is>
          <t>Syamil</t>
        </is>
      </c>
      <c r="G5" s="59" t="inlineStr">
        <is>
          <t>Small</t>
        </is>
      </c>
      <c r="H5" s="3" t="inlineStr">
        <is>
          <t>FWCMS</t>
        </is>
      </c>
      <c r="I5" s="59" t="n">
        <v>28</v>
      </c>
      <c r="J5" s="4" t="inlineStr">
        <is>
          <t>add more tc to cover scenario</t>
        </is>
      </c>
      <c r="K5" s="4" t="inlineStr">
        <is>
          <t>Low</t>
        </is>
      </c>
      <c r="L5" s="3" t="inlineStr">
        <is>
          <t>Add new test case</t>
        </is>
      </c>
      <c r="M5" s="3" t="inlineStr">
        <is>
          <t>Closed</t>
        </is>
      </c>
      <c r="N5" s="169" t="n">
        <v>45803</v>
      </c>
      <c r="O5" s="169" t="n">
        <v>45803</v>
      </c>
      <c r="P5" s="11" t="n"/>
    </row>
    <row r="6">
      <c r="B6" s="55" t="n"/>
      <c r="C6" s="1" t="n"/>
      <c r="D6" s="167" t="n"/>
      <c r="E6" s="168" t="n"/>
      <c r="F6" s="3" t="n"/>
      <c r="G6" s="59" t="n"/>
      <c r="H6" s="3" t="n"/>
      <c r="I6" s="59" t="n"/>
      <c r="J6" s="4" t="n"/>
      <c r="K6" s="4" t="n"/>
      <c r="L6" s="3" t="n"/>
      <c r="M6" s="3" t="n"/>
      <c r="N6" s="169" t="n"/>
      <c r="O6" s="169" t="n"/>
      <c r="P6" s="11" t="n"/>
    </row>
    <row r="7">
      <c r="B7" s="55" t="n"/>
      <c r="C7" s="1" t="n"/>
      <c r="D7" s="167" t="n"/>
      <c r="E7" s="168" t="n"/>
      <c r="F7" s="3" t="n"/>
      <c r="G7" s="59" t="n"/>
      <c r="H7" s="3" t="n"/>
      <c r="I7" s="59" t="n"/>
      <c r="J7" s="4" t="n"/>
      <c r="K7" s="4" t="n"/>
      <c r="L7" s="3" t="n"/>
      <c r="M7" s="3" t="n"/>
      <c r="N7" s="169" t="n"/>
      <c r="O7" s="169" t="n"/>
      <c r="P7" s="11" t="n"/>
    </row>
    <row r="8">
      <c r="B8" s="55" t="n"/>
      <c r="C8" s="1" t="n"/>
      <c r="D8" s="167" t="n"/>
      <c r="E8" s="168" t="n"/>
      <c r="F8" s="3" t="n"/>
      <c r="G8" s="59" t="n"/>
      <c r="H8" s="3" t="n"/>
      <c r="I8" s="59" t="n"/>
      <c r="J8" s="4" t="n"/>
      <c r="K8" s="4" t="n"/>
      <c r="L8" s="3" t="n"/>
      <c r="M8" s="3" t="n"/>
      <c r="N8" s="169" t="n"/>
      <c r="O8" s="169" t="n"/>
      <c r="P8" s="11" t="n"/>
    </row>
    <row r="9">
      <c r="B9" s="55" t="n"/>
      <c r="C9" s="1" t="n"/>
      <c r="D9" s="167" t="n"/>
      <c r="E9" s="168" t="n"/>
      <c r="F9" s="3" t="n"/>
      <c r="G9" s="59" t="n"/>
      <c r="H9" s="3" t="n"/>
      <c r="I9" s="59" t="n"/>
      <c r="J9" s="4" t="n"/>
      <c r="K9" s="4" t="n"/>
      <c r="L9" s="3" t="n"/>
      <c r="M9" s="3" t="n"/>
      <c r="N9" s="169" t="n"/>
      <c r="O9" s="169" t="n"/>
      <c r="P9" s="11" t="n"/>
    </row>
    <row r="10">
      <c r="B10" s="55" t="n"/>
      <c r="C10" s="1" t="n"/>
      <c r="D10" s="167" t="n"/>
      <c r="E10" s="168" t="n"/>
      <c r="F10" s="3" t="n"/>
      <c r="G10" s="59" t="n"/>
      <c r="H10" s="3" t="n"/>
      <c r="I10" s="59" t="n"/>
      <c r="J10" s="4" t="inlineStr">
        <is>
          <t xml:space="preserve"> </t>
        </is>
      </c>
      <c r="K10" s="4" t="n"/>
      <c r="L10" s="3" t="n"/>
      <c r="M10" s="3" t="n"/>
      <c r="N10" s="169" t="n"/>
      <c r="O10" s="169" t="n"/>
      <c r="P10" s="11" t="n"/>
    </row>
    <row r="11">
      <c r="B11" s="55" t="n"/>
      <c r="C11" s="1" t="n"/>
      <c r="D11" s="167" t="n"/>
      <c r="E11" s="168" t="n"/>
      <c r="F11" s="3" t="n"/>
      <c r="G11" s="59" t="n"/>
      <c r="H11" s="3" t="n"/>
      <c r="I11" s="59" t="n"/>
      <c r="J11" s="4" t="inlineStr">
        <is>
          <t xml:space="preserve">   </t>
        </is>
      </c>
      <c r="K11" s="4" t="n"/>
      <c r="L11" s="3" t="n"/>
      <c r="M11" s="3" t="n"/>
      <c r="N11" s="169" t="n"/>
      <c r="O11" s="169" t="n"/>
      <c r="P11" s="11" t="n"/>
    </row>
    <row r="12">
      <c r="B12" s="55" t="n"/>
      <c r="C12" s="5" t="n"/>
      <c r="D12" s="170" t="n"/>
      <c r="E12" s="171" t="n"/>
      <c r="F12" s="6" t="n"/>
      <c r="G12" s="70" t="n"/>
      <c r="H12" s="6" t="n"/>
      <c r="I12" s="70" t="n"/>
      <c r="J12" s="7" t="n"/>
      <c r="K12" s="4" t="n"/>
      <c r="L12" s="6" t="n"/>
      <c r="M12" s="3" t="n"/>
      <c r="N12" s="169" t="n"/>
      <c r="O12" s="169" t="n"/>
      <c r="P12" s="11" t="n"/>
    </row>
    <row r="13">
      <c r="B13" s="55" t="n"/>
      <c r="C13" s="8" t="n"/>
      <c r="D13" s="172" t="n"/>
      <c r="E13" s="173" t="n"/>
      <c r="F13" s="9" t="n"/>
      <c r="G13" s="71" t="n"/>
      <c r="H13" s="9" t="n"/>
      <c r="I13" s="71" t="n"/>
      <c r="J13" s="10" t="n"/>
      <c r="K13" s="4" t="n"/>
      <c r="L13" s="9" t="n"/>
      <c r="M13" s="3" t="n"/>
      <c r="N13" s="169" t="n"/>
      <c r="O13" s="169" t="n"/>
      <c r="P13" s="11" t="n"/>
    </row>
    <row r="14">
      <c r="B14" s="55" t="n"/>
      <c r="C14" s="8" t="n"/>
      <c r="D14" s="172" t="n"/>
      <c r="E14" s="173" t="n"/>
      <c r="F14" s="9" t="n"/>
      <c r="G14" s="71" t="n"/>
      <c r="H14" s="9" t="n"/>
      <c r="I14" s="71" t="n"/>
      <c r="J14" s="10" t="n"/>
      <c r="K14" s="4" t="n"/>
      <c r="L14" s="9" t="n"/>
      <c r="M14" s="3" t="n"/>
      <c r="N14" s="169" t="n"/>
      <c r="O14" s="169" t="n"/>
      <c r="P14" s="11" t="n"/>
    </row>
    <row r="15">
      <c r="B15" s="55" t="n"/>
      <c r="C15" s="8" t="n"/>
      <c r="D15" s="172" t="n"/>
      <c r="E15" s="173" t="n"/>
      <c r="F15" s="9" t="n"/>
      <c r="G15" s="71" t="n"/>
      <c r="H15" s="9" t="n"/>
      <c r="I15" s="71" t="n"/>
      <c r="J15" s="10" t="n"/>
      <c r="K15" s="4" t="n"/>
      <c r="L15" s="9" t="n"/>
      <c r="M15" s="3" t="n"/>
      <c r="N15" s="169" t="n"/>
      <c r="O15" s="169" t="n"/>
      <c r="P15" s="11" t="n"/>
    </row>
    <row r="16">
      <c r="B16" s="55" t="n"/>
      <c r="C16" s="8" t="n"/>
      <c r="D16" s="172" t="n"/>
      <c r="E16" s="173" t="n"/>
      <c r="F16" s="9" t="n"/>
      <c r="G16" s="71" t="n"/>
      <c r="H16" s="9" t="n"/>
      <c r="I16" s="71" t="n"/>
      <c r="J16" s="10" t="n"/>
      <c r="K16" s="4" t="n"/>
      <c r="L16" s="9" t="n"/>
      <c r="M16" s="3" t="n"/>
      <c r="N16" s="169" t="n"/>
      <c r="O16" s="169" t="n"/>
      <c r="P16" s="11" t="n"/>
    </row>
    <row r="17" ht="16" customHeight="1" thickBot="1">
      <c r="B17" s="57" t="n"/>
      <c r="C17" s="12" t="n"/>
      <c r="D17" s="174" t="n"/>
      <c r="E17" s="175" t="n"/>
      <c r="F17" s="13" t="n"/>
      <c r="G17" s="72" t="n"/>
      <c r="H17" s="13" t="n"/>
      <c r="I17" s="72" t="n"/>
      <c r="J17" s="14" t="n"/>
      <c r="K17" s="15" t="n"/>
      <c r="L17" s="13" t="n"/>
      <c r="M17" s="16" t="n"/>
      <c r="N17" s="176" t="n"/>
      <c r="O17" s="176" t="n"/>
      <c r="P17" s="17" t="n"/>
    </row>
  </sheetData>
  <mergeCells count="3">
    <mergeCell ref="M3:P3"/>
    <mergeCell ref="B3:K3"/>
    <mergeCell ref="B2:P2"/>
  </mergeCells>
  <dataValidations count="3">
    <dataValidation sqref="M5:M17" showDropDown="0" showInputMessage="1" showErrorMessage="1" allowBlank="1" type="list">
      <formula1>"Open,Fixed, Closed, Deferred,Re-open, Rejected"</formula1>
    </dataValidation>
    <dataValidation sqref="K5:K17" showDropDown="0" showInputMessage="1" showErrorMessage="1" allowBlank="1" type="list">
      <formula1>"High, Medium, Low"</formula1>
    </dataValidation>
    <dataValidation sqref="C5:C17" showDropDown="0" showInputMessage="1" showErrorMessage="1" allowBlank="1" type="list">
      <formula1>"1st, 2nd, 3rd, 4th, 5th "</formula1>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13"/>
  <sheetViews>
    <sheetView zoomScaleNormal="100" workbookViewId="0">
      <pane ySplit="1" topLeftCell="A2" activePane="bottomLeft" state="frozen"/>
      <selection pane="bottomLeft" activeCell="D40" sqref="D40"/>
    </sheetView>
  </sheetViews>
  <sheetFormatPr baseColWidth="10" defaultColWidth="9.1640625" defaultRowHeight="15"/>
  <cols>
    <col width="12" customWidth="1" style="99" min="1" max="1"/>
    <col width="17.5" customWidth="1" style="100" min="2" max="2"/>
    <col width="16" customWidth="1" min="3" max="3"/>
    <col width="16" customWidth="1" min="4" max="4"/>
    <col width="26" customWidth="1" style="109" min="5" max="5"/>
    <col width="34" customWidth="1" min="6" max="6"/>
    <col width="48" customWidth="1" min="7" max="7"/>
    <col width="18" customWidth="1" style="101" min="8" max="8"/>
    <col width="48" customWidth="1" min="9" max="9"/>
    <col width="19.6640625" customWidth="1" style="102" min="10" max="10"/>
    <col width="37.33203125" customWidth="1" min="11" max="11"/>
    <col width="24" customWidth="1" min="12" max="12"/>
    <col width="12" customWidth="1" style="100" min="13" max="13"/>
  </cols>
  <sheetData>
    <row r="1" ht="32.5" customHeight="1">
      <c r="A1" s="110" t="inlineStr">
        <is>
          <t>Case ID</t>
        </is>
      </c>
      <c r="B1" s="110" t="inlineStr">
        <is>
          <t>Redmine User Story</t>
        </is>
      </c>
      <c r="C1" s="110" t="inlineStr">
        <is>
          <t>Tracker</t>
        </is>
      </c>
      <c r="D1" s="110" t="inlineStr">
        <is>
          <t>Scenario</t>
        </is>
      </c>
      <c r="E1" s="110" t="inlineStr">
        <is>
          <t>Pre Condition</t>
        </is>
      </c>
      <c r="F1" s="110" t="inlineStr">
        <is>
          <t>Case</t>
        </is>
      </c>
      <c r="G1" s="110" t="inlineStr">
        <is>
          <t>Steps</t>
        </is>
      </c>
      <c r="H1" s="111" t="inlineStr">
        <is>
          <t>Test Data</t>
        </is>
      </c>
      <c r="I1" s="110" t="inlineStr">
        <is>
          <t>Expected Result</t>
        </is>
      </c>
      <c r="J1" s="110" t="inlineStr">
        <is>
          <t>Result</t>
        </is>
      </c>
      <c r="K1" s="110" t="inlineStr">
        <is>
          <t>Redmine Defect</t>
        </is>
      </c>
      <c r="L1" s="112" t="inlineStr">
        <is>
          <t>Additional/Comments/Issues</t>
        </is>
      </c>
      <c r="M1" s="110" t="inlineStr">
        <is>
          <t>QA PIC</t>
        </is>
      </c>
    </row>
    <row r="2">
      <c r="A2" s="177" t="inlineStr">
        <is>
          <t>E2E-001</t>
        </is>
      </c>
      <c r="B2" s="177" t="inlineStr"/>
      <c r="C2" s="177" t="inlineStr">
        <is>
          <t>Delivery</t>
        </is>
      </c>
      <c r="D2" s="177" t="inlineStr">
        <is>
          <t>Delivery</t>
        </is>
      </c>
      <c r="E2" s="177" t="inlineStr">
        <is>
          <t>FA, FA2, Lead, Dev, QA, PM accounts</t>
        </is>
      </c>
      <c r="F2" s="177" t="inlineStr">
        <is>
          <t>Requirement to go-live (happy path)</t>
        </is>
      </c>
      <c r="G2" s="177" t="inlineStr">
        <is>
          <t>1. FA creates requirement (with AC)
2. FA submits for review
3. FA2 approves
4. Lead assigns a developer
5. Dev starts, then marks Ready for QA
6. QA compiles TCs to an execution file and runs them all Pass
7. QA sends verdict email
8. PM closes the milestone</t>
        </is>
      </c>
      <c r="H2" s="177" t="inlineStr">
        <is>
          <t>full team</t>
        </is>
      </c>
      <c r="I2" s="177" t="inlineStr">
        <is>
          <t>Each stage transitions + notifies the right role; timeline shows Requirements-&gt;Develop-&gt;QA; verdict sent; milestone closed</t>
        </is>
      </c>
      <c r="J2" s="177" t="inlineStr"/>
      <c r="K2" s="177" t="inlineStr"/>
      <c r="L2" s="177" t="inlineStr">
        <is>
          <t>Automated — artifacts/qa-automation/tests/e2e.spec.ts:55</t>
        </is>
      </c>
      <c r="M2" s="177" t="inlineStr"/>
    </row>
    <row r="3">
      <c r="A3" s="177" t="inlineStr">
        <is>
          <t>E2E-002</t>
        </is>
      </c>
      <c r="B3" s="177" t="inlineStr"/>
      <c r="C3" s="177" t="inlineStr">
        <is>
          <t>Delivery</t>
        </is>
      </c>
      <c r="D3" s="177" t="inlineStr">
        <is>
          <t>Delivery</t>
        </is>
      </c>
      <c r="E3" s="177" t="inlineStr">
        <is>
          <t>FA, FA2 accounts</t>
        </is>
      </c>
      <c r="F3" s="177" t="inlineStr">
        <is>
          <t>Rejection and rework loop</t>
        </is>
      </c>
      <c r="G3" s="177" t="inlineStr">
        <is>
          <t>1. FA creates + submits
2. FA2 rejects with comment
3. Author edits and resubmits
4. FA2 approves</t>
        </is>
      </c>
      <c r="H3" s="177" t="inlineStr">
        <is>
          <t>two FA</t>
        </is>
      </c>
      <c r="I3" s="177" t="inlineStr">
        <is>
          <t>Author + PM notified on reject; re-review succeeds; final status approved; history shows the loop</t>
        </is>
      </c>
      <c r="J3" s="177" t="inlineStr"/>
      <c r="K3" s="177" t="inlineStr"/>
      <c r="L3" s="177" t="inlineStr">
        <is>
          <t>Automated — artifacts/qa-automation/tests/e2e.spec.ts:155</t>
        </is>
      </c>
      <c r="M3" s="177" t="inlineStr"/>
    </row>
    <row r="4">
      <c r="A4" s="177" t="inlineStr">
        <is>
          <t>E2E-003</t>
        </is>
      </c>
      <c r="B4" s="177" t="inlineStr"/>
      <c r="C4" s="177" t="inlineStr">
        <is>
          <t>Delivery</t>
        </is>
      </c>
      <c r="D4" s="177" t="inlineStr">
        <is>
          <t>Delivery</t>
        </is>
      </c>
      <c r="E4" s="177" t="inlineStr">
        <is>
          <t>Lead, Dev, QA accounts</t>
        </is>
      </c>
      <c r="F4" s="177" t="inlineStr">
        <is>
          <t>Return-to-Dev retest loop (CR046)</t>
        </is>
      </c>
      <c r="G4" s="177" t="inlineStr">
        <is>
          <t>1. Approved req assigned to Dev
2. Dev marks Ready for QA
3. QA finds it incomplete, Return to Dev with reason
4. Dev fixes, marks Ready again
5. QA runs and passes</t>
        </is>
      </c>
      <c r="H4" s="177" t="inlineStr">
        <is>
          <t>dev + QA</t>
        </is>
      </c>
      <c r="I4" s="177" t="inlineStr">
        <is>
          <t>Dev + dev_lead notified on return; timeline resumes Develop same cycle then QA; final pass</t>
        </is>
      </c>
      <c r="J4" s="177" t="inlineStr"/>
      <c r="K4" s="177" t="inlineStr"/>
      <c r="L4" s="177" t="inlineStr">
        <is>
          <t>Automated — artifacts/qa-automation/tests/e2e.spec.ts:200</t>
        </is>
      </c>
      <c r="M4" s="177" t="inlineStr"/>
    </row>
    <row r="5">
      <c r="A5" s="177" t="inlineStr">
        <is>
          <t>E2E-004</t>
        </is>
      </c>
      <c r="B5" s="177" t="inlineStr"/>
      <c r="C5" s="177" t="inlineStr">
        <is>
          <t>Delivery</t>
        </is>
      </c>
      <c r="D5" s="177" t="inlineStr">
        <is>
          <t>Delivery</t>
        </is>
      </c>
      <c r="E5" s="177" t="inlineStr">
        <is>
          <t>FA, Lead, Dev/QA accounts</t>
        </is>
      </c>
      <c r="F5" s="177" t="inlineStr">
        <is>
          <t>Return-to-FA revision loop (CR053)</t>
        </is>
      </c>
      <c r="G5" s="177" t="inlineStr">
        <is>
          <t>1. Approved req in development
2. Dev/QA opens Requirement Issue &gt; Return to FA with reason
3. FA author revises + resubmits
4. FA2 re-approves
5. Lead re-assigns dev
6. Dev completes</t>
        </is>
      </c>
      <c r="H5" s="177" t="inlineStr">
        <is>
          <t>full team</t>
        </is>
      </c>
      <c r="I5" s="177" t="inlineStr">
        <is>
          <t>Status back to rejected-&gt;author; FA team notified; dev handoff reset; PM timeline shows a new Requirements cycle; completes</t>
        </is>
      </c>
      <c r="J5" s="177" t="inlineStr"/>
      <c r="K5" s="177" t="inlineStr"/>
      <c r="L5" s="177" t="inlineStr">
        <is>
          <t>Automated — artifacts/qa-automation/tests/e2e.spec.ts:237</t>
        </is>
      </c>
      <c r="M5" s="177" t="inlineStr"/>
    </row>
    <row r="6">
      <c r="A6" s="177" t="inlineStr">
        <is>
          <t>E2E-005</t>
        </is>
      </c>
      <c r="B6" s="177" t="inlineStr"/>
      <c r="C6" s="177" t="inlineStr">
        <is>
          <t>Defects</t>
        </is>
      </c>
      <c r="D6" s="177" t="inlineStr">
        <is>
          <t>Defects</t>
        </is>
      </c>
      <c r="E6" s="177" t="inlineStr">
        <is>
          <t>QA, Dev accounts</t>
        </is>
      </c>
      <c r="F6" s="177" t="inlineStr">
        <is>
          <t>Defect find-fix-reopen-close</t>
        </is>
      </c>
      <c r="G6" s="177" t="inlineStr">
        <is>
          <t>1. QA runs execution, one TC Fails
2. QA registers a defect (auto/assign to Dev)
3. Dev fixes, sets Fixed
4. QA retests, still fails -&gt; reopen
5. Dev fixes again
6. QA retests Pass, defect closed</t>
        </is>
      </c>
      <c r="H6" s="177" t="inlineStr">
        <is>
          <t>QA + Dev</t>
        </is>
      </c>
      <c r="I6" s="177" t="inlineStr">
        <is>
          <t>Dev notified on assign; QA notified retest-needed; Dev notified on reopen (CR050); escape analysis reflects lifecycle</t>
        </is>
      </c>
      <c r="J6" s="177" t="inlineStr"/>
      <c r="K6" s="177" t="inlineStr"/>
      <c r="L6" s="177" t="inlineStr">
        <is>
          <t>Automated — artifacts/qa-automation/tests/e2e.spec.ts:279</t>
        </is>
      </c>
      <c r="M6" s="177" t="inlineStr"/>
    </row>
    <row r="7">
      <c r="A7" s="177" t="inlineStr">
        <is>
          <t>E2E-006</t>
        </is>
      </c>
      <c r="B7" s="177" t="inlineStr"/>
      <c r="C7" s="177" t="inlineStr">
        <is>
          <t>Requirements</t>
        </is>
      </c>
      <c r="D7" s="177" t="inlineStr">
        <is>
          <t>Requirements</t>
        </is>
      </c>
      <c r="E7" s="177" t="inlineStr">
        <is>
          <t>Dev, FA author accounts</t>
        </is>
      </c>
      <c r="F7" s="177" t="inlineStr">
        <is>
          <t>Requirement defect via author (CR031)</t>
        </is>
      </c>
      <c r="G7" s="177" t="inlineStr">
        <is>
          <t>1. Dev raises a requirement defect against an approved requirement
2. It routes to the FA author
3. Author fixes and resubmits
4. Author hands the defect back to Dev/QA</t>
        </is>
      </c>
      <c r="H7" s="177" t="inlineStr">
        <is>
          <t>dev + FA</t>
        </is>
      </c>
      <c r="I7" s="177" t="inlineStr">
        <is>
          <t>Defect routed to author; author notified; handoff back works; requirement stays trackable</t>
        </is>
      </c>
      <c r="J7" s="177" t="inlineStr"/>
      <c r="K7" s="177" t="inlineStr"/>
      <c r="L7" s="177" t="inlineStr">
        <is>
          <t>Automated — artifacts/qa-automation/tests/e2e.spec.ts:364</t>
        </is>
      </c>
      <c r="M7" s="177" t="inlineStr"/>
    </row>
    <row r="8">
      <c r="A8" s="177" t="inlineStr">
        <is>
          <t>E2E-007</t>
        </is>
      </c>
      <c r="B8" s="177" t="inlineStr"/>
      <c r="C8" s="177" t="inlineStr">
        <is>
          <t>Access</t>
        </is>
      </c>
      <c r="D8" s="177" t="inlineStr">
        <is>
          <t>Access</t>
        </is>
      </c>
      <c r="E8" s="177" t="inlineStr">
        <is>
          <t>HOD, member accounts</t>
        </is>
      </c>
      <c r="F8" s="177" t="inlineStr">
        <is>
          <t>Multi-module staffing (CR044)</t>
        </is>
      </c>
      <c r="G8" s="177" t="inlineStr">
        <is>
          <t>1. HOD assigns a member to Project X modules A and B (not C)
2. Member logs in
3. Member opens Requirements/TCs/Defects
4. Member tries a module-C record</t>
        </is>
      </c>
      <c r="H8" s="177" t="inlineStr">
        <is>
          <t>HOD + member</t>
        </is>
      </c>
      <c r="I8" s="177" t="inlineStr">
        <is>
          <t>Member sees only A and B across all lists; C is not visible/accessible</t>
        </is>
      </c>
      <c r="J8" s="177" t="inlineStr"/>
      <c r="K8" s="177" t="inlineStr"/>
      <c r="L8" s="177" t="inlineStr">
        <is>
          <t>Automated — artifacts/qa-automation/tests/e2e.spec.ts:406</t>
        </is>
      </c>
      <c r="M8" s="177" t="inlineStr"/>
    </row>
    <row r="9">
      <c r="A9" s="177" t="inlineStr">
        <is>
          <t>E2E-008</t>
        </is>
      </c>
      <c r="B9" s="177" t="inlineStr"/>
      <c r="C9" s="177" t="inlineStr">
        <is>
          <t>Notifications</t>
        </is>
      </c>
      <c r="D9" s="177" t="inlineStr">
        <is>
          <t>Notifications</t>
        </is>
      </c>
      <c r="E9" s="177" t="inlineStr">
        <is>
          <t>PM, FA, FA2, Lead, Dev, QA accounts</t>
        </is>
      </c>
      <c r="F9" s="177" t="inlineStr">
        <is>
          <t>Milestone-to-QA fan-out (CR045)</t>
        </is>
      </c>
      <c r="G9" s="177" t="inlineStr">
        <is>
          <t>1. PM creates a milestone
2. FA (notified) writes + submits a requirement
3. FA2 approves
4. Lead assigns Dev
5. Dev marks Ready for QA</t>
        </is>
      </c>
      <c r="H9" s="177" t="inlineStr">
        <is>
          <t>full team</t>
        </is>
      </c>
      <c r="I9" s="177" t="inlineStr">
        <is>
          <t>milestone_created-&gt;FA; submit-&gt;FA reviewers; approve-&gt;author+dev_lead; ready_for_qa-&gt;qa_lead - all module-scoped, HODs excluded</t>
        </is>
      </c>
      <c r="J9" s="177" t="inlineStr"/>
      <c r="K9" s="177" t="inlineStr"/>
      <c r="L9" s="177" t="inlineStr">
        <is>
          <t>Automated — artifacts/qa-automation/tests/e2e.spec.ts:463</t>
        </is>
      </c>
      <c r="M9" s="177" t="inlineStr"/>
    </row>
    <row r="10">
      <c r="A10" s="177" t="inlineStr">
        <is>
          <t>E2E-009</t>
        </is>
      </c>
      <c r="B10" s="177" t="inlineStr"/>
      <c r="C10" s="177" t="inlineStr">
        <is>
          <t>Traceability</t>
        </is>
      </c>
      <c r="D10" s="177" t="inlineStr">
        <is>
          <t>Traceability</t>
        </is>
      </c>
      <c r="E10" s="177" t="inlineStr">
        <is>
          <t>FA, QA accounts</t>
        </is>
      </c>
      <c r="F10" s="177" t="inlineStr">
        <is>
          <t>Coverage end-to-end</t>
        </is>
      </c>
      <c r="G10" s="177" t="inlineStr">
        <is>
          <t>1. Create a requirement
2. Generate/link test cases
3. Compile TCs into an execution file
4. Run the execution (mixed results)
5. Open Traceability</t>
        </is>
      </c>
      <c r="H10" s="177" t="inlineStr">
        <is>
          <t>FA + QA</t>
        </is>
      </c>
      <c r="I10" s="177" t="inlineStr">
        <is>
          <t>Matrix shows Req -&gt; TCs -&gt; execution results with rolled-up coverage and pass state</t>
        </is>
      </c>
      <c r="J10" s="177" t="inlineStr"/>
      <c r="K10" s="177" t="inlineStr"/>
      <c r="L10" s="177" t="inlineStr">
        <is>
          <t>Automated — artifacts/qa-automation/tests/e2e.spec.ts:514</t>
        </is>
      </c>
      <c r="M10" s="177" t="inlineStr"/>
    </row>
    <row r="11">
      <c r="A11" s="177" t="inlineStr">
        <is>
          <t>E2E-010</t>
        </is>
      </c>
      <c r="B11" s="177" t="inlineStr"/>
      <c r="C11" s="177" t="inlineStr">
        <is>
          <t>UAT</t>
        </is>
      </c>
      <c r="D11" s="177" t="inlineStr">
        <is>
          <t>UAT</t>
        </is>
      </c>
      <c r="E11" s="177" t="inlineStr">
        <is>
          <t>QA/UAT, PM accounts</t>
        </is>
      </c>
      <c r="F11" s="177" t="inlineStr">
        <is>
          <t>UAT milestone acceptance</t>
        </is>
      </c>
      <c r="G11" s="177" t="inlineStr">
        <is>
          <t>1. Create a UAT execution file linked to a milestone
2. Execute UAT cases to &gt;=80% pass
3. Observe PM notification
4. Send verdict</t>
        </is>
      </c>
      <c r="H11" s="177" t="inlineStr">
        <is>
          <t>UAT + PM</t>
        </is>
      </c>
      <c r="I11" s="177" t="inlineStr">
        <is>
          <t>uat_milestone_ready notification fires to milestone PM at threshold; verdict sent</t>
        </is>
      </c>
      <c r="J11" s="177" t="inlineStr"/>
      <c r="K11" s="177" t="inlineStr"/>
      <c r="L11" s="177" t="inlineStr">
        <is>
          <t>Automated — artifacts/qa-automation/tests/e2e.spec.ts:566</t>
        </is>
      </c>
      <c r="M11" s="177" t="inlineStr"/>
    </row>
    <row r="12">
      <c r="A12" s="177" t="inlineStr">
        <is>
          <t>E2E-011</t>
        </is>
      </c>
      <c r="B12" s="177" t="inlineStr"/>
      <c r="C12" s="177" t="inlineStr">
        <is>
          <t>PM Dashboard</t>
        </is>
      </c>
      <c r="D12" s="177" t="inlineStr">
        <is>
          <t>PM Dashboard</t>
        </is>
      </c>
      <c r="E12" s="177" t="inlineStr">
        <is>
          <t>FA, Dev, QA accounts</t>
        </is>
      </c>
      <c r="F12" s="177" t="inlineStr">
        <is>
          <t>Multi-cycle timeline (CR032)</t>
        </is>
      </c>
      <c r="G12" s="177" t="inlineStr">
        <is>
          <t>1. Drive a requirement through approve-&gt;dev-&gt;ready
2. Return to Dev (CR046)
3. Later Return to FA (CR053) and re-approve
4. Open PM Dashboard phase timeline</t>
        </is>
      </c>
      <c r="H12" s="177" t="inlineStr">
        <is>
          <t>full team</t>
        </is>
      </c>
      <c r="I12" s="177" t="inlineStr">
        <is>
          <t>Timeline shows repeating Requirements-&gt;Develop-&gt;QA cycles per bounce (not one flat window)</t>
        </is>
      </c>
      <c r="J12" s="177" t="inlineStr"/>
      <c r="K12" s="177" t="inlineStr"/>
      <c r="L12" s="177" t="inlineStr">
        <is>
          <t>Automated — artifacts/qa-automation/tests/e2e.spec.ts:604</t>
        </is>
      </c>
      <c r="M12" s="177" t="inlineStr"/>
    </row>
    <row r="13">
      <c r="A13" s="177" t="inlineStr">
        <is>
          <t>E2E-012</t>
        </is>
      </c>
      <c r="B13" s="177" t="inlineStr"/>
      <c r="C13" s="177" t="inlineStr">
        <is>
          <t>Integration</t>
        </is>
      </c>
      <c r="D13" s="177" t="inlineStr">
        <is>
          <t>Integration</t>
        </is>
      </c>
      <c r="E13" s="177" t="inlineStr">
        <is>
          <t>QA account, Redmine configured</t>
        </is>
      </c>
      <c r="F13" s="177" t="inlineStr">
        <is>
          <t>Redmine round-trip</t>
        </is>
      </c>
      <c r="G13" s="177" t="inlineStr">
        <is>
          <t>1. Import a Redmine issue as a requirement
2. Raise a defect and push it to Redmine
3. Change the defect status in QAPulse (write-through)
4. Run status sync</t>
        </is>
      </c>
      <c r="H13" s="177" t="inlineStr">
        <is>
          <t>Redmine</t>
        </is>
      </c>
      <c r="I13" s="177" t="inlineStr">
        <is>
          <t>Import maps fields; push creates issue (dedupe on retry CR051); status write-through + sync reconcile</t>
        </is>
      </c>
      <c r="J13" s="177" t="inlineStr"/>
      <c r="K13" s="177" t="inlineStr"/>
      <c r="L13" s="177" t="inlineStr">
        <is>
          <t>Manual (declared in spec as skip) — artifacts/qa-automation/tests/e2e.spec.ts:663</t>
        </is>
      </c>
      <c r="M13" s="177" t="inlineStr"/>
    </row>
  </sheetData>
  <autoFilter ref="A1:M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45"/>
  <sheetViews>
    <sheetView showGridLines="0" workbookViewId="0">
      <selection activeCell="F16" sqref="F16"/>
    </sheetView>
  </sheetViews>
  <sheetFormatPr baseColWidth="10" defaultColWidth="8.83203125" defaultRowHeight="15"/>
  <cols>
    <col width="1.83203125" customWidth="1" min="1" max="1"/>
    <col width="6.1640625" customWidth="1" min="2" max="2"/>
    <col width="16.83203125" customWidth="1" min="4" max="4"/>
    <col width="14.1640625" customWidth="1" min="5" max="5"/>
    <col width="15.33203125" customWidth="1" min="6" max="6"/>
    <col width="31.5" customWidth="1" min="7" max="7"/>
  </cols>
  <sheetData>
    <row r="1" ht="16" customHeight="1" thickBot="1"/>
    <row r="2" ht="26" customHeight="1" thickBot="1">
      <c r="B2" s="162" t="inlineStr">
        <is>
          <t xml:space="preserve"> Review &amp; Rework Effort </t>
        </is>
      </c>
      <c r="C2" s="163" t="n"/>
      <c r="D2" s="163" t="n"/>
      <c r="E2" s="163" t="n"/>
      <c r="F2" s="163" t="n"/>
      <c r="G2" s="164" t="n"/>
    </row>
    <row r="3" ht="23.25" customHeight="1" thickBot="1">
      <c r="B3" s="132" t="inlineStr">
        <is>
          <t>To be filled by Reviewer</t>
        </is>
      </c>
      <c r="C3" s="163" t="n"/>
      <c r="D3" s="163" t="n"/>
      <c r="E3" s="164" t="n"/>
      <c r="F3" s="132" t="inlineStr">
        <is>
          <t>To be filled by Author</t>
        </is>
      </c>
      <c r="G3" s="164" t="n"/>
    </row>
    <row r="4" ht="57" customHeight="1" thickBot="1">
      <c r="B4" s="128" t="inlineStr">
        <is>
          <t>Sl #</t>
        </is>
      </c>
      <c r="C4" s="132" t="inlineStr">
        <is>
          <t xml:space="preserve">Review Cycle </t>
        </is>
      </c>
      <c r="D4" s="132" t="inlineStr">
        <is>
          <t>Document Name / 
Code, Module Name</t>
        </is>
      </c>
      <c r="E4" s="132" t="inlineStr">
        <is>
          <t>Total Time taken for Review 
(Hrs or Mins)</t>
        </is>
      </c>
      <c r="F4" s="132" t="inlineStr">
        <is>
          <t>Re-Work effort (Hrs or Mins)</t>
        </is>
      </c>
      <c r="G4" s="132" t="inlineStr">
        <is>
          <t>Remarks</t>
        </is>
      </c>
    </row>
    <row r="5">
      <c r="B5" s="54" t="n">
        <v>1</v>
      </c>
      <c r="C5" s="18" t="inlineStr">
        <is>
          <t>1st</t>
        </is>
      </c>
      <c r="D5" s="19" t="inlineStr">
        <is>
          <t>FWCMS</t>
        </is>
      </c>
      <c r="E5" s="86" t="inlineStr">
        <is>
          <t>1hrs</t>
        </is>
      </c>
      <c r="F5" s="85" t="inlineStr">
        <is>
          <t>1hrs</t>
        </is>
      </c>
      <c r="G5" s="20" t="n"/>
    </row>
    <row r="6">
      <c r="B6" s="55" t="n">
        <v>2</v>
      </c>
      <c r="C6" s="1" t="n"/>
      <c r="D6" s="2" t="n"/>
      <c r="E6" s="86" t="n"/>
      <c r="F6" s="59" t="n"/>
      <c r="G6" s="11" t="n"/>
    </row>
    <row r="7">
      <c r="B7" s="55" t="n"/>
      <c r="C7" s="1" t="n"/>
      <c r="D7" s="3" t="n"/>
      <c r="E7" s="58" t="n"/>
      <c r="F7" s="59" t="n"/>
      <c r="G7" s="11" t="n"/>
    </row>
    <row r="8">
      <c r="B8" s="55" t="n"/>
      <c r="C8" s="1" t="n"/>
      <c r="D8" s="3" t="n"/>
      <c r="E8" s="58" t="n"/>
      <c r="F8" s="59" t="n"/>
      <c r="G8" s="11" t="n"/>
    </row>
    <row r="9">
      <c r="B9" s="55" t="n"/>
      <c r="C9" s="1" t="n"/>
      <c r="D9" s="3" t="n"/>
      <c r="E9" s="58" t="n"/>
      <c r="F9" s="59" t="n"/>
      <c r="G9" s="11" t="n"/>
    </row>
    <row r="10">
      <c r="B10" s="55" t="n"/>
      <c r="C10" s="1" t="n"/>
      <c r="D10" s="3" t="n"/>
      <c r="E10" s="58" t="n"/>
      <c r="F10" s="59" t="n"/>
      <c r="G10" s="11" t="n"/>
    </row>
    <row r="11">
      <c r="B11" s="55" t="n"/>
      <c r="C11" s="1" t="n"/>
      <c r="D11" s="3" t="n"/>
      <c r="E11" s="58" t="n"/>
      <c r="F11" s="59" t="n"/>
      <c r="G11" s="11" t="n"/>
    </row>
    <row r="12">
      <c r="B12" s="56" t="n"/>
      <c r="C12" s="1" t="n"/>
      <c r="D12" s="3" t="n"/>
      <c r="E12" s="58" t="n"/>
      <c r="F12" s="59" t="n"/>
      <c r="G12" s="11" t="n"/>
    </row>
    <row r="13">
      <c r="B13" s="55" t="n"/>
      <c r="C13" s="1" t="n"/>
      <c r="D13" s="3" t="n"/>
      <c r="E13" s="58" t="n"/>
      <c r="F13" s="59" t="n"/>
      <c r="G13" s="11" t="n"/>
    </row>
    <row r="14">
      <c r="B14" s="55" t="n"/>
      <c r="C14" s="1" t="n"/>
      <c r="D14" s="3" t="n"/>
      <c r="E14" s="58" t="n"/>
      <c r="F14" s="59" t="n"/>
      <c r="G14" s="11" t="n"/>
    </row>
    <row r="15">
      <c r="B15" s="55" t="n"/>
      <c r="C15" s="1" t="n"/>
      <c r="D15" s="3" t="n"/>
      <c r="E15" s="58" t="n"/>
      <c r="F15" s="59" t="n"/>
      <c r="G15" s="11" t="n"/>
    </row>
    <row r="16">
      <c r="B16" s="55" t="n"/>
      <c r="C16" s="1" t="n"/>
      <c r="D16" s="3" t="n"/>
      <c r="E16" s="58" t="n"/>
      <c r="F16" s="59" t="n"/>
      <c r="G16" s="11" t="n"/>
    </row>
    <row r="17">
      <c r="B17" s="55" t="n"/>
      <c r="C17" s="1" t="n"/>
      <c r="D17" s="3" t="n"/>
      <c r="E17" s="58" t="n"/>
      <c r="F17" s="59" t="n"/>
      <c r="G17" s="11" t="n"/>
    </row>
    <row r="18">
      <c r="B18" s="55" t="n"/>
      <c r="C18" s="1" t="n"/>
      <c r="D18" s="3" t="n"/>
      <c r="E18" s="58" t="n"/>
      <c r="F18" s="59" t="n"/>
      <c r="G18" s="11" t="n"/>
    </row>
    <row r="19">
      <c r="B19" s="55" t="n"/>
      <c r="C19" s="5" t="n"/>
      <c r="D19" s="6" t="n"/>
      <c r="E19" s="58" t="n"/>
      <c r="F19" s="59" t="n"/>
      <c r="G19" s="11" t="n"/>
    </row>
    <row r="20">
      <c r="B20" s="55" t="n"/>
      <c r="C20" s="8" t="n"/>
      <c r="D20" s="9" t="n"/>
      <c r="E20" s="58" t="n"/>
      <c r="F20" s="59" t="n"/>
      <c r="G20" s="11" t="n"/>
    </row>
    <row r="21">
      <c r="B21" s="55" t="n"/>
      <c r="C21" s="8" t="n"/>
      <c r="D21" s="9" t="n"/>
      <c r="E21" s="58" t="n"/>
      <c r="F21" s="59" t="n"/>
      <c r="G21" s="11" t="n"/>
    </row>
    <row r="22">
      <c r="B22" s="114" t="n"/>
      <c r="C22" s="115" t="n"/>
      <c r="D22" s="116" t="n"/>
      <c r="E22" s="117" t="n"/>
      <c r="F22" s="118" t="n"/>
      <c r="G22" s="119" t="n"/>
    </row>
    <row r="23">
      <c r="B23" s="55" t="n"/>
      <c r="C23" s="1" t="n"/>
      <c r="D23" s="3" t="n"/>
      <c r="E23" s="58" t="n"/>
      <c r="F23" s="59" t="n"/>
      <c r="G23" s="11" t="n"/>
    </row>
    <row r="24">
      <c r="B24" s="55" t="n"/>
      <c r="C24" s="1" t="n"/>
      <c r="D24" s="3" t="n"/>
      <c r="E24" s="58" t="n"/>
      <c r="F24" s="59" t="n"/>
      <c r="G24" s="11" t="n"/>
    </row>
    <row r="25">
      <c r="B25" s="55" t="n"/>
      <c r="C25" s="1" t="n"/>
      <c r="D25" s="3" t="n"/>
      <c r="E25" s="58" t="n"/>
      <c r="F25" s="59" t="n"/>
      <c r="G25" s="11" t="n"/>
    </row>
    <row r="26">
      <c r="B26" s="55" t="n"/>
      <c r="C26" s="1" t="n"/>
      <c r="D26" s="3" t="n"/>
      <c r="E26" s="58" t="n"/>
      <c r="F26" s="59" t="n"/>
      <c r="G26" s="11" t="n"/>
    </row>
    <row r="27">
      <c r="B27" s="55" t="n"/>
      <c r="C27" s="1" t="n"/>
      <c r="D27" s="3" t="n"/>
      <c r="E27" s="58" t="n"/>
      <c r="F27" s="59" t="n"/>
      <c r="G27" s="11" t="n"/>
    </row>
    <row r="28">
      <c r="B28" s="55" t="n"/>
      <c r="C28" s="1" t="n"/>
      <c r="D28" s="3" t="n"/>
      <c r="E28" s="58" t="n"/>
      <c r="F28" s="59" t="n"/>
      <c r="G28" s="11" t="n"/>
    </row>
    <row r="29">
      <c r="B29" s="55" t="n"/>
      <c r="C29" s="1" t="n"/>
      <c r="D29" s="3" t="n"/>
      <c r="E29" s="58" t="n"/>
      <c r="F29" s="59" t="n"/>
      <c r="G29" s="11" t="n"/>
    </row>
    <row r="30">
      <c r="B30" s="55" t="n"/>
      <c r="C30" s="1" t="n"/>
      <c r="D30" s="3" t="n"/>
      <c r="E30" s="58" t="n"/>
      <c r="F30" s="59" t="n"/>
      <c r="G30" s="11" t="n"/>
    </row>
    <row r="31">
      <c r="B31" s="55" t="n"/>
      <c r="C31" s="1" t="n"/>
      <c r="D31" s="3" t="n"/>
      <c r="E31" s="58" t="n"/>
      <c r="F31" s="59" t="n"/>
      <c r="G31" s="11" t="n"/>
    </row>
    <row r="32">
      <c r="B32" s="55" t="n"/>
      <c r="C32" s="1" t="n"/>
      <c r="D32" s="3" t="n"/>
      <c r="E32" s="58" t="n"/>
      <c r="F32" s="59" t="n"/>
      <c r="G32" s="11" t="n"/>
    </row>
    <row r="33">
      <c r="B33" s="55" t="n"/>
      <c r="C33" s="1" t="n"/>
      <c r="D33" s="3" t="n"/>
      <c r="E33" s="58" t="n"/>
      <c r="F33" s="59" t="n"/>
      <c r="G33" s="11" t="n"/>
    </row>
    <row r="34">
      <c r="B34" s="55" t="n"/>
      <c r="C34" s="1" t="n"/>
      <c r="D34" s="3" t="n"/>
      <c r="E34" s="58" t="n"/>
      <c r="F34" s="59" t="n"/>
      <c r="G34" s="11" t="n"/>
    </row>
    <row r="35">
      <c r="B35" s="55" t="n"/>
      <c r="C35" s="1" t="n"/>
      <c r="D35" s="3" t="n"/>
      <c r="E35" s="58" t="n"/>
      <c r="F35" s="59" t="n"/>
      <c r="G35" s="11" t="n"/>
    </row>
    <row r="36">
      <c r="B36" s="55" t="n"/>
      <c r="C36" s="1" t="n"/>
      <c r="D36" s="3" t="n"/>
      <c r="E36" s="58" t="n"/>
      <c r="F36" s="59" t="n"/>
      <c r="G36" s="11" t="n"/>
    </row>
    <row r="37">
      <c r="B37" s="55" t="n"/>
      <c r="C37" s="1" t="n"/>
      <c r="D37" s="3" t="n"/>
      <c r="E37" s="58" t="n"/>
      <c r="F37" s="59" t="n"/>
      <c r="G37" s="11" t="n"/>
    </row>
    <row r="38">
      <c r="B38" s="55" t="n"/>
      <c r="C38" s="1" t="n"/>
      <c r="D38" s="3" t="n"/>
      <c r="E38" s="58" t="n"/>
      <c r="F38" s="59" t="n"/>
      <c r="G38" s="11" t="n"/>
    </row>
    <row r="39">
      <c r="B39" s="55" t="n"/>
      <c r="C39" s="1" t="n"/>
      <c r="D39" s="3" t="n"/>
      <c r="E39" s="58" t="n"/>
      <c r="F39" s="59" t="n"/>
      <c r="G39" s="11" t="n"/>
    </row>
    <row r="40">
      <c r="B40" s="55" t="n"/>
      <c r="C40" s="1" t="n"/>
      <c r="D40" s="3" t="n"/>
      <c r="E40" s="58" t="n"/>
      <c r="F40" s="59" t="n"/>
      <c r="G40" s="11" t="n"/>
    </row>
    <row r="41">
      <c r="B41" s="55" t="n"/>
      <c r="C41" s="1" t="n"/>
      <c r="D41" s="3" t="n"/>
      <c r="E41" s="58" t="n"/>
      <c r="F41" s="59" t="n"/>
      <c r="G41" s="11" t="n"/>
    </row>
    <row r="42">
      <c r="B42" s="55" t="n"/>
      <c r="C42" s="1" t="n"/>
      <c r="D42" s="3" t="n"/>
      <c r="E42" s="58" t="n"/>
      <c r="F42" s="59" t="n"/>
      <c r="G42" s="11" t="n"/>
    </row>
    <row r="43">
      <c r="B43" s="55" t="n"/>
      <c r="C43" s="1" t="n"/>
      <c r="D43" s="3" t="n"/>
      <c r="E43" s="58" t="n"/>
      <c r="F43" s="59" t="n"/>
      <c r="G43" s="11" t="n"/>
    </row>
    <row r="44">
      <c r="B44" s="55" t="n"/>
      <c r="C44" s="1" t="n"/>
      <c r="D44" s="3" t="n"/>
      <c r="E44" s="58" t="n"/>
      <c r="F44" s="59" t="n"/>
      <c r="G44" s="11" t="n"/>
    </row>
    <row r="45" ht="16" customHeight="1" thickBot="1">
      <c r="B45" s="120" t="n"/>
      <c r="C45" s="121" t="n"/>
      <c r="D45" s="122" t="n"/>
      <c r="E45" s="123" t="n"/>
      <c r="F45" s="124" t="n"/>
      <c r="G45" s="125" t="n"/>
    </row>
  </sheetData>
  <mergeCells count="3">
    <mergeCell ref="F3:G3"/>
    <mergeCell ref="B2:G2"/>
    <mergeCell ref="B3:E3"/>
  </mergeCells>
  <dataValidations count="1">
    <dataValidation sqref="C5:C45" showDropDown="0" showInputMessage="1" showErrorMessage="1" allowBlank="1" type="list">
      <formula1>"1st, 2nd, 3rd, 4th, 5th "</formula1>
    </dataValidation>
  </dataValidation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48"/>
  <sheetViews>
    <sheetView showGridLines="0" topLeftCell="A10" zoomScaleNormal="100" workbookViewId="0">
      <selection activeCell="F50" sqref="F50"/>
    </sheetView>
  </sheetViews>
  <sheetFormatPr baseColWidth="10" defaultColWidth="8.83203125" defaultRowHeight="13"/>
  <cols>
    <col width="7.83203125" customWidth="1" style="23" min="1" max="1"/>
    <col width="3.5" customWidth="1" style="23" min="2" max="2"/>
    <col width="24.6640625" customWidth="1" style="23" min="3" max="3"/>
    <col width="12.6640625" customWidth="1" style="23" min="4" max="4"/>
    <col width="15.6640625" customWidth="1" style="23" min="5" max="5"/>
    <col width="12.6640625" customWidth="1" style="23" min="6" max="7"/>
    <col width="3.5" customWidth="1" style="23" min="8" max="8"/>
    <col width="13.5" customWidth="1" style="23" min="9" max="11"/>
    <col width="9.1640625" customWidth="1" style="23" min="12" max="256"/>
    <col width="7.83203125" customWidth="1" style="23" min="257" max="257"/>
    <col width="3.5" customWidth="1" style="23" min="258" max="258"/>
    <col width="24.6640625" customWidth="1" style="23" min="259" max="259"/>
    <col width="12.6640625" customWidth="1" style="23" min="260" max="260"/>
    <col width="15.6640625" customWidth="1" style="23" min="261" max="261"/>
    <col width="12.6640625" customWidth="1" style="23" min="262" max="263"/>
    <col width="3.5" customWidth="1" style="23" min="264" max="264"/>
    <col width="13.5" customWidth="1" style="23" min="265" max="267"/>
    <col width="9.1640625" customWidth="1" style="23" min="268" max="512"/>
    <col width="7.83203125" customWidth="1" style="23" min="513" max="513"/>
    <col width="3.5" customWidth="1" style="23" min="514" max="514"/>
    <col width="24.6640625" customWidth="1" style="23" min="515" max="515"/>
    <col width="12.6640625" customWidth="1" style="23" min="516" max="516"/>
    <col width="15.6640625" customWidth="1" style="23" min="517" max="517"/>
    <col width="12.6640625" customWidth="1" style="23" min="518" max="519"/>
    <col width="3.5" customWidth="1" style="23" min="520" max="520"/>
    <col width="13.5" customWidth="1" style="23" min="521" max="523"/>
    <col width="9.1640625" customWidth="1" style="23" min="524" max="768"/>
    <col width="7.83203125" customWidth="1" style="23" min="769" max="769"/>
    <col width="3.5" customWidth="1" style="23" min="770" max="770"/>
    <col width="24.6640625" customWidth="1" style="23" min="771" max="771"/>
    <col width="12.6640625" customWidth="1" style="23" min="772" max="772"/>
    <col width="15.6640625" customWidth="1" style="23" min="773" max="773"/>
    <col width="12.6640625" customWidth="1" style="23" min="774" max="775"/>
    <col width="3.5" customWidth="1" style="23" min="776" max="776"/>
    <col width="13.5" customWidth="1" style="23" min="777" max="779"/>
    <col width="9.1640625" customWidth="1" style="23" min="780" max="1024"/>
    <col width="7.83203125" customWidth="1" style="23" min="1025" max="1025"/>
    <col width="3.5" customWidth="1" style="23" min="1026" max="1026"/>
    <col width="24.6640625" customWidth="1" style="23" min="1027" max="1027"/>
    <col width="12.6640625" customWidth="1" style="23" min="1028" max="1028"/>
    <col width="15.6640625" customWidth="1" style="23" min="1029" max="1029"/>
    <col width="12.6640625" customWidth="1" style="23" min="1030" max="1031"/>
    <col width="3.5" customWidth="1" style="23" min="1032" max="1032"/>
    <col width="13.5" customWidth="1" style="23" min="1033" max="1035"/>
    <col width="9.1640625" customWidth="1" style="23" min="1036" max="1280"/>
    <col width="7.83203125" customWidth="1" style="23" min="1281" max="1281"/>
    <col width="3.5" customWidth="1" style="23" min="1282" max="1282"/>
    <col width="24.6640625" customWidth="1" style="23" min="1283" max="1283"/>
    <col width="12.6640625" customWidth="1" style="23" min="1284" max="1284"/>
    <col width="15.6640625" customWidth="1" style="23" min="1285" max="1285"/>
    <col width="12.6640625" customWidth="1" style="23" min="1286" max="1287"/>
    <col width="3.5" customWidth="1" style="23" min="1288" max="1288"/>
    <col width="13.5" customWidth="1" style="23" min="1289" max="1291"/>
    <col width="9.1640625" customWidth="1" style="23" min="1292" max="1536"/>
    <col width="7.83203125" customWidth="1" style="23" min="1537" max="1537"/>
    <col width="3.5" customWidth="1" style="23" min="1538" max="1538"/>
    <col width="24.6640625" customWidth="1" style="23" min="1539" max="1539"/>
    <col width="12.6640625" customWidth="1" style="23" min="1540" max="1540"/>
    <col width="15.6640625" customWidth="1" style="23" min="1541" max="1541"/>
    <col width="12.6640625" customWidth="1" style="23" min="1542" max="1543"/>
    <col width="3.5" customWidth="1" style="23" min="1544" max="1544"/>
    <col width="13.5" customWidth="1" style="23" min="1545" max="1547"/>
    <col width="9.1640625" customWidth="1" style="23" min="1548" max="1792"/>
    <col width="7.83203125" customWidth="1" style="23" min="1793" max="1793"/>
    <col width="3.5" customWidth="1" style="23" min="1794" max="1794"/>
    <col width="24.6640625" customWidth="1" style="23" min="1795" max="1795"/>
    <col width="12.6640625" customWidth="1" style="23" min="1796" max="1796"/>
    <col width="15.6640625" customWidth="1" style="23" min="1797" max="1797"/>
    <col width="12.6640625" customWidth="1" style="23" min="1798" max="1799"/>
    <col width="3.5" customWidth="1" style="23" min="1800" max="1800"/>
    <col width="13.5" customWidth="1" style="23" min="1801" max="1803"/>
    <col width="9.1640625" customWidth="1" style="23" min="1804" max="2048"/>
    <col width="7.83203125" customWidth="1" style="23" min="2049" max="2049"/>
    <col width="3.5" customWidth="1" style="23" min="2050" max="2050"/>
    <col width="24.6640625" customWidth="1" style="23" min="2051" max="2051"/>
    <col width="12.6640625" customWidth="1" style="23" min="2052" max="2052"/>
    <col width="15.6640625" customWidth="1" style="23" min="2053" max="2053"/>
    <col width="12.6640625" customWidth="1" style="23" min="2054" max="2055"/>
    <col width="3.5" customWidth="1" style="23" min="2056" max="2056"/>
    <col width="13.5" customWidth="1" style="23" min="2057" max="2059"/>
    <col width="9.1640625" customWidth="1" style="23" min="2060" max="2304"/>
    <col width="7.83203125" customWidth="1" style="23" min="2305" max="2305"/>
    <col width="3.5" customWidth="1" style="23" min="2306" max="2306"/>
    <col width="24.6640625" customWidth="1" style="23" min="2307" max="2307"/>
    <col width="12.6640625" customWidth="1" style="23" min="2308" max="2308"/>
    <col width="15.6640625" customWidth="1" style="23" min="2309" max="2309"/>
    <col width="12.6640625" customWidth="1" style="23" min="2310" max="2311"/>
    <col width="3.5" customWidth="1" style="23" min="2312" max="2312"/>
    <col width="13.5" customWidth="1" style="23" min="2313" max="2315"/>
    <col width="9.1640625" customWidth="1" style="23" min="2316" max="2560"/>
    <col width="7.83203125" customWidth="1" style="23" min="2561" max="2561"/>
    <col width="3.5" customWidth="1" style="23" min="2562" max="2562"/>
    <col width="24.6640625" customWidth="1" style="23" min="2563" max="2563"/>
    <col width="12.6640625" customWidth="1" style="23" min="2564" max="2564"/>
    <col width="15.6640625" customWidth="1" style="23" min="2565" max="2565"/>
    <col width="12.6640625" customWidth="1" style="23" min="2566" max="2567"/>
    <col width="3.5" customWidth="1" style="23" min="2568" max="2568"/>
    <col width="13.5" customWidth="1" style="23" min="2569" max="2571"/>
    <col width="9.1640625" customWidth="1" style="23" min="2572" max="2816"/>
    <col width="7.83203125" customWidth="1" style="23" min="2817" max="2817"/>
    <col width="3.5" customWidth="1" style="23" min="2818" max="2818"/>
    <col width="24.6640625" customWidth="1" style="23" min="2819" max="2819"/>
    <col width="12.6640625" customWidth="1" style="23" min="2820" max="2820"/>
    <col width="15.6640625" customWidth="1" style="23" min="2821" max="2821"/>
    <col width="12.6640625" customWidth="1" style="23" min="2822" max="2823"/>
    <col width="3.5" customWidth="1" style="23" min="2824" max="2824"/>
    <col width="13.5" customWidth="1" style="23" min="2825" max="2827"/>
    <col width="9.1640625" customWidth="1" style="23" min="2828" max="3072"/>
    <col width="7.83203125" customWidth="1" style="23" min="3073" max="3073"/>
    <col width="3.5" customWidth="1" style="23" min="3074" max="3074"/>
    <col width="24.6640625" customWidth="1" style="23" min="3075" max="3075"/>
    <col width="12.6640625" customWidth="1" style="23" min="3076" max="3076"/>
    <col width="15.6640625" customWidth="1" style="23" min="3077" max="3077"/>
    <col width="12.6640625" customWidth="1" style="23" min="3078" max="3079"/>
    <col width="3.5" customWidth="1" style="23" min="3080" max="3080"/>
    <col width="13.5" customWidth="1" style="23" min="3081" max="3083"/>
    <col width="9.1640625" customWidth="1" style="23" min="3084" max="3328"/>
    <col width="7.83203125" customWidth="1" style="23" min="3329" max="3329"/>
    <col width="3.5" customWidth="1" style="23" min="3330" max="3330"/>
    <col width="24.6640625" customWidth="1" style="23" min="3331" max="3331"/>
    <col width="12.6640625" customWidth="1" style="23" min="3332" max="3332"/>
    <col width="15.6640625" customWidth="1" style="23" min="3333" max="3333"/>
    <col width="12.6640625" customWidth="1" style="23" min="3334" max="3335"/>
    <col width="3.5" customWidth="1" style="23" min="3336" max="3336"/>
    <col width="13.5" customWidth="1" style="23" min="3337" max="3339"/>
    <col width="9.1640625" customWidth="1" style="23" min="3340" max="3584"/>
    <col width="7.83203125" customWidth="1" style="23" min="3585" max="3585"/>
    <col width="3.5" customWidth="1" style="23" min="3586" max="3586"/>
    <col width="24.6640625" customWidth="1" style="23" min="3587" max="3587"/>
    <col width="12.6640625" customWidth="1" style="23" min="3588" max="3588"/>
    <col width="15.6640625" customWidth="1" style="23" min="3589" max="3589"/>
    <col width="12.6640625" customWidth="1" style="23" min="3590" max="3591"/>
    <col width="3.5" customWidth="1" style="23" min="3592" max="3592"/>
    <col width="13.5" customWidth="1" style="23" min="3593" max="3595"/>
    <col width="9.1640625" customWidth="1" style="23" min="3596" max="3840"/>
    <col width="7.83203125" customWidth="1" style="23" min="3841" max="3841"/>
    <col width="3.5" customWidth="1" style="23" min="3842" max="3842"/>
    <col width="24.6640625" customWidth="1" style="23" min="3843" max="3843"/>
    <col width="12.6640625" customWidth="1" style="23" min="3844" max="3844"/>
    <col width="15.6640625" customWidth="1" style="23" min="3845" max="3845"/>
    <col width="12.6640625" customWidth="1" style="23" min="3846" max="3847"/>
    <col width="3.5" customWidth="1" style="23" min="3848" max="3848"/>
    <col width="13.5" customWidth="1" style="23" min="3849" max="3851"/>
    <col width="9.1640625" customWidth="1" style="23" min="3852" max="4096"/>
    <col width="7.83203125" customWidth="1" style="23" min="4097" max="4097"/>
    <col width="3.5" customWidth="1" style="23" min="4098" max="4098"/>
    <col width="24.6640625" customWidth="1" style="23" min="4099" max="4099"/>
    <col width="12.6640625" customWidth="1" style="23" min="4100" max="4100"/>
    <col width="15.6640625" customWidth="1" style="23" min="4101" max="4101"/>
    <col width="12.6640625" customWidth="1" style="23" min="4102" max="4103"/>
    <col width="3.5" customWidth="1" style="23" min="4104" max="4104"/>
    <col width="13.5" customWidth="1" style="23" min="4105" max="4107"/>
    <col width="9.1640625" customWidth="1" style="23" min="4108" max="4352"/>
    <col width="7.83203125" customWidth="1" style="23" min="4353" max="4353"/>
    <col width="3.5" customWidth="1" style="23" min="4354" max="4354"/>
    <col width="24.6640625" customWidth="1" style="23" min="4355" max="4355"/>
    <col width="12.6640625" customWidth="1" style="23" min="4356" max="4356"/>
    <col width="15.6640625" customWidth="1" style="23" min="4357" max="4357"/>
    <col width="12.6640625" customWidth="1" style="23" min="4358" max="4359"/>
    <col width="3.5" customWidth="1" style="23" min="4360" max="4360"/>
    <col width="13.5" customWidth="1" style="23" min="4361" max="4363"/>
    <col width="9.1640625" customWidth="1" style="23" min="4364" max="4608"/>
    <col width="7.83203125" customWidth="1" style="23" min="4609" max="4609"/>
    <col width="3.5" customWidth="1" style="23" min="4610" max="4610"/>
    <col width="24.6640625" customWidth="1" style="23" min="4611" max="4611"/>
    <col width="12.6640625" customWidth="1" style="23" min="4612" max="4612"/>
    <col width="15.6640625" customWidth="1" style="23" min="4613" max="4613"/>
    <col width="12.6640625" customWidth="1" style="23" min="4614" max="4615"/>
    <col width="3.5" customWidth="1" style="23" min="4616" max="4616"/>
    <col width="13.5" customWidth="1" style="23" min="4617" max="4619"/>
    <col width="9.1640625" customWidth="1" style="23" min="4620" max="4864"/>
    <col width="7.83203125" customWidth="1" style="23" min="4865" max="4865"/>
    <col width="3.5" customWidth="1" style="23" min="4866" max="4866"/>
    <col width="24.6640625" customWidth="1" style="23" min="4867" max="4867"/>
    <col width="12.6640625" customWidth="1" style="23" min="4868" max="4868"/>
    <col width="15.6640625" customWidth="1" style="23" min="4869" max="4869"/>
    <col width="12.6640625" customWidth="1" style="23" min="4870" max="4871"/>
    <col width="3.5" customWidth="1" style="23" min="4872" max="4872"/>
    <col width="13.5" customWidth="1" style="23" min="4873" max="4875"/>
    <col width="9.1640625" customWidth="1" style="23" min="4876" max="5120"/>
    <col width="7.83203125" customWidth="1" style="23" min="5121" max="5121"/>
    <col width="3.5" customWidth="1" style="23" min="5122" max="5122"/>
    <col width="24.6640625" customWidth="1" style="23" min="5123" max="5123"/>
    <col width="12.6640625" customWidth="1" style="23" min="5124" max="5124"/>
    <col width="15.6640625" customWidth="1" style="23" min="5125" max="5125"/>
    <col width="12.6640625" customWidth="1" style="23" min="5126" max="5127"/>
    <col width="3.5" customWidth="1" style="23" min="5128" max="5128"/>
    <col width="13.5" customWidth="1" style="23" min="5129" max="5131"/>
    <col width="9.1640625" customWidth="1" style="23" min="5132" max="5376"/>
    <col width="7.83203125" customWidth="1" style="23" min="5377" max="5377"/>
    <col width="3.5" customWidth="1" style="23" min="5378" max="5378"/>
    <col width="24.6640625" customWidth="1" style="23" min="5379" max="5379"/>
    <col width="12.6640625" customWidth="1" style="23" min="5380" max="5380"/>
    <col width="15.6640625" customWidth="1" style="23" min="5381" max="5381"/>
    <col width="12.6640625" customWidth="1" style="23" min="5382" max="5383"/>
    <col width="3.5" customWidth="1" style="23" min="5384" max="5384"/>
    <col width="13.5" customWidth="1" style="23" min="5385" max="5387"/>
    <col width="9.1640625" customWidth="1" style="23" min="5388" max="5632"/>
    <col width="7.83203125" customWidth="1" style="23" min="5633" max="5633"/>
    <col width="3.5" customWidth="1" style="23" min="5634" max="5634"/>
    <col width="24.6640625" customWidth="1" style="23" min="5635" max="5635"/>
    <col width="12.6640625" customWidth="1" style="23" min="5636" max="5636"/>
    <col width="15.6640625" customWidth="1" style="23" min="5637" max="5637"/>
    <col width="12.6640625" customWidth="1" style="23" min="5638" max="5639"/>
    <col width="3.5" customWidth="1" style="23" min="5640" max="5640"/>
    <col width="13.5" customWidth="1" style="23" min="5641" max="5643"/>
    <col width="9.1640625" customWidth="1" style="23" min="5644" max="5888"/>
    <col width="7.83203125" customWidth="1" style="23" min="5889" max="5889"/>
    <col width="3.5" customWidth="1" style="23" min="5890" max="5890"/>
    <col width="24.6640625" customWidth="1" style="23" min="5891" max="5891"/>
    <col width="12.6640625" customWidth="1" style="23" min="5892" max="5892"/>
    <col width="15.6640625" customWidth="1" style="23" min="5893" max="5893"/>
    <col width="12.6640625" customWidth="1" style="23" min="5894" max="5895"/>
    <col width="3.5" customWidth="1" style="23" min="5896" max="5896"/>
    <col width="13.5" customWidth="1" style="23" min="5897" max="5899"/>
    <col width="9.1640625" customWidth="1" style="23" min="5900" max="6144"/>
    <col width="7.83203125" customWidth="1" style="23" min="6145" max="6145"/>
    <col width="3.5" customWidth="1" style="23" min="6146" max="6146"/>
    <col width="24.6640625" customWidth="1" style="23" min="6147" max="6147"/>
    <col width="12.6640625" customWidth="1" style="23" min="6148" max="6148"/>
    <col width="15.6640625" customWidth="1" style="23" min="6149" max="6149"/>
    <col width="12.6640625" customWidth="1" style="23" min="6150" max="6151"/>
    <col width="3.5" customWidth="1" style="23" min="6152" max="6152"/>
    <col width="13.5" customWidth="1" style="23" min="6153" max="6155"/>
    <col width="9.1640625" customWidth="1" style="23" min="6156" max="6400"/>
    <col width="7.83203125" customWidth="1" style="23" min="6401" max="6401"/>
    <col width="3.5" customWidth="1" style="23" min="6402" max="6402"/>
    <col width="24.6640625" customWidth="1" style="23" min="6403" max="6403"/>
    <col width="12.6640625" customWidth="1" style="23" min="6404" max="6404"/>
    <col width="15.6640625" customWidth="1" style="23" min="6405" max="6405"/>
    <col width="12.6640625" customWidth="1" style="23" min="6406" max="6407"/>
    <col width="3.5" customWidth="1" style="23" min="6408" max="6408"/>
    <col width="13.5" customWidth="1" style="23" min="6409" max="6411"/>
    <col width="9.1640625" customWidth="1" style="23" min="6412" max="6656"/>
    <col width="7.83203125" customWidth="1" style="23" min="6657" max="6657"/>
    <col width="3.5" customWidth="1" style="23" min="6658" max="6658"/>
    <col width="24.6640625" customWidth="1" style="23" min="6659" max="6659"/>
    <col width="12.6640625" customWidth="1" style="23" min="6660" max="6660"/>
    <col width="15.6640625" customWidth="1" style="23" min="6661" max="6661"/>
    <col width="12.6640625" customWidth="1" style="23" min="6662" max="6663"/>
    <col width="3.5" customWidth="1" style="23" min="6664" max="6664"/>
    <col width="13.5" customWidth="1" style="23" min="6665" max="6667"/>
    <col width="9.1640625" customWidth="1" style="23" min="6668" max="6912"/>
    <col width="7.83203125" customWidth="1" style="23" min="6913" max="6913"/>
    <col width="3.5" customWidth="1" style="23" min="6914" max="6914"/>
    <col width="24.6640625" customWidth="1" style="23" min="6915" max="6915"/>
    <col width="12.6640625" customWidth="1" style="23" min="6916" max="6916"/>
    <col width="15.6640625" customWidth="1" style="23" min="6917" max="6917"/>
    <col width="12.6640625" customWidth="1" style="23" min="6918" max="6919"/>
    <col width="3.5" customWidth="1" style="23" min="6920" max="6920"/>
    <col width="13.5" customWidth="1" style="23" min="6921" max="6923"/>
    <col width="9.1640625" customWidth="1" style="23" min="6924" max="7168"/>
    <col width="7.83203125" customWidth="1" style="23" min="7169" max="7169"/>
    <col width="3.5" customWidth="1" style="23" min="7170" max="7170"/>
    <col width="24.6640625" customWidth="1" style="23" min="7171" max="7171"/>
    <col width="12.6640625" customWidth="1" style="23" min="7172" max="7172"/>
    <col width="15.6640625" customWidth="1" style="23" min="7173" max="7173"/>
    <col width="12.6640625" customWidth="1" style="23" min="7174" max="7175"/>
    <col width="3.5" customWidth="1" style="23" min="7176" max="7176"/>
    <col width="13.5" customWidth="1" style="23" min="7177" max="7179"/>
    <col width="9.1640625" customWidth="1" style="23" min="7180" max="7424"/>
    <col width="7.83203125" customWidth="1" style="23" min="7425" max="7425"/>
    <col width="3.5" customWidth="1" style="23" min="7426" max="7426"/>
    <col width="24.6640625" customWidth="1" style="23" min="7427" max="7427"/>
    <col width="12.6640625" customWidth="1" style="23" min="7428" max="7428"/>
    <col width="15.6640625" customWidth="1" style="23" min="7429" max="7429"/>
    <col width="12.6640625" customWidth="1" style="23" min="7430" max="7431"/>
    <col width="3.5" customWidth="1" style="23" min="7432" max="7432"/>
    <col width="13.5" customWidth="1" style="23" min="7433" max="7435"/>
    <col width="9.1640625" customWidth="1" style="23" min="7436" max="7680"/>
    <col width="7.83203125" customWidth="1" style="23" min="7681" max="7681"/>
    <col width="3.5" customWidth="1" style="23" min="7682" max="7682"/>
    <col width="24.6640625" customWidth="1" style="23" min="7683" max="7683"/>
    <col width="12.6640625" customWidth="1" style="23" min="7684" max="7684"/>
    <col width="15.6640625" customWidth="1" style="23" min="7685" max="7685"/>
    <col width="12.6640625" customWidth="1" style="23" min="7686" max="7687"/>
    <col width="3.5" customWidth="1" style="23" min="7688" max="7688"/>
    <col width="13.5" customWidth="1" style="23" min="7689" max="7691"/>
    <col width="9.1640625" customWidth="1" style="23" min="7692" max="7936"/>
    <col width="7.83203125" customWidth="1" style="23" min="7937" max="7937"/>
    <col width="3.5" customWidth="1" style="23" min="7938" max="7938"/>
    <col width="24.6640625" customWidth="1" style="23" min="7939" max="7939"/>
    <col width="12.6640625" customWidth="1" style="23" min="7940" max="7940"/>
    <col width="15.6640625" customWidth="1" style="23" min="7941" max="7941"/>
    <col width="12.6640625" customWidth="1" style="23" min="7942" max="7943"/>
    <col width="3.5" customWidth="1" style="23" min="7944" max="7944"/>
    <col width="13.5" customWidth="1" style="23" min="7945" max="7947"/>
    <col width="9.1640625" customWidth="1" style="23" min="7948" max="8192"/>
    <col width="7.83203125" customWidth="1" style="23" min="8193" max="8193"/>
    <col width="3.5" customWidth="1" style="23" min="8194" max="8194"/>
    <col width="24.6640625" customWidth="1" style="23" min="8195" max="8195"/>
    <col width="12.6640625" customWidth="1" style="23" min="8196" max="8196"/>
    <col width="15.6640625" customWidth="1" style="23" min="8197" max="8197"/>
    <col width="12.6640625" customWidth="1" style="23" min="8198" max="8199"/>
    <col width="3.5" customWidth="1" style="23" min="8200" max="8200"/>
    <col width="13.5" customWidth="1" style="23" min="8201" max="8203"/>
    <col width="9.1640625" customWidth="1" style="23" min="8204" max="8448"/>
    <col width="7.83203125" customWidth="1" style="23" min="8449" max="8449"/>
    <col width="3.5" customWidth="1" style="23" min="8450" max="8450"/>
    <col width="24.6640625" customWidth="1" style="23" min="8451" max="8451"/>
    <col width="12.6640625" customWidth="1" style="23" min="8452" max="8452"/>
    <col width="15.6640625" customWidth="1" style="23" min="8453" max="8453"/>
    <col width="12.6640625" customWidth="1" style="23" min="8454" max="8455"/>
    <col width="3.5" customWidth="1" style="23" min="8456" max="8456"/>
    <col width="13.5" customWidth="1" style="23" min="8457" max="8459"/>
    <col width="9.1640625" customWidth="1" style="23" min="8460" max="8704"/>
    <col width="7.83203125" customWidth="1" style="23" min="8705" max="8705"/>
    <col width="3.5" customWidth="1" style="23" min="8706" max="8706"/>
    <col width="24.6640625" customWidth="1" style="23" min="8707" max="8707"/>
    <col width="12.6640625" customWidth="1" style="23" min="8708" max="8708"/>
    <col width="15.6640625" customWidth="1" style="23" min="8709" max="8709"/>
    <col width="12.6640625" customWidth="1" style="23" min="8710" max="8711"/>
    <col width="3.5" customWidth="1" style="23" min="8712" max="8712"/>
    <col width="13.5" customWidth="1" style="23" min="8713" max="8715"/>
    <col width="9.1640625" customWidth="1" style="23" min="8716" max="8960"/>
    <col width="7.83203125" customWidth="1" style="23" min="8961" max="8961"/>
    <col width="3.5" customWidth="1" style="23" min="8962" max="8962"/>
    <col width="24.6640625" customWidth="1" style="23" min="8963" max="8963"/>
    <col width="12.6640625" customWidth="1" style="23" min="8964" max="8964"/>
    <col width="15.6640625" customWidth="1" style="23" min="8965" max="8965"/>
    <col width="12.6640625" customWidth="1" style="23" min="8966" max="8967"/>
    <col width="3.5" customWidth="1" style="23" min="8968" max="8968"/>
    <col width="13.5" customWidth="1" style="23" min="8969" max="8971"/>
    <col width="9.1640625" customWidth="1" style="23" min="8972" max="9216"/>
    <col width="7.83203125" customWidth="1" style="23" min="9217" max="9217"/>
    <col width="3.5" customWidth="1" style="23" min="9218" max="9218"/>
    <col width="24.6640625" customWidth="1" style="23" min="9219" max="9219"/>
    <col width="12.6640625" customWidth="1" style="23" min="9220" max="9220"/>
    <col width="15.6640625" customWidth="1" style="23" min="9221" max="9221"/>
    <col width="12.6640625" customWidth="1" style="23" min="9222" max="9223"/>
    <col width="3.5" customWidth="1" style="23" min="9224" max="9224"/>
    <col width="13.5" customWidth="1" style="23" min="9225" max="9227"/>
    <col width="9.1640625" customWidth="1" style="23" min="9228" max="9472"/>
    <col width="7.83203125" customWidth="1" style="23" min="9473" max="9473"/>
    <col width="3.5" customWidth="1" style="23" min="9474" max="9474"/>
    <col width="24.6640625" customWidth="1" style="23" min="9475" max="9475"/>
    <col width="12.6640625" customWidth="1" style="23" min="9476" max="9476"/>
    <col width="15.6640625" customWidth="1" style="23" min="9477" max="9477"/>
    <col width="12.6640625" customWidth="1" style="23" min="9478" max="9479"/>
    <col width="3.5" customWidth="1" style="23" min="9480" max="9480"/>
    <col width="13.5" customWidth="1" style="23" min="9481" max="9483"/>
    <col width="9.1640625" customWidth="1" style="23" min="9484" max="9728"/>
    <col width="7.83203125" customWidth="1" style="23" min="9729" max="9729"/>
    <col width="3.5" customWidth="1" style="23" min="9730" max="9730"/>
    <col width="24.6640625" customWidth="1" style="23" min="9731" max="9731"/>
    <col width="12.6640625" customWidth="1" style="23" min="9732" max="9732"/>
    <col width="15.6640625" customWidth="1" style="23" min="9733" max="9733"/>
    <col width="12.6640625" customWidth="1" style="23" min="9734" max="9735"/>
    <col width="3.5" customWidth="1" style="23" min="9736" max="9736"/>
    <col width="13.5" customWidth="1" style="23" min="9737" max="9739"/>
    <col width="9.1640625" customWidth="1" style="23" min="9740" max="9984"/>
    <col width="7.83203125" customWidth="1" style="23" min="9985" max="9985"/>
    <col width="3.5" customWidth="1" style="23" min="9986" max="9986"/>
    <col width="24.6640625" customWidth="1" style="23" min="9987" max="9987"/>
    <col width="12.6640625" customWidth="1" style="23" min="9988" max="9988"/>
    <col width="15.6640625" customWidth="1" style="23" min="9989" max="9989"/>
    <col width="12.6640625" customWidth="1" style="23" min="9990" max="9991"/>
    <col width="3.5" customWidth="1" style="23" min="9992" max="9992"/>
    <col width="13.5" customWidth="1" style="23" min="9993" max="9995"/>
    <col width="9.1640625" customWidth="1" style="23" min="9996" max="10240"/>
    <col width="7.83203125" customWidth="1" style="23" min="10241" max="10241"/>
    <col width="3.5" customWidth="1" style="23" min="10242" max="10242"/>
    <col width="24.6640625" customWidth="1" style="23" min="10243" max="10243"/>
    <col width="12.6640625" customWidth="1" style="23" min="10244" max="10244"/>
    <col width="15.6640625" customWidth="1" style="23" min="10245" max="10245"/>
    <col width="12.6640625" customWidth="1" style="23" min="10246" max="10247"/>
    <col width="3.5" customWidth="1" style="23" min="10248" max="10248"/>
    <col width="13.5" customWidth="1" style="23" min="10249" max="10251"/>
    <col width="9.1640625" customWidth="1" style="23" min="10252" max="10496"/>
    <col width="7.83203125" customWidth="1" style="23" min="10497" max="10497"/>
    <col width="3.5" customWidth="1" style="23" min="10498" max="10498"/>
    <col width="24.6640625" customWidth="1" style="23" min="10499" max="10499"/>
    <col width="12.6640625" customWidth="1" style="23" min="10500" max="10500"/>
    <col width="15.6640625" customWidth="1" style="23" min="10501" max="10501"/>
    <col width="12.6640625" customWidth="1" style="23" min="10502" max="10503"/>
    <col width="3.5" customWidth="1" style="23" min="10504" max="10504"/>
    <col width="13.5" customWidth="1" style="23" min="10505" max="10507"/>
    <col width="9.1640625" customWidth="1" style="23" min="10508" max="10752"/>
    <col width="7.83203125" customWidth="1" style="23" min="10753" max="10753"/>
    <col width="3.5" customWidth="1" style="23" min="10754" max="10754"/>
    <col width="24.6640625" customWidth="1" style="23" min="10755" max="10755"/>
    <col width="12.6640625" customWidth="1" style="23" min="10756" max="10756"/>
    <col width="15.6640625" customWidth="1" style="23" min="10757" max="10757"/>
    <col width="12.6640625" customWidth="1" style="23" min="10758" max="10759"/>
    <col width="3.5" customWidth="1" style="23" min="10760" max="10760"/>
    <col width="13.5" customWidth="1" style="23" min="10761" max="10763"/>
    <col width="9.1640625" customWidth="1" style="23" min="10764" max="11008"/>
    <col width="7.83203125" customWidth="1" style="23" min="11009" max="11009"/>
    <col width="3.5" customWidth="1" style="23" min="11010" max="11010"/>
    <col width="24.6640625" customWidth="1" style="23" min="11011" max="11011"/>
    <col width="12.6640625" customWidth="1" style="23" min="11012" max="11012"/>
    <col width="15.6640625" customWidth="1" style="23" min="11013" max="11013"/>
    <col width="12.6640625" customWidth="1" style="23" min="11014" max="11015"/>
    <col width="3.5" customWidth="1" style="23" min="11016" max="11016"/>
    <col width="13.5" customWidth="1" style="23" min="11017" max="11019"/>
    <col width="9.1640625" customWidth="1" style="23" min="11020" max="11264"/>
    <col width="7.83203125" customWidth="1" style="23" min="11265" max="11265"/>
    <col width="3.5" customWidth="1" style="23" min="11266" max="11266"/>
    <col width="24.6640625" customWidth="1" style="23" min="11267" max="11267"/>
    <col width="12.6640625" customWidth="1" style="23" min="11268" max="11268"/>
    <col width="15.6640625" customWidth="1" style="23" min="11269" max="11269"/>
    <col width="12.6640625" customWidth="1" style="23" min="11270" max="11271"/>
    <col width="3.5" customWidth="1" style="23" min="11272" max="11272"/>
    <col width="13.5" customWidth="1" style="23" min="11273" max="11275"/>
    <col width="9.1640625" customWidth="1" style="23" min="11276" max="11520"/>
    <col width="7.83203125" customWidth="1" style="23" min="11521" max="11521"/>
    <col width="3.5" customWidth="1" style="23" min="11522" max="11522"/>
    <col width="24.6640625" customWidth="1" style="23" min="11523" max="11523"/>
    <col width="12.6640625" customWidth="1" style="23" min="11524" max="11524"/>
    <col width="15.6640625" customWidth="1" style="23" min="11525" max="11525"/>
    <col width="12.6640625" customWidth="1" style="23" min="11526" max="11527"/>
    <col width="3.5" customWidth="1" style="23" min="11528" max="11528"/>
    <col width="13.5" customWidth="1" style="23" min="11529" max="11531"/>
    <col width="9.1640625" customWidth="1" style="23" min="11532" max="11776"/>
    <col width="7.83203125" customWidth="1" style="23" min="11777" max="11777"/>
    <col width="3.5" customWidth="1" style="23" min="11778" max="11778"/>
    <col width="24.6640625" customWidth="1" style="23" min="11779" max="11779"/>
    <col width="12.6640625" customWidth="1" style="23" min="11780" max="11780"/>
    <col width="15.6640625" customWidth="1" style="23" min="11781" max="11781"/>
    <col width="12.6640625" customWidth="1" style="23" min="11782" max="11783"/>
    <col width="3.5" customWidth="1" style="23" min="11784" max="11784"/>
    <col width="13.5" customWidth="1" style="23" min="11785" max="11787"/>
    <col width="9.1640625" customWidth="1" style="23" min="11788" max="12032"/>
    <col width="7.83203125" customWidth="1" style="23" min="12033" max="12033"/>
    <col width="3.5" customWidth="1" style="23" min="12034" max="12034"/>
    <col width="24.6640625" customWidth="1" style="23" min="12035" max="12035"/>
    <col width="12.6640625" customWidth="1" style="23" min="12036" max="12036"/>
    <col width="15.6640625" customWidth="1" style="23" min="12037" max="12037"/>
    <col width="12.6640625" customWidth="1" style="23" min="12038" max="12039"/>
    <col width="3.5" customWidth="1" style="23" min="12040" max="12040"/>
    <col width="13.5" customWidth="1" style="23" min="12041" max="12043"/>
    <col width="9.1640625" customWidth="1" style="23" min="12044" max="12288"/>
    <col width="7.83203125" customWidth="1" style="23" min="12289" max="12289"/>
    <col width="3.5" customWidth="1" style="23" min="12290" max="12290"/>
    <col width="24.6640625" customWidth="1" style="23" min="12291" max="12291"/>
    <col width="12.6640625" customWidth="1" style="23" min="12292" max="12292"/>
    <col width="15.6640625" customWidth="1" style="23" min="12293" max="12293"/>
    <col width="12.6640625" customWidth="1" style="23" min="12294" max="12295"/>
    <col width="3.5" customWidth="1" style="23" min="12296" max="12296"/>
    <col width="13.5" customWidth="1" style="23" min="12297" max="12299"/>
    <col width="9.1640625" customWidth="1" style="23" min="12300" max="12544"/>
    <col width="7.83203125" customWidth="1" style="23" min="12545" max="12545"/>
    <col width="3.5" customWidth="1" style="23" min="12546" max="12546"/>
    <col width="24.6640625" customWidth="1" style="23" min="12547" max="12547"/>
    <col width="12.6640625" customWidth="1" style="23" min="12548" max="12548"/>
    <col width="15.6640625" customWidth="1" style="23" min="12549" max="12549"/>
    <col width="12.6640625" customWidth="1" style="23" min="12550" max="12551"/>
    <col width="3.5" customWidth="1" style="23" min="12552" max="12552"/>
    <col width="13.5" customWidth="1" style="23" min="12553" max="12555"/>
    <col width="9.1640625" customWidth="1" style="23" min="12556" max="12800"/>
    <col width="7.83203125" customWidth="1" style="23" min="12801" max="12801"/>
    <col width="3.5" customWidth="1" style="23" min="12802" max="12802"/>
    <col width="24.6640625" customWidth="1" style="23" min="12803" max="12803"/>
    <col width="12.6640625" customWidth="1" style="23" min="12804" max="12804"/>
    <col width="15.6640625" customWidth="1" style="23" min="12805" max="12805"/>
    <col width="12.6640625" customWidth="1" style="23" min="12806" max="12807"/>
    <col width="3.5" customWidth="1" style="23" min="12808" max="12808"/>
    <col width="13.5" customWidth="1" style="23" min="12809" max="12811"/>
    <col width="9.1640625" customWidth="1" style="23" min="12812" max="13056"/>
    <col width="7.83203125" customWidth="1" style="23" min="13057" max="13057"/>
    <col width="3.5" customWidth="1" style="23" min="13058" max="13058"/>
    <col width="24.6640625" customWidth="1" style="23" min="13059" max="13059"/>
    <col width="12.6640625" customWidth="1" style="23" min="13060" max="13060"/>
    <col width="15.6640625" customWidth="1" style="23" min="13061" max="13061"/>
    <col width="12.6640625" customWidth="1" style="23" min="13062" max="13063"/>
    <col width="3.5" customWidth="1" style="23" min="13064" max="13064"/>
    <col width="13.5" customWidth="1" style="23" min="13065" max="13067"/>
    <col width="9.1640625" customWidth="1" style="23" min="13068" max="13312"/>
    <col width="7.83203125" customWidth="1" style="23" min="13313" max="13313"/>
    <col width="3.5" customWidth="1" style="23" min="13314" max="13314"/>
    <col width="24.6640625" customWidth="1" style="23" min="13315" max="13315"/>
    <col width="12.6640625" customWidth="1" style="23" min="13316" max="13316"/>
    <col width="15.6640625" customWidth="1" style="23" min="13317" max="13317"/>
    <col width="12.6640625" customWidth="1" style="23" min="13318" max="13319"/>
    <col width="3.5" customWidth="1" style="23" min="13320" max="13320"/>
    <col width="13.5" customWidth="1" style="23" min="13321" max="13323"/>
    <col width="9.1640625" customWidth="1" style="23" min="13324" max="13568"/>
    <col width="7.83203125" customWidth="1" style="23" min="13569" max="13569"/>
    <col width="3.5" customWidth="1" style="23" min="13570" max="13570"/>
    <col width="24.6640625" customWidth="1" style="23" min="13571" max="13571"/>
    <col width="12.6640625" customWidth="1" style="23" min="13572" max="13572"/>
    <col width="15.6640625" customWidth="1" style="23" min="13573" max="13573"/>
    <col width="12.6640625" customWidth="1" style="23" min="13574" max="13575"/>
    <col width="3.5" customWidth="1" style="23" min="13576" max="13576"/>
    <col width="13.5" customWidth="1" style="23" min="13577" max="13579"/>
    <col width="9.1640625" customWidth="1" style="23" min="13580" max="13824"/>
    <col width="7.83203125" customWidth="1" style="23" min="13825" max="13825"/>
    <col width="3.5" customWidth="1" style="23" min="13826" max="13826"/>
    <col width="24.6640625" customWidth="1" style="23" min="13827" max="13827"/>
    <col width="12.6640625" customWidth="1" style="23" min="13828" max="13828"/>
    <col width="15.6640625" customWidth="1" style="23" min="13829" max="13829"/>
    <col width="12.6640625" customWidth="1" style="23" min="13830" max="13831"/>
    <col width="3.5" customWidth="1" style="23" min="13832" max="13832"/>
    <col width="13.5" customWidth="1" style="23" min="13833" max="13835"/>
    <col width="9.1640625" customWidth="1" style="23" min="13836" max="14080"/>
    <col width="7.83203125" customWidth="1" style="23" min="14081" max="14081"/>
    <col width="3.5" customWidth="1" style="23" min="14082" max="14082"/>
    <col width="24.6640625" customWidth="1" style="23" min="14083" max="14083"/>
    <col width="12.6640625" customWidth="1" style="23" min="14084" max="14084"/>
    <col width="15.6640625" customWidth="1" style="23" min="14085" max="14085"/>
    <col width="12.6640625" customWidth="1" style="23" min="14086" max="14087"/>
    <col width="3.5" customWidth="1" style="23" min="14088" max="14088"/>
    <col width="13.5" customWidth="1" style="23" min="14089" max="14091"/>
    <col width="9.1640625" customWidth="1" style="23" min="14092" max="14336"/>
    <col width="7.83203125" customWidth="1" style="23" min="14337" max="14337"/>
    <col width="3.5" customWidth="1" style="23" min="14338" max="14338"/>
    <col width="24.6640625" customWidth="1" style="23" min="14339" max="14339"/>
    <col width="12.6640625" customWidth="1" style="23" min="14340" max="14340"/>
    <col width="15.6640625" customWidth="1" style="23" min="14341" max="14341"/>
    <col width="12.6640625" customWidth="1" style="23" min="14342" max="14343"/>
    <col width="3.5" customWidth="1" style="23" min="14344" max="14344"/>
    <col width="13.5" customWidth="1" style="23" min="14345" max="14347"/>
    <col width="9.1640625" customWidth="1" style="23" min="14348" max="14592"/>
    <col width="7.83203125" customWidth="1" style="23" min="14593" max="14593"/>
    <col width="3.5" customWidth="1" style="23" min="14594" max="14594"/>
    <col width="24.6640625" customWidth="1" style="23" min="14595" max="14595"/>
    <col width="12.6640625" customWidth="1" style="23" min="14596" max="14596"/>
    <col width="15.6640625" customWidth="1" style="23" min="14597" max="14597"/>
    <col width="12.6640625" customWidth="1" style="23" min="14598" max="14599"/>
    <col width="3.5" customWidth="1" style="23" min="14600" max="14600"/>
    <col width="13.5" customWidth="1" style="23" min="14601" max="14603"/>
    <col width="9.1640625" customWidth="1" style="23" min="14604" max="14848"/>
    <col width="7.83203125" customWidth="1" style="23" min="14849" max="14849"/>
    <col width="3.5" customWidth="1" style="23" min="14850" max="14850"/>
    <col width="24.6640625" customWidth="1" style="23" min="14851" max="14851"/>
    <col width="12.6640625" customWidth="1" style="23" min="14852" max="14852"/>
    <col width="15.6640625" customWidth="1" style="23" min="14853" max="14853"/>
    <col width="12.6640625" customWidth="1" style="23" min="14854" max="14855"/>
    <col width="3.5" customWidth="1" style="23" min="14856" max="14856"/>
    <col width="13.5" customWidth="1" style="23" min="14857" max="14859"/>
    <col width="9.1640625" customWidth="1" style="23" min="14860" max="15104"/>
    <col width="7.83203125" customWidth="1" style="23" min="15105" max="15105"/>
    <col width="3.5" customWidth="1" style="23" min="15106" max="15106"/>
    <col width="24.6640625" customWidth="1" style="23" min="15107" max="15107"/>
    <col width="12.6640625" customWidth="1" style="23" min="15108" max="15108"/>
    <col width="15.6640625" customWidth="1" style="23" min="15109" max="15109"/>
    <col width="12.6640625" customWidth="1" style="23" min="15110" max="15111"/>
    <col width="3.5" customWidth="1" style="23" min="15112" max="15112"/>
    <col width="13.5" customWidth="1" style="23" min="15113" max="15115"/>
    <col width="9.1640625" customWidth="1" style="23" min="15116" max="15360"/>
    <col width="7.83203125" customWidth="1" style="23" min="15361" max="15361"/>
    <col width="3.5" customWidth="1" style="23" min="15362" max="15362"/>
    <col width="24.6640625" customWidth="1" style="23" min="15363" max="15363"/>
    <col width="12.6640625" customWidth="1" style="23" min="15364" max="15364"/>
    <col width="15.6640625" customWidth="1" style="23" min="15365" max="15365"/>
    <col width="12.6640625" customWidth="1" style="23" min="15366" max="15367"/>
    <col width="3.5" customWidth="1" style="23" min="15368" max="15368"/>
    <col width="13.5" customWidth="1" style="23" min="15369" max="15371"/>
    <col width="9.1640625" customWidth="1" style="23" min="15372" max="15616"/>
    <col width="7.83203125" customWidth="1" style="23" min="15617" max="15617"/>
    <col width="3.5" customWidth="1" style="23" min="15618" max="15618"/>
    <col width="24.6640625" customWidth="1" style="23" min="15619" max="15619"/>
    <col width="12.6640625" customWidth="1" style="23" min="15620" max="15620"/>
    <col width="15.6640625" customWidth="1" style="23" min="15621" max="15621"/>
    <col width="12.6640625" customWidth="1" style="23" min="15622" max="15623"/>
    <col width="3.5" customWidth="1" style="23" min="15624" max="15624"/>
    <col width="13.5" customWidth="1" style="23" min="15625" max="15627"/>
    <col width="9.1640625" customWidth="1" style="23" min="15628" max="15872"/>
    <col width="7.83203125" customWidth="1" style="23" min="15873" max="15873"/>
    <col width="3.5" customWidth="1" style="23" min="15874" max="15874"/>
    <col width="24.6640625" customWidth="1" style="23" min="15875" max="15875"/>
    <col width="12.6640625" customWidth="1" style="23" min="15876" max="15876"/>
    <col width="15.6640625" customWidth="1" style="23" min="15877" max="15877"/>
    <col width="12.6640625" customWidth="1" style="23" min="15878" max="15879"/>
    <col width="3.5" customWidth="1" style="23" min="15880" max="15880"/>
    <col width="13.5" customWidth="1" style="23" min="15881" max="15883"/>
    <col width="9.1640625" customWidth="1" style="23" min="15884" max="16128"/>
    <col width="7.83203125" customWidth="1" style="23" min="16129" max="16129"/>
    <col width="3.5" customWidth="1" style="23" min="16130" max="16130"/>
    <col width="24.6640625" customWidth="1" style="23" min="16131" max="16131"/>
    <col width="12.6640625" customWidth="1" style="23" min="16132" max="16132"/>
    <col width="15.6640625" customWidth="1" style="23" min="16133" max="16133"/>
    <col width="12.6640625" customWidth="1" style="23" min="16134" max="16135"/>
    <col width="3.5" customWidth="1" style="23" min="16136" max="16136"/>
    <col width="13.5" customWidth="1" style="23" min="16137" max="16139"/>
    <col width="9.1640625" customWidth="1" style="23" min="16140" max="16384"/>
  </cols>
  <sheetData>
    <row r="1" ht="23" customHeight="1">
      <c r="A1" s="21" t="inlineStr">
        <is>
          <t>Pareto Analysis</t>
        </is>
      </c>
      <c r="B1" s="22" t="n"/>
      <c r="C1" s="22" t="n"/>
      <c r="D1" s="22" t="n"/>
      <c r="E1" s="22" t="n"/>
      <c r="F1" s="22" t="n"/>
      <c r="G1" s="22" t="n"/>
      <c r="H1" s="87" t="n"/>
      <c r="I1" s="87" t="n"/>
    </row>
    <row r="2" ht="16" customHeight="1">
      <c r="A2" s="24" t="n"/>
      <c r="B2" s="87" t="n"/>
      <c r="C2" s="87" t="n"/>
      <c r="D2" s="87" t="n"/>
      <c r="E2" s="87" t="n"/>
      <c r="F2" s="87" t="n"/>
      <c r="G2" s="87" t="n"/>
      <c r="H2" s="87" t="n"/>
      <c r="I2" s="87" t="inlineStr">
        <is>
          <t xml:space="preserve"> </t>
        </is>
      </c>
    </row>
    <row r="3" ht="16" customHeight="1">
      <c r="A3" s="25" t="n"/>
      <c r="B3" s="87" t="n"/>
      <c r="C3" s="26" t="n"/>
      <c r="D3" s="88" t="n"/>
      <c r="E3" s="88" t="n"/>
      <c r="F3" s="88" t="n"/>
      <c r="G3" s="87" t="n"/>
      <c r="H3" s="87" t="n"/>
      <c r="I3" s="27" t="n"/>
    </row>
    <row r="4">
      <c r="A4" s="89" t="n"/>
      <c r="B4" s="87" t="n"/>
      <c r="C4" s="26" t="n"/>
      <c r="D4" s="88" t="n"/>
      <c r="E4" s="88" t="n"/>
      <c r="F4" s="88" t="n"/>
      <c r="G4" s="87" t="n"/>
      <c r="H4" s="87" t="n"/>
      <c r="I4" s="87" t="n"/>
    </row>
    <row r="5">
      <c r="A5" s="90" t="n"/>
      <c r="B5" s="87" t="n"/>
      <c r="C5" s="26" t="n"/>
      <c r="D5" s="88" t="n"/>
      <c r="E5" s="88" t="n"/>
      <c r="F5" s="88" t="n"/>
      <c r="G5" s="87" t="n"/>
      <c r="H5" s="87" t="n"/>
      <c r="I5" s="87" t="n"/>
    </row>
    <row r="23">
      <c r="B23" s="28" t="inlineStr">
        <is>
          <t>[42]</t>
        </is>
      </c>
      <c r="C23" s="87" t="n"/>
      <c r="D23" s="87" t="n"/>
      <c r="E23" s="87" t="n"/>
      <c r="F23" s="87" t="n"/>
      <c r="G23" s="87" t="n"/>
      <c r="H23" s="87" t="n"/>
      <c r="I23" s="87" t="n"/>
      <c r="J23" s="87" t="n"/>
      <c r="K23" s="87" t="n"/>
    </row>
    <row r="28" ht="16" customHeight="1">
      <c r="B28" s="87" t="n"/>
      <c r="C28" s="87" t="n"/>
      <c r="D28" s="29">
        <f>"The first "&amp;COUNT(I33:I47)&amp;" "&amp;C32&amp;" cover "&amp;TEXT(OFFSET(E32,COUNT(I33:I47),0,1,1),"0.??%")&amp;" of the Total "&amp;D32</f>
        <v/>
      </c>
      <c r="E28" s="87" t="n"/>
      <c r="F28" s="87" t="n"/>
      <c r="G28" s="87" t="n"/>
      <c r="H28" s="87" t="n"/>
      <c r="I28" s="87" t="n"/>
      <c r="J28" s="87" t="n"/>
      <c r="K28" s="87" t="n"/>
    </row>
    <row r="31">
      <c r="B31" s="87" t="n"/>
      <c r="C31" s="87" t="n"/>
      <c r="D31" s="91" t="inlineStr">
        <is>
          <t>Cumulative Percentage Cutoff:</t>
        </is>
      </c>
      <c r="E31" s="92" t="n">
        <v>0.8</v>
      </c>
      <c r="F31" s="87" t="n"/>
      <c r="G31" s="87" t="n"/>
      <c r="H31" s="87" t="n"/>
      <c r="I31" s="87" t="n"/>
      <c r="J31" s="87" t="n"/>
      <c r="K31" s="87" t="n"/>
    </row>
    <row r="32" ht="16" customHeight="1">
      <c r="B32" s="30" t="inlineStr">
        <is>
          <t>#</t>
        </is>
      </c>
      <c r="C32" s="31" t="inlineStr">
        <is>
          <t>Causes</t>
        </is>
      </c>
      <c r="D32" s="32" t="inlineStr">
        <is>
          <t>Defects</t>
        </is>
      </c>
      <c r="E32" s="30" t="inlineStr">
        <is>
          <t>Cumulative%</t>
        </is>
      </c>
      <c r="F32" s="87" t="n"/>
      <c r="G32" s="87" t="n"/>
      <c r="H32" s="87" t="n"/>
      <c r="I32" s="33" t="inlineStr">
        <is>
          <t>Vital Few</t>
        </is>
      </c>
      <c r="J32" s="33" t="inlineStr">
        <is>
          <t>Useful Many</t>
        </is>
      </c>
      <c r="K32" s="33" t="inlineStr">
        <is>
          <t>Cut Off %</t>
        </is>
      </c>
    </row>
    <row r="33">
      <c r="B33" s="93">
        <f>ROW(B33)-ROW($B$32)</f>
        <v/>
      </c>
      <c r="C33" s="94" t="inlineStr">
        <is>
          <t>Glue</t>
        </is>
      </c>
      <c r="D33" s="95" t="n">
        <v>50</v>
      </c>
      <c r="E33" s="178">
        <f>SUM(D33:D$33)/SUM($D$33:$D$47)</f>
        <v/>
      </c>
      <c r="F33" s="87" t="n"/>
      <c r="G33" s="87" t="n"/>
      <c r="H33" s="87" t="n"/>
      <c r="I33" s="34">
        <f>IF(OR(B33=1,OFFSET($E$32,B33-1,0,1,1)&lt;=$E$31),OFFSET($D$32,B33,0,1,1),"")</f>
        <v/>
      </c>
      <c r="J33" s="35">
        <f>IF(I33="",OFFSET($D$32,B33,0,1,1),"")</f>
        <v/>
      </c>
      <c r="K33" s="36">
        <f>$E$31</f>
        <v/>
      </c>
    </row>
    <row r="34">
      <c r="B34" s="93">
        <f>ROW(B34)-ROW($B$32)</f>
        <v/>
      </c>
      <c r="C34" s="94" t="inlineStr">
        <is>
          <t>Binding</t>
        </is>
      </c>
      <c r="D34" s="95" t="n">
        <v>30</v>
      </c>
      <c r="E34" s="178">
        <f>SUM(D$33:D34)/SUM($D$33:$D$47)</f>
        <v/>
      </c>
      <c r="F34" s="87" t="n"/>
      <c r="G34" s="87" t="n"/>
      <c r="H34" s="87" t="n"/>
      <c r="I34" s="34">
        <f>IF(OR(B34=1,OFFSET($E$32,B34-1,0,1,1)&lt;=$E$31),OFFSET($D$32,B34,0,1,1),"")</f>
        <v/>
      </c>
      <c r="J34" s="35">
        <f>IF(I34="",OFFSET($D$32,B34,0,1,1),"")</f>
        <v/>
      </c>
      <c r="K34" s="36">
        <f>$E$31</f>
        <v/>
      </c>
    </row>
    <row r="35">
      <c r="B35" s="93">
        <f>ROW(B35)-ROW($B$32)</f>
        <v/>
      </c>
      <c r="C35" s="94" t="inlineStr">
        <is>
          <t>Button</t>
        </is>
      </c>
      <c r="D35" s="95" t="n">
        <v>15</v>
      </c>
      <c r="E35" s="178">
        <f>SUM(D$33:D35)/SUM($D$33:$D$47)</f>
        <v/>
      </c>
      <c r="F35" s="87" t="n"/>
      <c r="G35" s="87" t="n"/>
      <c r="H35" s="87" t="n"/>
      <c r="I35" s="34">
        <f>IF(OR(B35=1,OFFSET($E$32,B35-1,0,1,1)&lt;=$E$31),OFFSET($D$32,B35,0,1,1),"")</f>
        <v/>
      </c>
      <c r="J35" s="35">
        <f>IF(I35="",OFFSET($D$32,B35,0,1,1),"")</f>
        <v/>
      </c>
      <c r="K35" s="36">
        <f>$E$31</f>
        <v/>
      </c>
    </row>
    <row r="36">
      <c r="B36" s="93">
        <f>ROW(B36)-ROW($B$32)</f>
        <v/>
      </c>
      <c r="C36" s="94" t="inlineStr">
        <is>
          <t>Pressure Applied</t>
        </is>
      </c>
      <c r="D36" s="95" t="n">
        <v>5</v>
      </c>
      <c r="E36" s="178">
        <f>SUM(D$33:D36)/SUM($D$33:$D$47)</f>
        <v/>
      </c>
      <c r="F36" s="87" t="n"/>
      <c r="G36" s="87" t="n"/>
      <c r="H36" s="87" t="n"/>
      <c r="I36" s="34">
        <f>IF(OR(B36=1,OFFSET($E$32,B36-1,0,1,1)&lt;=$E$31),OFFSET($D$32,B36,0,1,1),"")</f>
        <v/>
      </c>
      <c r="J36" s="35">
        <f>IF(I36="",OFFSET($D$32,B36,0,1,1),"")</f>
        <v/>
      </c>
      <c r="K36" s="36">
        <f>$E$31</f>
        <v/>
      </c>
    </row>
    <row r="37">
      <c r="B37" s="93">
        <f>ROW(B37)-ROW($B$32)</f>
        <v/>
      </c>
      <c r="C37" s="94" t="inlineStr">
        <is>
          <t>Cause # 5</t>
        </is>
      </c>
      <c r="D37" s="95" t="n">
        <v>3</v>
      </c>
      <c r="E37" s="178">
        <f>SUM(D$33:D37)/SUM($D$33:$D$47)</f>
        <v/>
      </c>
      <c r="F37" s="87" t="n"/>
      <c r="G37" s="87" t="n"/>
      <c r="H37" s="87" t="n"/>
      <c r="I37" s="34">
        <f>IF(OR(B37=1,OFFSET($E$32,B37-1,0,1,1)&lt;=$E$31),OFFSET($D$32,B37,0,1,1),"")</f>
        <v/>
      </c>
      <c r="J37" s="35">
        <f>IF(I37="",OFFSET($D$32,B37,0,1,1),"")</f>
        <v/>
      </c>
      <c r="K37" s="36">
        <f>$E$31</f>
        <v/>
      </c>
    </row>
    <row r="38">
      <c r="B38" s="93">
        <f>ROW(B38)-ROW($B$32)</f>
        <v/>
      </c>
      <c r="C38" s="94" t="inlineStr">
        <is>
          <t>Cause # 6</t>
        </is>
      </c>
      <c r="D38" s="95" t="n">
        <v>2</v>
      </c>
      <c r="E38" s="178">
        <f>SUM(D$33:D38)/SUM($D$33:$D$47)</f>
        <v/>
      </c>
      <c r="F38" s="87" t="n"/>
      <c r="G38" s="87" t="n"/>
      <c r="H38" s="87" t="n"/>
      <c r="I38" s="34">
        <f>IF(OR(B38=1,OFFSET($E$32,B38-1,0,1,1)&lt;=$E$31),OFFSET($D$32,B38,0,1,1),"")</f>
        <v/>
      </c>
      <c r="J38" s="35">
        <f>IF(I38="",OFFSET($D$32,B38,0,1,1),"")</f>
        <v/>
      </c>
      <c r="K38" s="36">
        <f>$E$31</f>
        <v/>
      </c>
    </row>
    <row r="39">
      <c r="B39" s="93">
        <f>ROW(B39)-ROW($B$32)</f>
        <v/>
      </c>
      <c r="C39" s="94" t="inlineStr">
        <is>
          <t>Cause # 7</t>
        </is>
      </c>
      <c r="D39" s="95" t="n">
        <v>1</v>
      </c>
      <c r="E39" s="178">
        <f>SUM(D$33:D39)/SUM($D$33:$D$47)</f>
        <v/>
      </c>
      <c r="F39" s="87" t="n"/>
      <c r="G39" s="87" t="n"/>
      <c r="H39" s="87" t="n"/>
      <c r="I39" s="34">
        <f>IF(OR(B39=1,OFFSET($E$32,B39-1,0,1,1)&lt;=$E$31),OFFSET($D$32,B39,0,1,1),"")</f>
        <v/>
      </c>
      <c r="J39" s="35">
        <f>IF(I39="",OFFSET($D$32,B39,0,1,1),"")</f>
        <v/>
      </c>
      <c r="K39" s="36">
        <f>$E$31</f>
        <v/>
      </c>
    </row>
    <row r="40">
      <c r="B40" s="93">
        <f>ROW(B40)-ROW($B$32)</f>
        <v/>
      </c>
      <c r="C40" s="94" t="inlineStr">
        <is>
          <t>Cause # 8</t>
        </is>
      </c>
      <c r="D40" s="95" t="n">
        <v>1</v>
      </c>
      <c r="E40" s="178">
        <f>SUM(D$33:D40)/SUM($D$33:$D$47)</f>
        <v/>
      </c>
      <c r="F40" s="87" t="n"/>
      <c r="G40" s="87" t="n"/>
      <c r="H40" s="87" t="n"/>
      <c r="I40" s="34">
        <f>IF(OR(B40=1,OFFSET($E$32,B40-1,0,1,1)&lt;=$E$31),OFFSET($D$32,B40,0,1,1),"")</f>
        <v/>
      </c>
      <c r="J40" s="35">
        <f>IF(I40="",OFFSET($D$32,B40,0,1,1),"")</f>
        <v/>
      </c>
      <c r="K40" s="36">
        <f>$E$31</f>
        <v/>
      </c>
    </row>
    <row r="41">
      <c r="B41" s="93">
        <f>ROW(B41)-ROW($B$32)</f>
        <v/>
      </c>
      <c r="C41" s="94" t="inlineStr">
        <is>
          <t>Cause # 9</t>
        </is>
      </c>
      <c r="D41" s="95" t="n">
        <v>1</v>
      </c>
      <c r="E41" s="178">
        <f>SUM(D$33:D41)/SUM($D$33:$D$47)</f>
        <v/>
      </c>
      <c r="F41" s="87" t="n"/>
      <c r="G41" s="87" t="n"/>
      <c r="H41" s="87" t="n"/>
      <c r="I41" s="34">
        <f>IF(OR(B41=1,OFFSET($E$32,B41-1,0,1,1)&lt;=$E$31),OFFSET($D$32,B41,0,1,1),"")</f>
        <v/>
      </c>
      <c r="J41" s="35">
        <f>IF(I41="",OFFSET($D$32,B41,0,1,1),"")</f>
        <v/>
      </c>
      <c r="K41" s="36">
        <f>$E$31</f>
        <v/>
      </c>
    </row>
    <row r="42">
      <c r="B42" s="93">
        <f>ROW(B42)-ROW($B$32)</f>
        <v/>
      </c>
      <c r="C42" s="94" t="n"/>
      <c r="D42" s="95" t="n"/>
      <c r="E42" s="178">
        <f>SUM(D$33:D42)/SUM($D$33:$D$47)</f>
        <v/>
      </c>
      <c r="F42" s="87" t="n"/>
      <c r="G42" s="87" t="n"/>
      <c r="H42" s="87" t="n"/>
      <c r="I42" s="34">
        <f>IF(OR(B42=1,OFFSET($E$32,B42-1,0,1,1)&lt;=$E$31),OFFSET($D$32,B42,0,1,1),"")</f>
        <v/>
      </c>
      <c r="J42" s="35">
        <f>IF(I42="",OFFSET($D$32,B42,0,1,1),"")</f>
        <v/>
      </c>
      <c r="K42" s="36">
        <f>$E$31</f>
        <v/>
      </c>
    </row>
    <row r="43">
      <c r="B43" s="93">
        <f>ROW(B43)-ROW($B$32)</f>
        <v/>
      </c>
      <c r="C43" s="94" t="n"/>
      <c r="D43" s="95" t="n"/>
      <c r="E43" s="178">
        <f>SUM(D$33:D43)/SUM($D$33:$D$47)</f>
        <v/>
      </c>
      <c r="F43" s="87" t="n"/>
      <c r="G43" s="87" t="n"/>
      <c r="H43" s="87" t="n"/>
      <c r="I43" s="34">
        <f>IF(OR(B43=1,OFFSET($E$32,B43-1,0,1,1)&lt;=$E$31),OFFSET($D$32,B43,0,1,1),"")</f>
        <v/>
      </c>
      <c r="J43" s="35">
        <f>IF(I43="",OFFSET($D$32,B43,0,1,1),"")</f>
        <v/>
      </c>
      <c r="K43" s="36">
        <f>$E$31</f>
        <v/>
      </c>
    </row>
    <row r="44">
      <c r="B44" s="93">
        <f>ROW(B44)-ROW($B$32)</f>
        <v/>
      </c>
      <c r="C44" s="94" t="n"/>
      <c r="D44" s="95" t="n"/>
      <c r="E44" s="178">
        <f>SUM(D$33:D44)/SUM($D$33:$D$47)</f>
        <v/>
      </c>
      <c r="F44" s="87" t="n"/>
      <c r="G44" s="87" t="n"/>
      <c r="H44" s="87" t="n"/>
      <c r="I44" s="34">
        <f>IF(OR(B44=1,OFFSET($E$32,B44-1,0,1,1)&lt;=$E$31),OFFSET($D$32,B44,0,1,1),"")</f>
        <v/>
      </c>
      <c r="J44" s="35">
        <f>IF(I44="",OFFSET($D$32,B44,0,1,1),"")</f>
        <v/>
      </c>
      <c r="K44" s="36">
        <f>$E$31</f>
        <v/>
      </c>
    </row>
    <row r="45">
      <c r="B45" s="93">
        <f>ROW(B45)-ROW($B$32)</f>
        <v/>
      </c>
      <c r="C45" s="94" t="n"/>
      <c r="D45" s="95" t="n"/>
      <c r="E45" s="178">
        <f>SUM(D$33:D45)/SUM($D$33:$D$47)</f>
        <v/>
      </c>
      <c r="F45" s="87" t="n"/>
      <c r="G45" s="87" t="n"/>
      <c r="H45" s="87" t="n"/>
      <c r="I45" s="34">
        <f>IF(OR(B45=1,OFFSET($E$32,B45-1,0,1,1)&lt;=$E$31),OFFSET($D$32,B45,0,1,1),"")</f>
        <v/>
      </c>
      <c r="J45" s="35">
        <f>IF(I45="",OFFSET($D$32,B45,0,1,1),"")</f>
        <v/>
      </c>
      <c r="K45" s="36">
        <f>$E$31</f>
        <v/>
      </c>
    </row>
    <row r="46">
      <c r="B46" s="93">
        <f>ROW(B46)-ROW($B$32)</f>
        <v/>
      </c>
      <c r="C46" s="94" t="n"/>
      <c r="D46" s="95" t="n"/>
      <c r="E46" s="178">
        <f>SUM(D$33:D46)/SUM($D$33:$D$47)</f>
        <v/>
      </c>
      <c r="F46" s="87" t="n"/>
      <c r="G46" s="87" t="n"/>
      <c r="H46" s="87" t="n"/>
      <c r="I46" s="34">
        <f>IF(OR(B46=1,OFFSET($E$32,B46-1,0,1,1)&lt;=$E$31),OFFSET($D$32,B46,0,1,1),"")</f>
        <v/>
      </c>
      <c r="J46" s="35">
        <f>IF(I46="",OFFSET($D$32,B46,0,1,1),"")</f>
        <v/>
      </c>
      <c r="K46" s="36">
        <f>$E$31</f>
        <v/>
      </c>
    </row>
    <row r="47">
      <c r="B47" s="93">
        <f>ROW(B47)-ROW($B$32)</f>
        <v/>
      </c>
      <c r="C47" s="94" t="n"/>
      <c r="D47" s="95" t="n"/>
      <c r="E47" s="178">
        <f>SUM(D$33:D47)/SUM($D$33:$D$47)</f>
        <v/>
      </c>
      <c r="F47" s="87" t="n"/>
      <c r="G47" s="87" t="n"/>
      <c r="H47" s="87" t="n"/>
      <c r="I47" s="34">
        <f>IF(OR(B47=1,OFFSET($E$32,B47-1,0,1,1)&lt;=$E$31),OFFSET($D$32,B47,0,1,1),"")</f>
        <v/>
      </c>
      <c r="J47" s="35">
        <f>IF(I47="",OFFSET($D$32,B47,0,1,1),"")</f>
        <v/>
      </c>
      <c r="K47" s="36">
        <f>$E$31</f>
        <v/>
      </c>
    </row>
    <row r="48">
      <c r="B48" s="37" t="inlineStr">
        <is>
          <t>Insert new rows above this line</t>
        </is>
      </c>
      <c r="C48" s="22" t="n"/>
      <c r="D48" s="22" t="n"/>
      <c r="E48" s="22" t="n"/>
      <c r="F48" s="87" t="n"/>
      <c r="G48" s="87" t="n"/>
      <c r="H48" s="87" t="n"/>
      <c r="I48" s="22" t="n"/>
      <c r="J48" s="22" t="n"/>
      <c r="K48" s="22" t="n"/>
    </row>
  </sheetData>
  <printOptions horizontalCentered="1"/>
  <pageMargins left="0.75" right="0.75" top="0.5" bottom="0.5" header="0.5" footer="0.25"/>
  <pageSetup orientation="portrait" fitToHeight="0"/>
  <headerFooter alignWithMargins="0">
    <oddHeader/>
    <oddFooter>&amp;L&amp;8 © 2009 Vertex42 LLC&amp;R&amp;8 Templates by Vertex42.com</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G44"/>
  <sheetViews>
    <sheetView showGridLines="0" workbookViewId="0">
      <selection activeCell="G3" sqref="G3"/>
    </sheetView>
  </sheetViews>
  <sheetFormatPr baseColWidth="10" defaultColWidth="9.1640625" defaultRowHeight="15"/>
  <cols>
    <col width="4.5" customWidth="1" style="40" min="1" max="1"/>
    <col width="5.83203125" customWidth="1" style="40" min="2" max="2"/>
    <col width="24.5" customWidth="1" style="40" min="3" max="3"/>
    <col width="31.1640625" customWidth="1" style="40" min="4" max="5"/>
    <col width="12.83203125" customWidth="1" style="40" min="6" max="6"/>
    <col width="16" customWidth="1" style="40" min="7" max="7"/>
    <col width="9.1640625" customWidth="1" style="40" min="8" max="16384"/>
  </cols>
  <sheetData>
    <row r="1" ht="16" customHeight="1" thickBot="1"/>
    <row r="2" ht="19" customHeight="1" thickBot="1">
      <c r="B2" s="179" t="inlineStr">
        <is>
          <t>CORRECTIVE &amp; PREVENTIVE ACTION PLAN (CAPA)</t>
        </is>
      </c>
      <c r="C2" s="163" t="n"/>
      <c r="D2" s="163" t="n"/>
      <c r="E2" s="163" t="n"/>
      <c r="F2" s="163" t="n"/>
      <c r="G2" s="164" t="n"/>
    </row>
    <row r="3" ht="29" customHeight="1" thickBot="1">
      <c r="B3" s="126" t="inlineStr">
        <is>
          <t>Sl #</t>
        </is>
      </c>
      <c r="C3" s="127" t="inlineStr">
        <is>
          <t>Analysis Points Observed</t>
        </is>
      </c>
      <c r="D3" s="127" t="inlineStr">
        <is>
          <t xml:space="preserve">Corrective Action Identified </t>
        </is>
      </c>
      <c r="E3" s="127" t="inlineStr">
        <is>
          <t xml:space="preserve">Preventive Action Identified </t>
        </is>
      </c>
      <c r="F3" s="127" t="inlineStr">
        <is>
          <t>Planned Closure Date</t>
        </is>
      </c>
      <c r="G3" s="127" t="inlineStr">
        <is>
          <t xml:space="preserve">Actual Closure Date </t>
        </is>
      </c>
    </row>
    <row r="4">
      <c r="B4" s="60" t="n"/>
      <c r="C4" s="38" t="n"/>
      <c r="D4" s="38" t="n"/>
      <c r="E4" s="38" t="n"/>
      <c r="F4" s="180" t="n"/>
      <c r="G4" s="181" t="n"/>
    </row>
    <row r="5">
      <c r="B5" s="61" t="n"/>
      <c r="C5" s="39" t="n"/>
      <c r="D5" s="39" t="n"/>
      <c r="E5" s="39" t="n"/>
      <c r="F5" s="182" t="n"/>
      <c r="G5" s="183" t="n"/>
    </row>
    <row r="6">
      <c r="B6" s="61" t="n"/>
      <c r="C6" s="39" t="n"/>
      <c r="D6" s="39" t="n"/>
      <c r="E6" s="39" t="n"/>
      <c r="F6" s="182" t="n"/>
      <c r="G6" s="183" t="n"/>
    </row>
    <row r="7">
      <c r="B7" s="61" t="n"/>
      <c r="C7" s="39" t="n"/>
      <c r="D7" s="39" t="n"/>
      <c r="E7" s="39" t="n"/>
      <c r="F7" s="182" t="n"/>
      <c r="G7" s="183" t="n"/>
    </row>
    <row r="8">
      <c r="B8" s="61" t="n"/>
      <c r="C8" s="39" t="n"/>
      <c r="D8" s="39" t="n"/>
      <c r="E8" s="39" t="n"/>
      <c r="F8" s="182" t="n"/>
      <c r="G8" s="183" t="n"/>
    </row>
    <row r="9">
      <c r="B9" s="61" t="n"/>
      <c r="C9" s="39" t="n"/>
      <c r="D9" s="39" t="n"/>
      <c r="E9" s="39" t="n"/>
      <c r="F9" s="182" t="n"/>
      <c r="G9" s="183" t="n"/>
    </row>
    <row r="10">
      <c r="B10" s="61" t="n"/>
      <c r="C10" s="39" t="n"/>
      <c r="D10" s="39" t="n"/>
      <c r="E10" s="39" t="n"/>
      <c r="F10" s="182" t="n"/>
      <c r="G10" s="183" t="n"/>
    </row>
    <row r="11">
      <c r="B11" s="60" t="n"/>
      <c r="C11" s="38" t="n"/>
      <c r="D11" s="38" t="n"/>
      <c r="E11" s="38" t="n"/>
      <c r="F11" s="180" t="n"/>
      <c r="G11" s="181" t="n"/>
    </row>
    <row r="12">
      <c r="B12" s="61" t="n"/>
      <c r="C12" s="39" t="n"/>
      <c r="D12" s="39" t="n"/>
      <c r="E12" s="39" t="n"/>
      <c r="F12" s="182" t="n"/>
      <c r="G12" s="183" t="n"/>
    </row>
    <row r="13">
      <c r="B13" s="61" t="n"/>
      <c r="C13" s="39" t="n"/>
      <c r="D13" s="39" t="n"/>
      <c r="E13" s="39" t="n"/>
      <c r="F13" s="182" t="n"/>
      <c r="G13" s="183" t="n"/>
    </row>
    <row r="14">
      <c r="B14" s="61" t="n"/>
      <c r="C14" s="39" t="n"/>
      <c r="D14" s="39" t="n"/>
      <c r="E14" s="39" t="n"/>
      <c r="F14" s="182" t="n"/>
      <c r="G14" s="183" t="n"/>
    </row>
    <row r="15">
      <c r="B15" s="61" t="n"/>
      <c r="C15" s="39" t="n"/>
      <c r="D15" s="39" t="n"/>
      <c r="E15" s="39" t="n"/>
      <c r="F15" s="182" t="n"/>
      <c r="G15" s="183" t="n"/>
    </row>
    <row r="16">
      <c r="B16" s="61" t="n"/>
      <c r="C16" s="39" t="n"/>
      <c r="D16" s="39" t="n"/>
      <c r="E16" s="39" t="n"/>
      <c r="F16" s="182" t="n"/>
      <c r="G16" s="183" t="n"/>
    </row>
    <row r="17">
      <c r="B17" s="61" t="n"/>
      <c r="C17" s="39" t="n"/>
      <c r="D17" s="39" t="n"/>
      <c r="E17" s="39" t="n"/>
      <c r="F17" s="182" t="n"/>
      <c r="G17" s="183" t="n"/>
    </row>
    <row r="18">
      <c r="B18" s="60" t="n"/>
      <c r="C18" s="38" t="n"/>
      <c r="D18" s="38" t="n"/>
      <c r="E18" s="38" t="n"/>
      <c r="F18" s="180" t="n"/>
      <c r="G18" s="181" t="n"/>
    </row>
    <row r="19">
      <c r="B19" s="61" t="n"/>
      <c r="C19" s="39" t="n"/>
      <c r="D19" s="39" t="n"/>
      <c r="E19" s="39" t="n"/>
      <c r="F19" s="182" t="n"/>
      <c r="G19" s="183" t="n"/>
    </row>
    <row r="20">
      <c r="B20" s="61" t="n"/>
      <c r="C20" s="39" t="n"/>
      <c r="D20" s="39" t="n"/>
      <c r="E20" s="39" t="n"/>
      <c r="F20" s="182" t="n"/>
      <c r="G20" s="183" t="n"/>
    </row>
    <row r="21">
      <c r="B21" s="61" t="n"/>
      <c r="C21" s="39" t="n"/>
      <c r="D21" s="39" t="n"/>
      <c r="E21" s="39" t="n"/>
      <c r="F21" s="182" t="n"/>
      <c r="G21" s="183" t="n"/>
    </row>
    <row r="22">
      <c r="B22" s="61" t="n"/>
      <c r="C22" s="39" t="n"/>
      <c r="D22" s="39" t="n"/>
      <c r="E22" s="39" t="n"/>
      <c r="F22" s="182" t="n"/>
      <c r="G22" s="183" t="n"/>
    </row>
    <row r="23">
      <c r="B23" s="61" t="n"/>
      <c r="C23" s="39" t="n"/>
      <c r="D23" s="39" t="n"/>
      <c r="E23" s="39" t="n"/>
      <c r="F23" s="182" t="n"/>
      <c r="G23" s="183" t="n"/>
    </row>
    <row r="24">
      <c r="B24" s="61" t="n"/>
      <c r="C24" s="39" t="n"/>
      <c r="D24" s="39" t="n"/>
      <c r="E24" s="39" t="n"/>
      <c r="F24" s="182" t="n"/>
      <c r="G24" s="183" t="n"/>
    </row>
    <row r="25">
      <c r="B25" s="60" t="n"/>
      <c r="C25" s="38" t="n"/>
      <c r="D25" s="38" t="n"/>
      <c r="E25" s="38" t="n"/>
      <c r="F25" s="180" t="n"/>
      <c r="G25" s="181" t="n"/>
    </row>
    <row r="26">
      <c r="B26" s="61" t="n"/>
      <c r="C26" s="39" t="n"/>
      <c r="D26" s="39" t="n"/>
      <c r="E26" s="39" t="n"/>
      <c r="F26" s="182" t="n"/>
      <c r="G26" s="183" t="n"/>
    </row>
    <row r="27">
      <c r="B27" s="61" t="n"/>
      <c r="C27" s="39" t="n"/>
      <c r="D27" s="39" t="n"/>
      <c r="E27" s="39" t="n"/>
      <c r="F27" s="182" t="n"/>
      <c r="G27" s="183" t="n"/>
    </row>
    <row r="28">
      <c r="B28" s="61" t="n"/>
      <c r="C28" s="39" t="n"/>
      <c r="D28" s="39" t="n"/>
      <c r="E28" s="39" t="n"/>
      <c r="F28" s="182" t="n"/>
      <c r="G28" s="183" t="n"/>
    </row>
    <row r="29">
      <c r="B29" s="61" t="n"/>
      <c r="C29" s="39" t="n"/>
      <c r="D29" s="39" t="n"/>
      <c r="E29" s="39" t="n"/>
      <c r="F29" s="182" t="n"/>
      <c r="G29" s="183" t="n"/>
    </row>
    <row r="30">
      <c r="B30" s="61" t="n"/>
      <c r="C30" s="39" t="n"/>
      <c r="D30" s="39" t="n"/>
      <c r="E30" s="39" t="n"/>
      <c r="F30" s="182" t="n"/>
      <c r="G30" s="183" t="n"/>
    </row>
    <row r="31">
      <c r="B31" s="61" t="n"/>
      <c r="C31" s="39" t="n"/>
      <c r="D31" s="39" t="n"/>
      <c r="E31" s="39" t="n"/>
      <c r="F31" s="182" t="n"/>
      <c r="G31" s="183" t="n"/>
    </row>
    <row r="32">
      <c r="B32" s="60" t="n"/>
      <c r="C32" s="38" t="n"/>
      <c r="D32" s="38" t="n"/>
      <c r="E32" s="38" t="n"/>
      <c r="F32" s="180" t="n"/>
      <c r="G32" s="181" t="n"/>
    </row>
    <row r="33">
      <c r="B33" s="61" t="n"/>
      <c r="C33" s="39" t="n"/>
      <c r="D33" s="39" t="n"/>
      <c r="E33" s="39" t="n"/>
      <c r="F33" s="182" t="n"/>
      <c r="G33" s="183" t="n"/>
    </row>
    <row r="34">
      <c r="B34" s="61" t="n"/>
      <c r="C34" s="39" t="n"/>
      <c r="D34" s="39" t="n"/>
      <c r="E34" s="39" t="n"/>
      <c r="F34" s="182" t="n"/>
      <c r="G34" s="183" t="n"/>
    </row>
    <row r="35">
      <c r="B35" s="61" t="n"/>
      <c r="C35" s="39" t="n"/>
      <c r="D35" s="39" t="n"/>
      <c r="E35" s="39" t="n"/>
      <c r="F35" s="182" t="n"/>
      <c r="G35" s="183" t="n"/>
    </row>
    <row r="36">
      <c r="B36" s="61" t="n"/>
      <c r="C36" s="39" t="n"/>
      <c r="D36" s="39" t="n"/>
      <c r="E36" s="39" t="n"/>
      <c r="F36" s="182" t="n"/>
      <c r="G36" s="183" t="n"/>
    </row>
    <row r="37">
      <c r="B37" s="61" t="n"/>
      <c r="C37" s="39" t="n"/>
      <c r="D37" s="39" t="n"/>
      <c r="E37" s="39" t="n"/>
      <c r="F37" s="182" t="n"/>
      <c r="G37" s="183" t="n"/>
    </row>
    <row r="38">
      <c r="B38" s="61" t="n"/>
      <c r="C38" s="39" t="n"/>
      <c r="D38" s="39" t="n"/>
      <c r="E38" s="39" t="n"/>
      <c r="F38" s="182" t="n"/>
      <c r="G38" s="183" t="n"/>
    </row>
    <row r="39">
      <c r="B39" s="60" t="n"/>
      <c r="C39" s="38" t="n"/>
      <c r="D39" s="38" t="n"/>
      <c r="E39" s="38" t="n"/>
      <c r="F39" s="180" t="n"/>
      <c r="G39" s="181" t="n"/>
    </row>
    <row r="40">
      <c r="B40" s="61" t="n"/>
      <c r="C40" s="39" t="n"/>
      <c r="D40" s="39" t="n"/>
      <c r="E40" s="39" t="n"/>
      <c r="F40" s="182" t="n"/>
      <c r="G40" s="183" t="n"/>
    </row>
    <row r="41">
      <c r="B41" s="61" t="n"/>
      <c r="C41" s="39" t="n"/>
      <c r="D41" s="39" t="n"/>
      <c r="E41" s="39" t="n"/>
      <c r="F41" s="182" t="n"/>
      <c r="G41" s="183" t="n"/>
    </row>
    <row r="42">
      <c r="B42" s="61" t="n"/>
      <c r="C42" s="39" t="n"/>
      <c r="D42" s="39" t="n"/>
      <c r="E42" s="39" t="n"/>
      <c r="F42" s="182" t="n"/>
      <c r="G42" s="183" t="n"/>
    </row>
    <row r="43">
      <c r="B43" s="61" t="n"/>
      <c r="C43" s="39" t="n"/>
      <c r="D43" s="39" t="n"/>
      <c r="E43" s="39" t="n"/>
      <c r="F43" s="182" t="n"/>
      <c r="G43" s="183" t="n"/>
    </row>
    <row r="44" ht="16" customHeight="1" thickBot="1">
      <c r="B44" s="62" t="n"/>
      <c r="C44" s="49" t="n"/>
      <c r="D44" s="49" t="n"/>
      <c r="E44" s="49" t="n"/>
      <c r="F44" s="184" t="n"/>
      <c r="G44" s="185" t="n"/>
    </row>
  </sheetData>
  <mergeCells count="1">
    <mergeCell ref="B2:G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bestinet</dc:creator>
  <dcterms:created xmlns:dcterms="http://purl.org/dc/terms/" xmlns:xsi="http://www.w3.org/2001/XMLSchema-instance" xsi:type="dcterms:W3CDTF">2017-10-31T03:53:43Z</dcterms:created>
  <dcterms:modified xmlns:dcterms="http://purl.org/dc/terms/" xmlns:xsi="http://www.w3.org/2001/XMLSchema-instance" xsi:type="dcterms:W3CDTF">2026-07-18T13:40:29Z</dcterms:modified>
  <cp:lastModifiedBy>SYAMIL BIN ABDUL SAMAT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0x010100D5AB0CD1DD65FF45ACCBA0C60D1867E8</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