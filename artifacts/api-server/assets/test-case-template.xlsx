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syamilabdulsamat/Desktop/flask-playwright-demo/test-case/"/>
    </mc:Choice>
  </mc:AlternateContent>
  <xr:revisionPtr revIDLastSave="0" documentId="13_ncr:1_{555FA122-1294-5D43-8FDC-8DDD0E00B2FC}" xr6:coauthVersionLast="47" xr6:coauthVersionMax="47" xr10:uidLastSave="{00000000-0000-0000-0000-000000000000}"/>
  <bookViews>
    <workbookView xWindow="4420" yWindow="880" windowWidth="31580" windowHeight="21120" tabRatio="713" activeTab="3" xr2:uid="{01A690A9-14C5-40FC-A7C5-3CCF81F623E0}"/>
  </bookViews>
  <sheets>
    <sheet name="Doc Info" sheetId="5" r:id="rId1"/>
    <sheet name="#21362" sheetId="7" state="hidden" r:id="rId2"/>
    <sheet name="Review Log" sheetId="1" r:id="rId3"/>
    <sheet name="Test Step" sheetId="44" r:id="rId4"/>
    <sheet name="Review &amp; Rework Effort" sheetId="2" r:id="rId5"/>
    <sheet name="Pareto Analysis" sheetId="3" r:id="rId6"/>
    <sheet name="CAPA" sheetId="4" r:id="rId7"/>
  </sheets>
  <definedNames>
    <definedName name="_xlnm._FilterDatabase" localSheetId="3" hidden="1">'Test Step'!$A$1:$M$1</definedName>
    <definedName name="_xlnm.Print_Area" localSheetId="5">'Pareto Analysis'!$A$1:$G$47</definedName>
    <definedName name="_xlnm.Print_Titles" localSheetId="5">'Pareto Analysis'!$1:$2</definedName>
    <definedName name="valuevx">42.314159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7" i="3" l="1"/>
  <c r="E47" i="3"/>
  <c r="B47" i="3"/>
  <c r="K46" i="3"/>
  <c r="E46" i="3"/>
  <c r="B46" i="3"/>
  <c r="K45" i="3"/>
  <c r="E45" i="3"/>
  <c r="I46" i="3" s="1"/>
  <c r="J46" i="3" s="1"/>
  <c r="B45" i="3"/>
  <c r="K44" i="3"/>
  <c r="E44" i="3"/>
  <c r="I45" i="3" s="1"/>
  <c r="J45" i="3" s="1"/>
  <c r="B44" i="3"/>
  <c r="K43" i="3"/>
  <c r="E43" i="3"/>
  <c r="B43" i="3"/>
  <c r="K42" i="3"/>
  <c r="E42" i="3"/>
  <c r="B42" i="3"/>
  <c r="K41" i="3"/>
  <c r="E41" i="3"/>
  <c r="I42" i="3" s="1"/>
  <c r="J42" i="3" s="1"/>
  <c r="B41" i="3"/>
  <c r="K40" i="3"/>
  <c r="E40" i="3"/>
  <c r="I41" i="3" s="1"/>
  <c r="J41" i="3" s="1"/>
  <c r="B40" i="3"/>
  <c r="K39" i="3"/>
  <c r="E39" i="3"/>
  <c r="B39" i="3"/>
  <c r="K38" i="3"/>
  <c r="E38" i="3"/>
  <c r="B38" i="3"/>
  <c r="K37" i="3"/>
  <c r="E37" i="3"/>
  <c r="I38" i="3" s="1"/>
  <c r="J38" i="3" s="1"/>
  <c r="B37" i="3"/>
  <c r="K36" i="3"/>
  <c r="E36" i="3"/>
  <c r="I37" i="3" s="1"/>
  <c r="J37" i="3" s="1"/>
  <c r="B36" i="3"/>
  <c r="K35" i="3"/>
  <c r="E35" i="3"/>
  <c r="B35" i="3"/>
  <c r="K34" i="3"/>
  <c r="E34" i="3"/>
  <c r="B34" i="3"/>
  <c r="K33" i="3"/>
  <c r="E33" i="3"/>
  <c r="I34" i="3" s="1"/>
  <c r="J34" i="3" s="1"/>
  <c r="B33" i="3"/>
  <c r="I33" i="3" s="1"/>
  <c r="J33" i="3" s="1"/>
  <c r="I44" i="3" l="1"/>
  <c r="J44" i="3" s="1"/>
  <c r="I47" i="3"/>
  <c r="J47" i="3" s="1"/>
  <c r="I35" i="3"/>
  <c r="J35" i="3" s="1"/>
  <c r="I40" i="3"/>
  <c r="J40" i="3" s="1"/>
  <c r="I43" i="3"/>
  <c r="J43" i="3" s="1"/>
  <c r="I36" i="3"/>
  <c r="J36" i="3" s="1"/>
  <c r="I39" i="3"/>
  <c r="J39" i="3" s="1"/>
  <c r="D28"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bestinet</author>
  </authors>
  <commentList>
    <comment ref="C4" authorId="0" shapeId="0" xr:uid="{1A769D5A-E0C1-45E4-A000-8CC955D4EA5E}">
      <text>
        <r>
          <rPr>
            <b/>
            <sz val="9"/>
            <color indexed="81"/>
            <rFont val="Tahoma"/>
            <family val="2"/>
          </rPr>
          <t>bestinet:</t>
        </r>
        <r>
          <rPr>
            <sz val="9"/>
            <color indexed="81"/>
            <rFont val="Tahoma"/>
            <family val="2"/>
          </rPr>
          <t xml:space="preserve">
Mention as number "1st, 2nd or 3rd" review cycle, depending on the number of times document OR code/module was reviewed</t>
        </r>
      </text>
    </comment>
    <comment ref="D4" authorId="0" shapeId="0" xr:uid="{6D490DE3-B8FE-49AE-9C1B-A15074127D72}">
      <text>
        <r>
          <rPr>
            <b/>
            <sz val="9"/>
            <color indexed="81"/>
            <rFont val="Tahoma"/>
            <family val="2"/>
          </rPr>
          <t>bestinet:</t>
        </r>
        <r>
          <rPr>
            <sz val="9"/>
            <color indexed="81"/>
            <rFont val="Tahoma"/>
            <family val="2"/>
          </rPr>
          <t xml:space="preserve">
Version number of the document OR code/module reviewed</t>
        </r>
      </text>
    </comment>
    <comment ref="E4" authorId="0" shapeId="0" xr:uid="{AF427048-C2C1-47AA-A239-1BA492319759}">
      <text>
        <r>
          <rPr>
            <b/>
            <sz val="9"/>
            <color indexed="81"/>
            <rFont val="Tahoma"/>
            <family val="2"/>
          </rPr>
          <t>bestinet:</t>
        </r>
        <r>
          <rPr>
            <sz val="9"/>
            <color indexed="81"/>
            <rFont val="Tahoma"/>
            <family val="2"/>
          </rPr>
          <t xml:space="preserve">
Comment entry date</t>
        </r>
      </text>
    </comment>
    <comment ref="F4" authorId="0" shapeId="0" xr:uid="{0DC84F15-5108-4527-9516-E8AB10404A12}">
      <text>
        <r>
          <rPr>
            <b/>
            <sz val="9"/>
            <color indexed="81"/>
            <rFont val="Tahoma"/>
            <family val="2"/>
          </rPr>
          <t>bestinet:</t>
        </r>
        <r>
          <rPr>
            <sz val="9"/>
            <color indexed="81"/>
            <rFont val="Tahoma"/>
            <family val="2"/>
          </rPr>
          <t xml:space="preserve">
If more than one reviewer but review comment is same by both/multiple reviewers then mention one comment and mention name of reviewers together </t>
        </r>
      </text>
    </comment>
    <comment ref="G4" authorId="0" shapeId="0" xr:uid="{F79F8E80-0CA1-4605-8CE7-B97264C022CE}">
      <text>
        <r>
          <rPr>
            <b/>
            <sz val="9"/>
            <color indexed="81"/>
            <rFont val="Tahoma"/>
            <family val="2"/>
          </rPr>
          <t>bestinet:</t>
        </r>
        <r>
          <rPr>
            <sz val="9"/>
            <color indexed="81"/>
            <rFont val="Tahoma"/>
            <family val="2"/>
          </rPr>
          <t xml:space="preserve">
Total number of pages or code lines reviewed</t>
        </r>
      </text>
    </comment>
    <comment ref="I4" authorId="0" shapeId="0" xr:uid="{265C4F03-2E1E-4255-B77A-F6C05FE3CEF7}">
      <text>
        <r>
          <rPr>
            <b/>
            <sz val="9"/>
            <color indexed="81"/>
            <rFont val="Tahoma"/>
            <family val="2"/>
          </rPr>
          <t>bestinet:</t>
        </r>
        <r>
          <rPr>
            <sz val="9"/>
            <color indexed="81"/>
            <rFont val="Tahoma"/>
            <family val="2"/>
          </rPr>
          <t xml:space="preserve">
Mention page, section number, line number where the comment was found</t>
        </r>
      </text>
    </comment>
    <comment ref="K4" authorId="0" shapeId="0" xr:uid="{4E0BD462-EE55-4FE5-B767-3CD79511EB0B}">
      <text>
        <r>
          <rPr>
            <b/>
            <sz val="9"/>
            <color indexed="81"/>
            <rFont val="Tahoma"/>
            <family val="2"/>
          </rPr>
          <t>bestinet:</t>
        </r>
        <r>
          <rPr>
            <sz val="9"/>
            <color indexed="81"/>
            <rFont val="Tahoma"/>
            <family val="2"/>
          </rPr>
          <t xml:space="preserve">
Select severity of the comment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bestinet</author>
  </authors>
  <commentList>
    <comment ref="C4" authorId="0" shapeId="0" xr:uid="{E8AF6F9B-04A8-4AEC-B274-2D5FB7BC5B41}">
      <text>
        <r>
          <rPr>
            <b/>
            <sz val="9"/>
            <color indexed="81"/>
            <rFont val="Tahoma"/>
            <family val="2"/>
          </rPr>
          <t>bestinet:</t>
        </r>
        <r>
          <rPr>
            <sz val="9"/>
            <color indexed="81"/>
            <rFont val="Tahoma"/>
            <family val="2"/>
          </rPr>
          <t xml:space="preserve">
Mention as number "1st, 2nd or 3rd" review cycle, depending on the number of times document OR code/module was reviewed</t>
        </r>
      </text>
    </comment>
    <comment ref="E4" authorId="0" shapeId="0" xr:uid="{D48F8829-41A4-4B66-86DC-9738BDE8AE2F}">
      <text>
        <r>
          <rPr>
            <b/>
            <sz val="9"/>
            <color indexed="81"/>
            <rFont val="Tahoma"/>
            <family val="2"/>
          </rPr>
          <t>bestinet:</t>
        </r>
        <r>
          <rPr>
            <sz val="9"/>
            <color indexed="81"/>
            <rFont val="Tahoma"/>
            <family val="2"/>
          </rPr>
          <t xml:space="preserve">
Time taken by the reviewers (if multiple reviewers sum all reviewers effort) to review the document / code in each review cycle</t>
        </r>
      </text>
    </comment>
    <comment ref="F4" authorId="0" shapeId="0" xr:uid="{71B31A3C-AE75-4B90-BB44-455983F271B8}">
      <text>
        <r>
          <rPr>
            <b/>
            <sz val="9"/>
            <color indexed="81"/>
            <rFont val="Tahoma"/>
            <family val="2"/>
          </rPr>
          <t>bestinet:</t>
        </r>
        <r>
          <rPr>
            <sz val="9"/>
            <color indexed="81"/>
            <rFont val="Tahoma"/>
            <family val="2"/>
          </rPr>
          <t xml:space="preserve">
Time taken by the authors (if multiple authors sum all authors effort) to close/fix the review comments on the document / code in each review cycle</t>
        </r>
      </text>
    </comment>
  </commentList>
</comments>
</file>

<file path=xl/sharedStrings.xml><?xml version="1.0" encoding="utf-8"?>
<sst xmlns="http://schemas.openxmlformats.org/spreadsheetml/2006/main" count="798" uniqueCount="639">
  <si>
    <t>Review</t>
  </si>
  <si>
    <t>Review Log</t>
  </si>
  <si>
    <t>Ref. No.: BSB-QA-FWCMS-153-CRD-V1.0</t>
  </si>
  <si>
    <t>Project Name</t>
  </si>
  <si>
    <t>FWCMS IDM - #32484 - IDM - Audit Finding</t>
  </si>
  <si>
    <t>Document Information</t>
  </si>
  <si>
    <t>Sl #</t>
  </si>
  <si>
    <t>Date</t>
  </si>
  <si>
    <t>Updated By</t>
  </si>
  <si>
    <t xml:space="preserve">Update Summary </t>
  </si>
  <si>
    <t>Reviewed By</t>
  </si>
  <si>
    <t>Reviewed Date</t>
  </si>
  <si>
    <t>Taqinah</t>
  </si>
  <si>
    <t>Draft TC</t>
  </si>
  <si>
    <t>Syamil</t>
  </si>
  <si>
    <t>Raimi</t>
  </si>
  <si>
    <t>Final Test Cases</t>
  </si>
  <si>
    <t>Case ID</t>
  </si>
  <si>
    <t>Redmine User Story</t>
  </si>
  <si>
    <t>Scenario</t>
  </si>
  <si>
    <t>Pre Condition</t>
  </si>
  <si>
    <t>Case</t>
  </si>
  <si>
    <t>Steps</t>
  </si>
  <si>
    <t>Expected Result</t>
  </si>
  <si>
    <t>Result</t>
  </si>
  <si>
    <t>Redmine Defect</t>
  </si>
  <si>
    <t>Additional/Comments/Issues</t>
  </si>
  <si>
    <t>Pass</t>
  </si>
  <si>
    <t>Fail</t>
  </si>
  <si>
    <t>EMPLOYER</t>
  </si>
  <si>
    <t>TC.KP.001</t>
  </si>
  <si>
    <t>[Menu] To verify new Label for Menu KP Approval</t>
  </si>
  <si>
    <t>Verify label KP Approval change to FWe Approval</t>
  </si>
  <si>
    <t>1) Login as Employer
2) Click to Menu FWe Approval</t>
  </si>
  <si>
    <t>Displayed Label as FWe Approval</t>
  </si>
  <si>
    <t>TC.KP.002</t>
  </si>
  <si>
    <t>Verify Sub Menu Apply KP Approval  change to Apply FWe Approval</t>
  </si>
  <si>
    <t>1) Login as Employer
2) Click to Menu FWe Approval
3) Submenu Apply FWe Approval will be appear</t>
  </si>
  <si>
    <t>Displayed Label as Apply FWe Approval</t>
  </si>
  <si>
    <t>TC.KP.003</t>
  </si>
  <si>
    <t>Verify Sub Menu KP Approval List  change to FWe Application List</t>
  </si>
  <si>
    <t>1) Login as Employer
2) Click to Menu FWe Approval
3) Submenu FWe Application List will be appear</t>
  </si>
  <si>
    <t xml:space="preserve">Displayed Label as FWe Application List </t>
  </si>
  <si>
    <t>TC.KP.004</t>
  </si>
  <si>
    <t>NIL</t>
  </si>
  <si>
    <t xml:space="preserve">[Application Information Type Tab] To verify default Application Type field </t>
  </si>
  <si>
    <t>Verify Application Type default to Foreign Worker</t>
  </si>
  <si>
    <t xml:space="preserve">1) Login as Employer
2) Click to Sub Menu Apply FWe Approval
3) Verify default application Type </t>
  </si>
  <si>
    <t>Foreign Worker will be displayed as default.</t>
  </si>
  <si>
    <t>TC.KP.005</t>
  </si>
  <si>
    <t>Verify Sector / Sub - sector link with Agency:
Sector - Construction
Sub Sector - Construction
Agency - CIDB</t>
  </si>
  <si>
    <t>1) Login as Employer
2) Click to Sub Menu Apply FWe Approval
3) Verify default application Type 
4) Select Sector Construction
5) Verify Sub Sector &amp; Agency</t>
  </si>
  <si>
    <t>Displayed Sector - Construction
Sub Sector - Construction
Agency - CIDB</t>
  </si>
  <si>
    <t>TC.KP.006</t>
  </si>
  <si>
    <t>Verify Sector / Sub - sector link with Agency:
Sector - Plantation
Sub Sector - Plantation
Agency - MPIC</t>
  </si>
  <si>
    <t>1) Login as Employer
2) Click to Sub Menu Apply FWe Approval
3) Verify default application Type 
4) Select Sector Palntation
5) Verify Sub Sector &amp; Agency</t>
  </si>
  <si>
    <t>Displayed Sector - Plantation
Sub Sector - Plantation
Agency - MPIC</t>
  </si>
  <si>
    <t>TC.KP.007</t>
  </si>
  <si>
    <t>Verify Sector / Sub - sector link with Agency:
Sector - Agricultural
Sub Sector - Crops
Agency - MAFI</t>
  </si>
  <si>
    <t>1) Login as Employer
2) Click to Sub Menu Apply FWe Approval
3) Verify default application Type 
4) Select Sector Agricultural
5) Verify Sub Sector &amp; Agency</t>
  </si>
  <si>
    <t>Displayed Sector - Agricultural
Sub Sector - Crops
Agency - MAFI</t>
  </si>
  <si>
    <t>TC.KP.008</t>
  </si>
  <si>
    <t>Verify Sector / Sub - sector link with Agency:
Sector - Agricultural
Sub Sector - Livestock
Agency - MAFI</t>
  </si>
  <si>
    <t>Displayed Sector - Agricultural
Sub Sector - Livestock
Agency - MAFI</t>
  </si>
  <si>
    <t>TC.KP.009</t>
  </si>
  <si>
    <t>Verify Sector / Sub - sector link with Agency:
Sector - Agricultural
Sub Sector - Slaughterhouse
Agency - MAFI</t>
  </si>
  <si>
    <t>Displayed Sector - Agricultural
Sub Sector - Slaughterhouse
Agency - MAFI</t>
  </si>
  <si>
    <t>TC.KP.010</t>
  </si>
  <si>
    <t>Verify Sector / Sub - sector link with Agency:
Sector - Agricultural
Sub Sector - Aquaculture
Agency - MAFI</t>
  </si>
  <si>
    <t>Displayed Sector - Agricultural
Sub Sector - Aquaculture
Agency - MAFI</t>
  </si>
  <si>
    <t>TC.KP.011</t>
  </si>
  <si>
    <t>Verify Sector / Sub - sector link with Agency:
Sector - Services
Sub Sector - Hotel
Agency - MOTAC</t>
  </si>
  <si>
    <t>1) Login as Employer
2) Click to Sub Menu Apply FWe Approval
3) Verify default application Type 
4) Select Sector Services
5) Verify Sub Sector &amp; Agency</t>
  </si>
  <si>
    <t>Displayed Sector - Services
Sub Sector - Hotel
Agency - MOTAC</t>
  </si>
  <si>
    <t>TC.KP.012</t>
  </si>
  <si>
    <t>Verify Sector / Sub - sector link with Agency:
Sector - Services
Sub Sector - Spa
Agency - MOTAC</t>
  </si>
  <si>
    <t>Displayed Sector - Services
Sub Sector - Spa
Agency - MOTAC</t>
  </si>
  <si>
    <t>TC.KP.013</t>
  </si>
  <si>
    <t>Verify Sector / Sub - sector link with Agency:
Sector - Services
Sub Sector - Golf
Agency - MOTAC</t>
  </si>
  <si>
    <t>Displayed Sector - Services
Sub Sector - Golf
Agency - MOTAC</t>
  </si>
  <si>
    <t>TC.KP.014</t>
  </si>
  <si>
    <t>Verify Sector / Sub - sector link with Agency:
Sector - Services
Sub Sector - Island Resort
Agency - MOTAC</t>
  </si>
  <si>
    <t>Displayed Services
Sub Sector - Island Resort
Agency - MOTAC</t>
  </si>
  <si>
    <t>TC.KP.015</t>
  </si>
  <si>
    <t>Verify Sector / Sub - sector link with Agency:
Sector - Services
Sub Sector - Foot Massage
Agency - MOTAC</t>
  </si>
  <si>
    <t>Displayed Services
Sub Sector - Foot Massage
Agency - MOTAC</t>
  </si>
  <si>
    <t>TC.KP.016</t>
  </si>
  <si>
    <t>Verify Sector / Sub - sector link with Agency:
Sector - Services
Sub Sector - Restaurant
Agency - KPDNHEP</t>
  </si>
  <si>
    <t>Displayed Services
Sub Sector - Restaurant
Agency - KPDNHEP</t>
  </si>
  <si>
    <t>TC.KP.017</t>
  </si>
  <si>
    <t>Verify Sector / Sub - sector link with Agency:
Sector - Services
Sub Sector - Wholesale &amp; Retail
Agency - KPDNHEP</t>
  </si>
  <si>
    <t>Displayed  Services
Sub Sector - Wholesale &amp; Retail
Agency - KPDNHEP</t>
  </si>
  <si>
    <t>TC.KP.018</t>
  </si>
  <si>
    <t>Verify Sector / Sub - sector link with Agency:
Sector - Services
Sub Sector - Cargo Handling in the port
Agency - MOT</t>
  </si>
  <si>
    <t>Displayed Sector - Services
Sub Sector - Cargo Handling in the port
Agency - MOT</t>
  </si>
  <si>
    <t>TC.KP.019</t>
  </si>
  <si>
    <t>Verify Sector / Sub - sector link with Agency:
Sector - Services
Sub Sector - Cargo Handling at the airport
Agency - MOT</t>
  </si>
  <si>
    <t>Displayed Sector - Services
Sub Sector - Cargo Handling at the airport
Agency - MOT</t>
  </si>
  <si>
    <t>TC.KP.020</t>
  </si>
  <si>
    <t>Verify Sector / Sub - sector link with Agency:
Sector - Services
Sub Sector - Baggage Handling at the airport
Agency - MOT</t>
  </si>
  <si>
    <t>Displayed Services
Sub Sector - Baggage Handling at the airport
Agency - MOT</t>
  </si>
  <si>
    <t>TC.KP.021</t>
  </si>
  <si>
    <t>Verify Sector / Sub - sector link with Agency:
Sector - Services
Sub Sector - Inland Warehouse
Agency - MOT</t>
  </si>
  <si>
    <t>Displayed Sector - Services
Sub Sector - Inland Warehouse
Agency - MOT</t>
  </si>
  <si>
    <t>TC.KP.022</t>
  </si>
  <si>
    <t>Verify Sector / Sub - sector link with Agency:
Sector - Mining &amp; Quarrying
Sub Sector - Mining
Agency - KETSA</t>
  </si>
  <si>
    <t>1) Login as Employer
2) Click to Sub Menu Apply FWe Approval
3) Verify default application Type 
4) Select Sector Mining &amp; Quarrying
5) Verify Sub Sector &amp; Agency</t>
  </si>
  <si>
    <t>Displayed Sector - Mining &amp; Quarrying
Sub Sector - Mining
Agency - KETSA</t>
  </si>
  <si>
    <t>TC.KP.023</t>
  </si>
  <si>
    <t>Verify Sector / Sub - sector link with Agency:
Sector - Mining &amp; Quarrying
Sub Sector - Quarrying
Agency - KETSA</t>
  </si>
  <si>
    <t>Displayed Sector - Mining &amp; Quarrying
Sub Sector - Quarrying
Agency - KETSA</t>
  </si>
  <si>
    <t>TC.KP.024</t>
  </si>
  <si>
    <t>Checking Employer Blacklist with Immigration System (MyIMMs) [Pre-condition: Need to have user which already blacklist]</t>
  </si>
  <si>
    <t>1) Login as Employer
2) Click to Sub Menu Apply FWe Approval</t>
  </si>
  <si>
    <t>Displayed message Employer need to check with MYIMMS</t>
  </si>
  <si>
    <t>TBC with BA/DEV</t>
  </si>
  <si>
    <t>TC.KP.025</t>
  </si>
  <si>
    <t>[MyFuture Jobs Tab] To verify Job Advertisement URL Link</t>
  </si>
  <si>
    <t>To verify able to enter Job Advertisement URL Link</t>
  </si>
  <si>
    <t>1) Login as Employer
2) Click to Sub Menu Apply FWe Approval
3) insert all data
4) click  submit 
5) MyFutureJobs Information  screen will be diplayed
6) Enter Job Advertisement URL Link</t>
  </si>
  <si>
    <t>Successfully enter Job Advertisement URL Link</t>
  </si>
  <si>
    <t>TC.KP.026</t>
  </si>
  <si>
    <t>[MyFuture Jobs Tab] To verify Job title field</t>
  </si>
  <si>
    <t>To verify able to enter Job Title</t>
  </si>
  <si>
    <t>1) Login as Employer
2) Click to Sub Menu Apply FWe Approval
3) insert all data
4) click  submit 
5) MyFutureJobs Information  screen will be diplayed
6) enter Job Title field</t>
  </si>
  <si>
    <t xml:space="preserve">Successfully enter Job Title </t>
  </si>
  <si>
    <t>TC.KP.027</t>
  </si>
  <si>
    <t>[MyJobs Information] To verify remove ESCO Code field</t>
  </si>
  <si>
    <t>To verify ESCO Code field is removed</t>
  </si>
  <si>
    <t xml:space="preserve">1) Login as Employer
2) Click to Sub Menu Apply FWe Approval
3) insert all data
4) click  submit 
5) MyFutureJobs Information  screen will be diplayed with 
 -Job Advertisement URL Link field
 -Job title field
 - Hiring outcome report 
</t>
  </si>
  <si>
    <t>ESCO Code field is removed</t>
  </si>
  <si>
    <t>TC.KP.028</t>
  </si>
  <si>
    <t>[MyFuture Jobs Tab] To verify upload document field at hiring outcome report field</t>
  </si>
  <si>
    <t>To upload 1 MB file type GIf</t>
  </si>
  <si>
    <t xml:space="preserve">1) Login as Employer
2) Click to Sub Menu Apply FWe Approval
3) insert all data
4) click  submit 
5) MyFutureJobs Information will be diplayed
6) Select file at field Hiring outcome Report  </t>
  </si>
  <si>
    <t xml:space="preserve">Succesfully upload 1MB file type GIF </t>
  </si>
  <si>
    <t>TC.KP.029</t>
  </si>
  <si>
    <t>To upload 1 MB file type Jpeg</t>
  </si>
  <si>
    <t xml:space="preserve">Succesfully upload 1MB file type Jpeg </t>
  </si>
  <si>
    <t>TC.KP.030</t>
  </si>
  <si>
    <t>To upload 1 MB file type PNG</t>
  </si>
  <si>
    <t>Succesfully upload 1MB file type PNG</t>
  </si>
  <si>
    <t>TC.KP.031</t>
  </si>
  <si>
    <t>To upload 1 MB file type PDF</t>
  </si>
  <si>
    <t xml:space="preserve">Succesfully upload 1MB file type PDF </t>
  </si>
  <si>
    <t>TC.KP.032</t>
  </si>
  <si>
    <t>To upload more than  1 MB file type GIf</t>
  </si>
  <si>
    <t xml:space="preserve">File unable to upload </t>
  </si>
  <si>
    <t>TC.KP.033</t>
  </si>
  <si>
    <t>To upload more than  1 MB file type Jpeg</t>
  </si>
  <si>
    <t>TC.KP.034</t>
  </si>
  <si>
    <t>To upload more than  1 MB file type PNG</t>
  </si>
  <si>
    <t>TC.KP.035</t>
  </si>
  <si>
    <t>To upload more than  1 MB file type PDF</t>
  </si>
  <si>
    <t>TC.KP.036</t>
  </si>
  <si>
    <t>To upload  less than  1 MB file type GIf</t>
  </si>
  <si>
    <t xml:space="preserve">Succesfully upload  file type GIF </t>
  </si>
  <si>
    <t>TC.KP.037</t>
  </si>
  <si>
    <t>To upload  less than  1 MB file type Jpeg</t>
  </si>
  <si>
    <t xml:space="preserve">Succesfully upload file type Jpeg </t>
  </si>
  <si>
    <t>TC.KP.038</t>
  </si>
  <si>
    <t>To upload  less than  1 MB file type PNG</t>
  </si>
  <si>
    <t>Succesfully upload file type PNG</t>
  </si>
  <si>
    <t>TC.KP.039</t>
  </si>
  <si>
    <t>To upload  less than  1 MB file type PDF</t>
  </si>
  <si>
    <t xml:space="preserve">Succesfully upload file type PDF </t>
  </si>
  <si>
    <t>TC.KP.040</t>
  </si>
  <si>
    <t>[MyFuture Jobs Tab] To test change button at hiring outcome report field</t>
  </si>
  <si>
    <t>To verify able to change file</t>
  </si>
  <si>
    <t xml:space="preserve">1) Login as Employer
2) Click to Sub Menu Apply FWe Approval
3) insert all data
4) click  submit 
5) MyFutureJobs Information will be diplayed
6) Select file at field Hiring outcome Report  
7) choose file and then click on change button 
8) change file </t>
  </si>
  <si>
    <t xml:space="preserve">File will be change </t>
  </si>
  <si>
    <t>TC.KP.041</t>
  </si>
  <si>
    <t>[MyFuture Jobs Tab] To test remove button at hiring outcome report field</t>
  </si>
  <si>
    <t>To verify able to remove file</t>
  </si>
  <si>
    <t xml:space="preserve">1) Login as Employer
2) Click to Sub Menu Apply FWe Approval
3) insert all data
4) click  submit 
5) MyFutureJobs Information will be diplayed
6) Select file at field Hiring outcome Report  
7) choose file and then click on remove button </t>
  </si>
  <si>
    <t>File will be removed</t>
  </si>
  <si>
    <t>TC.KP.042</t>
  </si>
  <si>
    <t>[MyFuture Jobs Tab] To verify Able to edit / upload fields that is marked failed by SOCSO and resubmit</t>
  </si>
  <si>
    <t>To verify able to edit Job Advertisement URL Link [Pre-condition: SOCSO to returned application]</t>
  </si>
  <si>
    <t xml:space="preserve">1) Login as Employer
2) Click to Sub Menu FWe Approval List
3) Click at Application which in Returned Status
4) Edit data at Job Advertisment URL Link
5) click  submit 
</t>
  </si>
  <si>
    <t>Able to edit Job Advertisement URL Link fields that is marked failed by SOCSO and resubmit</t>
  </si>
  <si>
    <t>TC.KP.043</t>
  </si>
  <si>
    <t>To verify able to edit Job Title [Pre-condition: SOCSO to returned application]</t>
  </si>
  <si>
    <t xml:space="preserve">1) Login as Employer
2) Click to Sub Menu FWe Approval List
3) Click at Application which in Returned Status
4) Edit data at Job Title
5) click  submit 
</t>
  </si>
  <si>
    <t>Able to edit Job Title fields that is marked failed by SOCSO and resubmit</t>
  </si>
  <si>
    <t>TC.KP.044</t>
  </si>
  <si>
    <t>To verify able to upload file at Hiring Outcome Report [Pre-condition: SOCSO to returned application]</t>
  </si>
  <si>
    <t xml:space="preserve">1) Login as Employer
2) Click to Sub Menu FWe Approval List
3) Click at Application which in Returned Status
4) Upload new file at Hiring Outcome Report
5) click  submit 
</t>
  </si>
  <si>
    <t>Able to upload file at Hiring Outcome Report fields that is marked failed by SOCSO and resubmit</t>
  </si>
  <si>
    <t>TC.KP.045</t>
  </si>
  <si>
    <t>21400
21408</t>
  </si>
  <si>
    <t>[Company Information] To check the rules of Place of Work (POW)</t>
  </si>
  <si>
    <t>To populate Remarks (Alamat Permohonan) above the Selection of Place of Work based on selection of Place of Work</t>
  </si>
  <si>
    <t>1) Login as Employer
2) Click to Sub Menu Apply FWe Approval
3) insert all data
4) Click  submit 
5) Company Information screen will be diplayed
6) Verify Place of Work based on selection of Sector &amp; Sub Sector configuration
7) Verify Remarks above the Selection of Place of Work based on Sector / Sub Sector Selection (Refer file: ALAMAT PERMOHONAN PENGGAJIAN PA_1.12.2022_TRANSLATED)</t>
  </si>
  <si>
    <t>Display Remarks above the Selection of Place of Work based on Sector and Sub Sector Selection (Refer file: ALAMAT PERMOHONAN PENGGAJIAN PA_1.12.2022_TRANSLATED)</t>
  </si>
  <si>
    <t>TC.KP.046</t>
  </si>
  <si>
    <t>To validate selection of Place of Work:
1) New Approval Application &gt; Different POW</t>
  </si>
  <si>
    <t xml:space="preserve">1) Login as Employer
2) Click to Sub Menu Apply FWe Approval
3) Insert all data
4) Click  submit 
5) Company Information screen will be diplayed
6) System validate Place of Work is a New Approval Application with DIFFERENT POW 
</t>
  </si>
  <si>
    <t>Able to apply KP Approval</t>
  </si>
  <si>
    <t>TC.KP.047</t>
  </si>
  <si>
    <t xml:space="preserve">System to validate selection of Place of Work:
2) Had previous Approval Application &gt; Same POW, More than 90 days
</t>
  </si>
  <si>
    <t xml:space="preserve">1) Login as Employer
2) Click to Sub Menu Apply FWe Approval
3) Insert all data
4) Click  submit 
5) Company Information screen will be diplayed
6) System validate Place of Work had previous Approval Application with SAME POW + More than 90 days
</t>
  </si>
  <si>
    <t>TC.KP.048</t>
  </si>
  <si>
    <t>System to validate selection of Place of Work:
3) Had previous Approval Application &gt; Same POW, Within 90 days</t>
  </si>
  <si>
    <t xml:space="preserve">1) Login as Employer
2) Click to Sub Menu Apply FWe Approval
3) Insert all data
4) Click  submit 
5) Company Information screen will be diplayed
6) System validate Place of Work had previous Approval Application with SAME POW + Within 90 days
</t>
  </si>
  <si>
    <t>Unable to apply KP Approval</t>
  </si>
  <si>
    <t>TC.KP.049</t>
  </si>
  <si>
    <t>System to validate selection of Place of Work:
4) Draft Application</t>
  </si>
  <si>
    <t>1) Login as Employer
2) Click to Sub Menu Apply FWe Approval
3) Insert all data
4) Click  submit 
5) Company Information screen will be diplayed</t>
  </si>
  <si>
    <t>TC.KP.050</t>
  </si>
  <si>
    <t xml:space="preserve">[Supporting Document] To verify upload documents based on Sector / Sub Sector </t>
  </si>
  <si>
    <t>Upload documents based on Employer Type, Sector, Sub Sector and Job Category:
1) Sektor Perkilangan</t>
  </si>
  <si>
    <t>1) Login as Employer
2) Click to Sub Menu Apply FWe Approval
3) Insert all data
4) Click  submit 
5)Supporting Documents screen will be diplayed
6) Verify Upload files for Sektor Perkilangan [Refer file: SENARAI SEMAK_KELULUSAN KP_BA Cross Check]</t>
  </si>
  <si>
    <t>Able to upload files for Sektor Perkilangan [Refer file: SENARAI SEMAK_KELULUSAN KP_BA Cross Check]</t>
  </si>
  <si>
    <t>TC.KP.051</t>
  </si>
  <si>
    <t>Upload documents based on Employer Type, Sector, Sub Sector and Job Category:
2) Sektor Pertanian</t>
  </si>
  <si>
    <t>1) Login as Employer
2) Click to Sub Menu Apply FWe Approval
3) Insert all data
4) Click  submit 
5)Supporting Documents screen will be diplayed
6) Verify Upload files for Sektor Pertanian [Refer file: SENARAI SEMAK_KELULUSAN KP_BA Cross Check]</t>
  </si>
  <si>
    <t>Able to upload files for Sektor Pertanian [Refer file: SENARAI SEMAK_KELULUSAN KP_BA Cross Check]</t>
  </si>
  <si>
    <t>TC.KP.052</t>
  </si>
  <si>
    <t>Upload documents based on Employer Type, Sector, Sub Sector and Job Category:
3) Sektor Perladangan</t>
  </si>
  <si>
    <t>1) Login as Employer
2) Click to Sub Menu Apply FWe Approval
3) Insert all data
4) Click  submit 
5)Supporting Documents screen will be diplayed
6) Verify Upload files for Sektor Perladangan [Refer file: SENARAI SEMAK_KELULUSAN KP_BA Cross Check]</t>
  </si>
  <si>
    <t>Able to upload files for Sektor Perladangan [Refer file: SENARAI SEMAK_KELULUSAN KP_BA Cross Check]</t>
  </si>
  <si>
    <t>TC.KP.053</t>
  </si>
  <si>
    <t>Upload documents based on Employer Type, Sector, Sub Sector and Job Category:
4) Sektor Pembinaan</t>
  </si>
  <si>
    <t>1) Login as Employer
2) Click to Sub Menu Apply FWe Approval
3) Insert all data
4) Click  submit 
5)Supporting Documents screen will be diplayed
6) Verify Upload files for Sektor Pembinaan[Refer file: SENARAI SEMAK_KELULUSAN KP_BA Cross Check]</t>
  </si>
  <si>
    <t>Able to upload files for Sektor Pembinaan [Refer file: SENARAI SEMAK_KELULUSAN KP_BA Cross Check]</t>
  </si>
  <si>
    <t>TC.KP.054</t>
  </si>
  <si>
    <t>Upload documents based on Employer Type, Sector, Sub Sector and Job Category:
5) Sektor Perlombongan &amp; Pengkuarian</t>
  </si>
  <si>
    <t>1) Login as Employer
2) Click to Sub Menu Apply FWe Approval
3) Insert all data
4) Click  submit 
5)Supporting Documents screen will be diplayed
6) Verify Upload files for Sektor Perlombongan &amp; Pemgkuarian[Refer file: SENARAI SEMAK_KELULUSAN KP_BA Cross Check]</t>
  </si>
  <si>
    <t>Able to upload files for Sektor Perlombongan &amp; Pemgkuarian[Refer file: SENARAI SEMAK_KELULUSAN KP_BA Cross Check]</t>
  </si>
  <si>
    <t>TC.KP.055</t>
  </si>
  <si>
    <t>Upload documents based on Employer Type, Sector, Sub Sector and Job Category:
6) Sektor Gudang Darat</t>
  </si>
  <si>
    <t>1) Login as Employer
2) Click to Sub Menu Apply FWe Approval
3) Insert all data
4) Click  submit 
5)Supporting Documents screen will be diplayed
6) Verify Upload files for Sektor Gudang Darat[Refer file: SENARAI SEMAK_KELULUSAN KP_BA Cross Check]</t>
  </si>
  <si>
    <t>Able to upload files for Sektor Gudang Darat [Refer file: SENARAI SEMAK_KELULUSAN KP_BA Cross Check]</t>
  </si>
  <si>
    <t>TC.KP.056</t>
  </si>
  <si>
    <t>Upload documents based on Employer Type, Sector, Sub Sector and Job Category:
7) Sektor Pertanian</t>
  </si>
  <si>
    <t>1) Login as Employer
2) Click to Sub Menu Apply FWe Approval
3) Insert all data
4) Click  submit 
5)Supporting Documents screen will be diplayed
6) Verify Upload files for Sektor Prtanian  [Refer file: SENARAI SEMAK_KELULUSAN KP_BA Cross Check]</t>
  </si>
  <si>
    <t>Able to upload files for Sektor Prtanian [Refer file: SENARAI SEMAK_KELULUSAN KP_BA Cross Check]</t>
  </si>
  <si>
    <t>TC.KP.057</t>
  </si>
  <si>
    <t>Upload documents based on Employer Type, Sector, Sub Sector and Job Category:
8) Sektor Perkhidmatan - Restoran</t>
  </si>
  <si>
    <t>1) Login as Employer
2) Click to Sub Menu Apply FWe Approval
3) Insert all data
4) Click  submit 
5)Supporting Documents screen will be diplayed
6) Verify Upload files for Sektor Perkhidmatan - Restoran[Refer file: SENARAI SEMAK_KELULUSAN KP_BA Cross Check]</t>
  </si>
  <si>
    <t>Able to upload files for Sektor Perkhidmatan - Restoran[Refer file: SENARAI SEMAK_KELULUSAN KP_BA Cross Check]</t>
  </si>
  <si>
    <t>TC.KP.058</t>
  </si>
  <si>
    <t>Upload documents based on Employer Type, Sector, Sub Sector and Job Category:
9) Sektor Perkhidmatan - Kedi</t>
  </si>
  <si>
    <t>TC.KP.059</t>
  </si>
  <si>
    <t>Upload documents based on Employer Type, Sector, Sub Sector and Job Category:
10) Sektor Perkhidmatan - Hotel</t>
  </si>
  <si>
    <t>1) Login as Employer
2) Click to Sub Menu Apply FWe Approval
3) Insert all data
4) Click  submit 
5)Supporting Documents screen will be diplayed
6) Verify Upload files for Sektor Perkhidmatan - Kedi [Refer file: SENARAI SEMAK_KELULUSAN KP_BA Cross Check]</t>
  </si>
  <si>
    <t>Able to upload files for Sektor Perkhidmatan - Kedi[Refer file: SENARAI SEMAK_KELULUSAN KP_BA Cross Check]</t>
  </si>
  <si>
    <t>TC.KP.060</t>
  </si>
  <si>
    <t>Upload documents based on Employer Type, Sector, Sub Sector and Job Category:
11) Sektor Perkhidmatan - Pulau Peranginan</t>
  </si>
  <si>
    <t>1) Login as Employer
2) Click to Sub Menu Apply FWe Approval
3) Insert all data
4) Click  submit 
5)Supporting Documents screen will be diplayed
6) Verify Upload files for Sektor Perkhidmatan - Pulau Peranginan [Refer file: SENARAI SEMAK_KELULUSAN KP_BA Cross Check]</t>
  </si>
  <si>
    <t>Able to upload files for Sektor Perkhidmatan - Pulau Peranginan[Refer file: SENARAI SEMAK_KELULUSAN KP_BA Cross Check]</t>
  </si>
  <si>
    <t>TC.KP.061</t>
  </si>
  <si>
    <t>Upload documents based on Employer Type, Sector, Sub Sector and Job Category:
12) Sektor Perkhidmatan - Pembersihan &amp; Pencucian</t>
  </si>
  <si>
    <t>1) Login as Employer
2) Click to Sub Menu Apply FWe Approval
3) Insert all data
4) Click  submit 
5)Supporting Documents screen will be diplayed
6) Verify Upload files for Sektor Perkhidmatan - Pembersihan &amp; Pencucian[Refer file: SENARAI SEMAK_KELULUSAN KP_BA Cross Check]</t>
  </si>
  <si>
    <t>Able to upload files for Sektor Perkhidmatan - Pembersihan &amp; Pencucian[Refer file: SENARAI SEMAK_KELULUSAN KP_BA Cross Check]</t>
  </si>
  <si>
    <t>TC.KP.062</t>
  </si>
  <si>
    <t>Upload documents based on Employer Type, Sector, Sub Sector and Job Category:
13) Sektor Perkhidmatan - Urut Kaki</t>
  </si>
  <si>
    <t>1) Login as Employer
2) Click to Sub Menu Apply FWe Approval
3) Insert all data
4) Click  submit 
5)Supporting Documents screen will be diplayed
6) Verify Upload files for Sektor Perkhidmatan - Urut Kaki[Refer file: SENARAI SEMAK_KELULUSAN KP_BA Cross Check]</t>
  </si>
  <si>
    <t>Able to upload files for Sektor  Perkhidmatan - Urut Kaki[Refer file: SENARAI SEMAK_KELULUSAN KP_BA Cross Check]</t>
  </si>
  <si>
    <t>TC.KP.063</t>
  </si>
  <si>
    <t>Upload documents based on Employer Type, Sector, Sub Sector and Job Category:
14) Sektor Perkhidmatan - Spa</t>
  </si>
  <si>
    <t>1) Login as Employer
2) Click to Sub Menu Apply FWe Approval
3) Insert all data
4) Click  submit 
5)Supporting Documents screen will be diplayed
6) Verify Upload files for Sektor Perkhidmatan - Spa[Refer file: SENARAI SEMAK_KELULUSAN KP_BA Cross Check]</t>
  </si>
  <si>
    <t>Able to upload files for Sektor Perkhidmatan - Spa [Refer file: SENARAI SEMAK_KELULUSAN KP_BA Cross Check]</t>
  </si>
  <si>
    <t>TC.KP.064</t>
  </si>
  <si>
    <t>Upload documents based on Employer Type, Sector, Sub Sector and Job Category:
15) Sektor Perkhidmatan - Kargo</t>
  </si>
  <si>
    <t>1) Login as Employer
2) Click to Sub Menu Apply FWe Approval
3) Insert all data
4) Click  submit 
5)Supporting Documents screen will be diplayed
6) Verify Upload files for Sektor Perkhidmatan - Kargo[Refer file: SENARAI SEMAK_KELULUSAN KP_BA Cross Check]</t>
  </si>
  <si>
    <t>Able to upload files for Sektor Perkhidmatan - Kargo[Refer file: SENARAI SEMAK_KELULUSAN KP_BA Cross Check]</t>
  </si>
  <si>
    <t>TC.KP.065</t>
  </si>
  <si>
    <t>Upload documents based on Employer Type, Sector, Sub Sector and Job Category:
16) Sektor Perkhidmatan - Borong &amp; Runcit</t>
  </si>
  <si>
    <t>1) Login as Employer
2) Click to Sub Menu Apply FWe Approval
3) Insert all data
4) Click  submit 
5)Supporting Documents screen will be diplayed
6) Verify Upload files for Sektor Perkhidmatan - Borong &amp; Runcit[Refer file: SENARAI SEMAK_KELULUSAN KP_BA Cross Check]</t>
  </si>
  <si>
    <t>Able to upload files for Sektor Perkhidmatan - Borong &amp; Runcit [Refer file: SENARAI SEMAK_KELULUSAN KP_BA Cross Check]</t>
  </si>
  <si>
    <t>TC.KP.066</t>
  </si>
  <si>
    <t>Upload documents based on Employer Type, Sector, Sub Sector and Job Category:
17) Sektor Perkhidmatan - Barang Lusuh</t>
  </si>
  <si>
    <t>1) Login as Employer
2) Click to Sub Menu Apply FWe Approval
3) Insert all data
4) Click  submit 
5)Supporting Documents screen will be diplayed
6) Verify Upload files for Sektor Perkhidmatan - Barang Lusuh[Refer file: SENARAI SEMAK_KELULUSAN KP_BA Cross Check]</t>
  </si>
  <si>
    <t>Able to upload files for Sektor Perkhidmatan - Barang Lusuh[Refer file: SENARAI SEMAK_KELULUSAN KP_BA Cross Check]</t>
  </si>
  <si>
    <t>TC.KP.067</t>
  </si>
  <si>
    <t>Upload documents based on Employer Type, Sector, Sub Sector and Job Category:
18) Sektor Perkhidmatan - Dobi</t>
  </si>
  <si>
    <t>1) Login as Employer
2) Click to Sub Menu Apply FWe Approval
3) Insert all data
4) Click  submit 
5)Supporting Documents screen will be diplayed
6) Verify Upload files for Sektor Perkhidmatan - Dobi[Refer file: SENARAI SEMAK_KELULUSAN KP_BA Cross Check]</t>
  </si>
  <si>
    <t>Able to upload files for Sektor Perkhidmatan - Dobi[Refer file: SENARAI SEMAK_KELULUSAN KP_BA Cross Check]</t>
  </si>
  <si>
    <t>TC.KP.068</t>
  </si>
  <si>
    <t>[Email] To verify email at Employer Portal when JTKSM Endorsed Rejected</t>
  </si>
  <si>
    <t>To verify Email Template to Employer to notify Permohonan Kelulusan Bagi Penggajian Pekerja Asing di bawah Seksyen 60K Akta Kerja 1955 has been REJECTED [Pre condition: Endorsed Rejected by JTKSM]</t>
  </si>
  <si>
    <t>1) Login email registered 
2) Verify email Template Rejected to Employer</t>
  </si>
  <si>
    <t>Rejected Email recived by employer</t>
  </si>
  <si>
    <t>TC.KP.069</t>
  </si>
  <si>
    <t>[Format] To verify the new format of KP Approval No</t>
  </si>
  <si>
    <t xml:space="preserve">To verify the new format of KP Approval No as : KSM/FWCMS/&lt;Application Type&gt;/&lt;Sector Code&gt;/&lt;11 char auto algorithm number&gt; </t>
  </si>
  <si>
    <t>1) Login as Employer
2) Click to Sub Menu Apply FWe Approval
3) Insert all data
4) Click  submit 
5) Verify KP Approval No</t>
  </si>
  <si>
    <t>1. Format Baru :
KSM/FWCMS/&lt;Application Type&gt;/&lt;Sector Code&gt;/&lt;11 char auto algorithm number&gt; 
EX: KSM/FWCMS/PA/PA/YAV40000002
2. Mula pakai 1 Jan 2023
*Sector Code Quota</t>
  </si>
  <si>
    <t>TC.KP.070</t>
  </si>
  <si>
    <t xml:space="preserve">[Declaration] To verify status after submit application </t>
  </si>
  <si>
    <t>To verify able to tick checkbox &amp; submit application</t>
  </si>
  <si>
    <t>1) Login as Employer
2) Click to Sub Menu Apply FWe Approval
3) Insert all data
4) Click  submit 
5)Declaration Screen will be displayed
6) Verify Status after click submit application</t>
  </si>
  <si>
    <t>Status after click submit button = Pending SOCSO</t>
  </si>
  <si>
    <t>TC.KP.071</t>
  </si>
  <si>
    <t>[Declaration] To verify application submitted by employer will be assigned to State Admin / User</t>
  </si>
  <si>
    <t>To verify system will be assigned to SOCSO State Admin / User based on POW enter by employer after submit KP Approval Application</t>
  </si>
  <si>
    <t>SOCSO State Admin / User able to view the applications under the  appoineted state</t>
  </si>
  <si>
    <t>SOCSO</t>
  </si>
  <si>
    <t>TC.KP.072</t>
  </si>
  <si>
    <t>TC.KP.073</t>
  </si>
  <si>
    <t>Verify label sub Menu change to Verify Job Advertisement</t>
  </si>
  <si>
    <t>1) Login as Employer
2) Click to Sub Menu Verify Job Adverisement</t>
  </si>
  <si>
    <t>Displayed Label as Verify Job Advertisement</t>
  </si>
  <si>
    <t>21370
21375
21379</t>
  </si>
  <si>
    <t>To verify Global Search in SOCSO</t>
  </si>
  <si>
    <t xml:space="preserve">Search Criteria - Application Date From / Application Date To </t>
  </si>
  <si>
    <t>TC.KP.074</t>
  </si>
  <si>
    <t>To verify when enter same Date From / Date To</t>
  </si>
  <si>
    <t>1) Login as Employer
2) Click to Sub Menu Verify Job Adverisement
3) Verify Application Date From / Application Date To</t>
  </si>
  <si>
    <t>Result will displayed application from the date selected</t>
  </si>
  <si>
    <t>TC.KP.075</t>
  </si>
  <si>
    <t>To verify when enter Date To greater than Date From</t>
  </si>
  <si>
    <t>TC.KP.076</t>
  </si>
  <si>
    <t>To verify when enter Date To lesser than Date From</t>
  </si>
  <si>
    <t xml:space="preserve">Result will displayed no data available </t>
  </si>
  <si>
    <t>TC.KP.077</t>
  </si>
  <si>
    <t xml:space="preserve">To verify when enter only Date To </t>
  </si>
  <si>
    <t>TC.KP.078</t>
  </si>
  <si>
    <t>To verify when enter only Date From</t>
  </si>
  <si>
    <t>TC.KP.079</t>
  </si>
  <si>
    <t>To verify Date Format: DD/MM/YYYY</t>
  </si>
  <si>
    <t>Date format will displayed as DD/MM/YYYY. Ex: 12/12/2022</t>
  </si>
  <si>
    <t>Search Criteria - ROC / ROB No</t>
  </si>
  <si>
    <t>TC.KP.080</t>
  </si>
  <si>
    <t>To verify able to enter inputs [a-z / A-Z / 0/9] in the text field</t>
  </si>
  <si>
    <t>1) Login as Employer
2) Click to Sub Menu Verify Job Adverisement
3) Verify inputs for the field</t>
  </si>
  <si>
    <t>Able to search with inputs entered</t>
  </si>
  <si>
    <t>TC.KP.082</t>
  </si>
  <si>
    <t>To verify able to enter inputs [symbols / blanck spaces] in the text field</t>
  </si>
  <si>
    <t>Unable to search with inputs entered</t>
  </si>
  <si>
    <t>Search Criteria - Application Ref No</t>
  </si>
  <si>
    <t>To verify able to enter inputs [a-z / A-Z] in the text field</t>
  </si>
  <si>
    <t>To verify able to enter inputs [1-9] in the text field</t>
  </si>
  <si>
    <t>Search Criteria - Application Status
  - All
  - Pending SOCSO / PTK Approval
  - Pending JTKSM Approval</t>
  </si>
  <si>
    <t>To verify dropdown is clickable</t>
  </si>
  <si>
    <t>TC.KP.083</t>
  </si>
  <si>
    <t>To verify option of dropdown:  
  - All
  - Pending SOCSO / PTK Approval
  - Pending JTKSM Approval</t>
  </si>
  <si>
    <t>TC.KP.084</t>
  </si>
  <si>
    <t>Search Criteria:
Application Type - Default to Foreign Workers</t>
  </si>
  <si>
    <t>TC.KP.085</t>
  </si>
  <si>
    <t>Search Criteria:
Application Type - Employer Name</t>
  </si>
  <si>
    <t>TC.KP.087</t>
  </si>
  <si>
    <t>To verify Button Search able to click</t>
  </si>
  <si>
    <t>TC.KP.088</t>
  </si>
  <si>
    <t>Button Reset abl</t>
  </si>
  <si>
    <t>TC.KP.089</t>
  </si>
  <si>
    <t>Table Population:
1) No
2) Application Date
3) Employer Name
4) ROC/ROB No
5) Application Type
6) Application Ref No
7) Application Status
8) State
9) PTK Branch
10) Action</t>
  </si>
  <si>
    <t>TC.KP.090</t>
  </si>
  <si>
    <t>Click Employer Name in table list</t>
  </si>
  <si>
    <t>1) Employer Name able to click to view Contact No &amp; Address</t>
  </si>
  <si>
    <t>TC.KP.091</t>
  </si>
  <si>
    <t>Action &gt; Able to View Summary</t>
  </si>
  <si>
    <t xml:space="preserve">1) System populate MYFuture Jos Information
2) System populate Job Advertisement Approval
</t>
  </si>
  <si>
    <t>TC.KP.092</t>
  </si>
  <si>
    <t>Job Advertisment Approval</t>
  </si>
  <si>
    <t>Approve application</t>
  </si>
  <si>
    <t>Application go to JTKSM</t>
  </si>
  <si>
    <t>TC.KP.093</t>
  </si>
  <si>
    <t>Reject application</t>
  </si>
  <si>
    <t>TC.KP.094</t>
  </si>
  <si>
    <t>For status Reject / Return -  Add on Reason "Others" into the list. If select Others, mandatory to key in Remarks</t>
  </si>
  <si>
    <t>Select Others &gt; able to enter remarks</t>
  </si>
  <si>
    <t>PTK</t>
  </si>
  <si>
    <t>General</t>
  </si>
  <si>
    <t>Label Menu KP Approval</t>
  </si>
  <si>
    <t>KP Approval &gt; FWe Approval</t>
  </si>
  <si>
    <t>Global Search in PTK</t>
  </si>
  <si>
    <t>Search Criteria:
1) Application Date From</t>
  </si>
  <si>
    <t>Search Criteria:
2) Application Date To</t>
  </si>
  <si>
    <t>Search Criteria:
3) ROC / ROB No</t>
  </si>
  <si>
    <t>Search Criteria:
4) Application Ref No</t>
  </si>
  <si>
    <t>Search Criteria:
5) Application Status
  - All
  - Pending SOCSO / PTK Approval
  - Pending JTKSM Approval</t>
  </si>
  <si>
    <t>Search Criteria:
6) Application Type - Default to Foreign Workers</t>
  </si>
  <si>
    <t>Search Criteria:
7) Employer Name (Smart Search)</t>
  </si>
  <si>
    <t>Search Criteria:
8) State - Default to PTK State</t>
  </si>
  <si>
    <t>Search Criteria:
9) PTK Branch - Populate List of PTK based on State</t>
  </si>
  <si>
    <t>Button Search</t>
  </si>
  <si>
    <t>Button Reset</t>
  </si>
  <si>
    <t>System populated activity done by PTK: 
&lt;PTK Branch Name&gt; 
1) No
2) Activity
3) Status
4) Update By
5) Date
6) Remarks</t>
  </si>
  <si>
    <t>Cosmetic for Verification, Inspection &amp; Endorsement</t>
  </si>
  <si>
    <t>Radio Button for Status at Verification, Inspection &amp; Endorsement</t>
  </si>
  <si>
    <t>The indicated status should be more clearer</t>
  </si>
  <si>
    <t xml:space="preserve">Add on Label (KIV) into Keep In View. </t>
  </si>
  <si>
    <t>Displayed as "Keep In View (KIV)</t>
  </si>
  <si>
    <t>Verification</t>
  </si>
  <si>
    <t>Application Type</t>
  </si>
  <si>
    <t>View sector information</t>
  </si>
  <si>
    <t>Displayed sector information</t>
  </si>
  <si>
    <t>MyFutureJobs Information</t>
  </si>
  <si>
    <t>MYFutureJobs Information</t>
  </si>
  <si>
    <t>1. No of Quota Applied is removed
2. Application Type before sector is added</t>
  </si>
  <si>
    <t>Download and print Hiring Outcome Report</t>
  </si>
  <si>
    <t>Able to download and print CIDB registration certificate</t>
  </si>
  <si>
    <t>View Job Advertisment Approval</t>
  </si>
  <si>
    <t>1. No of Quota Applied is removed
2. Application Type before sector added
3. Displayed Job Advertisment Approval</t>
  </si>
  <si>
    <t>Company Information</t>
  </si>
  <si>
    <t>View company Information</t>
  </si>
  <si>
    <t>1. No of Quota Applied removed
2. Application Type before sector added
3. Displayed company Details &amp; Place of Work</t>
  </si>
  <si>
    <t>Supporting Document</t>
  </si>
  <si>
    <t>View supporting document</t>
  </si>
  <si>
    <t>1. No of Quota Applied removed
2. Application Type before sector added
3. Displayed supporting document</t>
  </si>
  <si>
    <t>Download and print supporting document</t>
  </si>
  <si>
    <t>Able to download and print supporting document</t>
  </si>
  <si>
    <t>PTK Approval</t>
  </si>
  <si>
    <t>Verify application</t>
  </si>
  <si>
    <t>1. No of Quota Applied removed
2. Application Type before sector added
3. Application go to inspect proses</t>
  </si>
  <si>
    <t>Verification unseccessful</t>
  </si>
  <si>
    <t>1. No of Quota Applied removed
2. Application Type before sector added
3. Application go to endorsement proses</t>
  </si>
  <si>
    <t>Relocate to different PTK application</t>
  </si>
  <si>
    <t>Application transferred to new PTK branch</t>
  </si>
  <si>
    <t>Remarks Verification status</t>
  </si>
  <si>
    <t> </t>
  </si>
  <si>
    <t>Assign to inspector</t>
  </si>
  <si>
    <t>A list of inspector appeared</t>
  </si>
  <si>
    <t>Inspection</t>
  </si>
  <si>
    <t>View verification status information</t>
  </si>
  <si>
    <t>Displayed verification status information</t>
  </si>
  <si>
    <t>In Progress Inspection application</t>
  </si>
  <si>
    <t>Application in PTK Inspect with status IN PROGRESS INSPECTION</t>
  </si>
  <si>
    <t>TC.KP.081</t>
  </si>
  <si>
    <t>Done Inspection application</t>
  </si>
  <si>
    <t>Application go to endorse prosess</t>
  </si>
  <si>
    <t>List of Status Pematuhan Undang-undang with checkbox</t>
  </si>
  <si>
    <t>Kriteria &amp; Syarat with checkbox Yes / No</t>
  </si>
  <si>
    <t>Remarks Inspection status</t>
  </si>
  <si>
    <t>Able to enter remarks</t>
  </si>
  <si>
    <t>Endorsement</t>
  </si>
  <si>
    <t>TC.KP.086</t>
  </si>
  <si>
    <t>View inspection status information</t>
  </si>
  <si>
    <t>Displayed inspection status information</t>
  </si>
  <si>
    <t>Endorse (Approved) Application</t>
  </si>
  <si>
    <t>Endorse (Rejected) Application</t>
  </si>
  <si>
    <t>JTKSM able to see KP Approval application &amp; can do action(approved or rejected)</t>
  </si>
  <si>
    <t>Re-inspection Application</t>
  </si>
  <si>
    <t>Application should be in inspect lisitng</t>
  </si>
  <si>
    <t>Keep in view Application</t>
  </si>
  <si>
    <t>Application should be in endorse lisitng</t>
  </si>
  <si>
    <t>JTKSM</t>
  </si>
  <si>
    <t>TC.KP.095</t>
  </si>
  <si>
    <t>User Roles for JTKSM</t>
  </si>
  <si>
    <t>JTK User View:
i) Listing
ii) Assign to Mesyuarat Sekreteriat</t>
  </si>
  <si>
    <t>TC.KP.096</t>
  </si>
  <si>
    <t>JTK Admin View:
i) Listing
ii) Approval
iii) Assign to Mesyuarat Sekreteriat
iv) User Management - create JTK User</t>
  </si>
  <si>
    <t>TC.KP.097</t>
  </si>
  <si>
    <t>Menu for JTKSM +
Global Search in JTKSM</t>
  </si>
  <si>
    <t>i) Listing</t>
  </si>
  <si>
    <t>TC.KP.098</t>
  </si>
  <si>
    <t>TC.KP.099</t>
  </si>
  <si>
    <t>TC.KP.100</t>
  </si>
  <si>
    <t>TC.KP.101</t>
  </si>
  <si>
    <t>TC.KP.102</t>
  </si>
  <si>
    <t>Search Criteria:
5) Application Status
  - All
  - Pending SOCSO / PTK Approval
  - Pending JTKSM Approval
  - Approved
  - Rejected</t>
  </si>
  <si>
    <t>TC.KP.103</t>
  </si>
  <si>
    <t>TC.KP.104</t>
  </si>
  <si>
    <t>TC.KP.105</t>
  </si>
  <si>
    <t>TC.KP.106</t>
  </si>
  <si>
    <t>TC.KP.107</t>
  </si>
  <si>
    <t>TC.KP.108</t>
  </si>
  <si>
    <t>Summary:-
Application Type : XXXX
Application Ref No : XXXX
Sector : XXXX
Sub Sector : XXXX
&lt;PTK Branch Name&gt;
Populate - Date of Mesyuarat, Approved / Rejected
SOCSO
Populate - MYFutureJobs Information and Job Advertisement Approval (Refer Global Search for SOCSO), Date, User
JTKSM
Populate - Date for Mesyuarat, Status Approved + Date / Status Rejected + Date, User</t>
  </si>
  <si>
    <t>TC.KP.109</t>
  </si>
  <si>
    <t>Table population at Listing:
1) No
2) Application Ref No
3) Application Date 
4) Company Name
5) Sector
6) PTK Branch
7) Approve By
8) Approve Date
9) Application Status</t>
  </si>
  <si>
    <t>TC.KP.110</t>
  </si>
  <si>
    <t>Mesyuarat utk Kelulusan:
i) Print Listing - Without tick checkbox</t>
  </si>
  <si>
    <t>Able to print all records in Listing</t>
  </si>
  <si>
    <t>TC.KP.111</t>
  </si>
  <si>
    <t>Mesyuarat utk Kelulusan:
ii) Print Listing - Tick 1 or more checkbox</t>
  </si>
  <si>
    <t>Able to print the selected option</t>
  </si>
  <si>
    <t>TC.KP.112</t>
  </si>
  <si>
    <t>Mesyuarat utk Kelulusan:
iii) Print Summary - Without tick checkbox</t>
  </si>
  <si>
    <t>Displayed error message to tick at least 1 checkbox</t>
  </si>
  <si>
    <t>TC.KP.113</t>
  </si>
  <si>
    <t>Mesyuarat utk Kelulusan:
iv) Print Summary- Tick 1 or more checkbox</t>
  </si>
  <si>
    <t>Able to print Summary of selected option</t>
  </si>
  <si>
    <t>TC.KP.114</t>
  </si>
  <si>
    <t>Search Criteria:
Application Date From</t>
  </si>
  <si>
    <t>Able to select Date From correctly</t>
  </si>
  <si>
    <t>TC.KP.115</t>
  </si>
  <si>
    <t>Search Criteria:
Application Date To</t>
  </si>
  <si>
    <t>Able to select Date To correctly</t>
  </si>
  <si>
    <t>TC.KP.116</t>
  </si>
  <si>
    <t>Search Criteria:
Application Ref No</t>
  </si>
  <si>
    <t>Able to enter Application Ref No</t>
  </si>
  <si>
    <t>TC.KP.117</t>
  </si>
  <si>
    <t>Search Criteria:
ROC No</t>
  </si>
  <si>
    <t>Able to enter ROC No</t>
  </si>
  <si>
    <t>TC.KP.118</t>
  </si>
  <si>
    <t>Table population at Mesyuarat Kelulusan:
1) No
2) Option Checkbox
3) Application Ref No
4) Application Date
5) Company Name
6) Sector
7) PTK Branch
8) Endorsed By
9) Endorsed Date
10) Print Status</t>
  </si>
  <si>
    <t>1) Displayed result as searched
2) Able to select checkbox</t>
  </si>
  <si>
    <t>ii) Assign to Mesyuarat Sekretriat</t>
  </si>
  <si>
    <t>TC.KP.119</t>
  </si>
  <si>
    <t>TC.KP.120</t>
  </si>
  <si>
    <t>TC.KP.121</t>
  </si>
  <si>
    <t>TC.KP.122</t>
  </si>
  <si>
    <t>TC.KP.123</t>
  </si>
  <si>
    <t>Search button</t>
  </si>
  <si>
    <t>TC.KP.124</t>
  </si>
  <si>
    <t>Reset button</t>
  </si>
  <si>
    <t>TC.KP.125</t>
  </si>
  <si>
    <t>Table population at Assign to Mesyuarat Kelulusan:
1) No
2) Application Ref No
3) Application Date 
4) Company Name
5) Sector
6) PTK Branch
7) Endorsed By
8) Endorsed Date
9) Action checkbox [Mandatory]</t>
  </si>
  <si>
    <t>TC.KP.126</t>
  </si>
  <si>
    <t>Date of Mesyuarat untuk Keputusan [Mandatory]</t>
  </si>
  <si>
    <t>TC.KP.127</t>
  </si>
  <si>
    <t>Next Button</t>
  </si>
  <si>
    <t>TC.KP.128</t>
  </si>
  <si>
    <t>Submit Button</t>
  </si>
  <si>
    <t>iii) Approval</t>
  </si>
  <si>
    <t>TC.KP.129</t>
  </si>
  <si>
    <t>Label Approval &gt; Approval (Secretariat Meeting Approval)</t>
  </si>
  <si>
    <t>Label changed</t>
  </si>
  <si>
    <t>TC.KP.130</t>
  </si>
  <si>
    <t>Search Criteria:
Meeting Date From</t>
  </si>
  <si>
    <t>TC.KP.131</t>
  </si>
  <si>
    <t>Search Criteria:
Meeting Date To</t>
  </si>
  <si>
    <t>TC.KP.132</t>
  </si>
  <si>
    <t>Search Criteria:
Secretriat Meeting Ref No</t>
  </si>
  <si>
    <t>Able to enter Secretriat Meeting Ref No</t>
  </si>
  <si>
    <t>TC.KP.133</t>
  </si>
  <si>
    <t>Search Criteria:
Application Type</t>
  </si>
  <si>
    <t>Default to Foreign Workers</t>
  </si>
  <si>
    <t>TC.KP.134</t>
  </si>
  <si>
    <t>TC.KP.135</t>
  </si>
  <si>
    <t>TC.KP.136</t>
  </si>
  <si>
    <t>TC.KP.137</t>
  </si>
  <si>
    <t xml:space="preserve">Table population Approval List:-
i) Selection [Checkbox]
ii) Meeting Date
iii) Secretriat Meeting Ref No
iv) Application Type
v) Application Ref No
vi) Application Date
vii) Company Name
viii) Sector
ix) JTKSM Recommendation
x) JTKSM Remarks
xi) Secretariat Status [Dropdown]
xii) Remarks 
&lt;Populate Predefine Secretariat Status Remarks&gt;
&lt;Enter Remarks&gt;
</t>
  </si>
  <si>
    <r>
      <rPr>
        <sz val="9"/>
        <color rgb="FF000000"/>
        <rFont val="Calibri"/>
        <family val="2"/>
      </rPr>
      <t xml:space="preserve">1) Displayed result as searched
2) Able to select checkbox
3) Able to select Secretriat status 
4) JTKSM Recommendation </t>
    </r>
    <r>
      <rPr>
        <b/>
        <sz val="9"/>
        <color rgb="FF000000"/>
        <rFont val="Calibri"/>
        <family val="2"/>
      </rPr>
      <t xml:space="preserve">[ENDORSED APPROVED / ENDORSED REJECTED] - Able to see all status from SOCSO, PTK (verify, inspect, endorse) &amp; JTKSM Recommendation
</t>
    </r>
    <r>
      <rPr>
        <sz val="9"/>
        <color rgb="FF000000"/>
        <rFont val="Calibri"/>
        <family val="2"/>
      </rPr>
      <t xml:space="preserve">4) Able to enter JTKSM Remark
5) Remarks:- 
</t>
    </r>
    <r>
      <rPr>
        <b/>
        <sz val="9"/>
        <color rgb="FF000000"/>
        <rFont val="Calibri"/>
        <family val="2"/>
      </rPr>
      <t xml:space="preserve">Predefine Secretariat Status Remarks : APPROVED : 
</t>
    </r>
    <r>
      <rPr>
        <sz val="9"/>
        <color rgb="FF000000"/>
        <rFont val="Calibri"/>
        <family val="2"/>
      </rPr>
      <t xml:space="preserve">Majikan mematuhi undang-undang perburuhan serta syarat dan kriteria yang ditetapkan.
</t>
    </r>
    <r>
      <rPr>
        <b/>
        <sz val="9"/>
        <color rgb="FF000000"/>
        <rFont val="Calibri"/>
        <family val="2"/>
      </rPr>
      <t xml:space="preserve">Predefine Secretariat Status Remarks:  REJECTED : 
</t>
    </r>
    <r>
      <rPr>
        <sz val="9"/>
        <color rgb="FF000000"/>
        <rFont val="Calibri"/>
        <family val="2"/>
      </rPr>
      <t xml:space="preserve">Majikan didapati tidak patuh kepada Akta iaitu &lt;Senarai Status Pematuhan yang dipilih Tidak Patuh&gt;
Majikan didapati tidak memenuhi kriteria dan syarat iaitu &lt;Senarai Kriteria dan Syarat yang dipilih Tidak&gt;
</t>
    </r>
  </si>
  <si>
    <t>TC.KP.138</t>
  </si>
  <si>
    <t>TC.KP.139</t>
  </si>
  <si>
    <t>SOCSO approved and PTK Endorse (Approved)</t>
  </si>
  <si>
    <t>1. JTKSM able to set date to Mesyurarat Kelulusan
2. Application refno will be listed in Approval and able to Approved or Reject</t>
  </si>
  <si>
    <t>TC.KP.140</t>
  </si>
  <si>
    <t>SOCSO rejected and PTK Endorsed (Approved)</t>
  </si>
  <si>
    <t>TC.KP.141</t>
  </si>
  <si>
    <t>SOCSO approved and pending PTK</t>
  </si>
  <si>
    <t>1. JTKSM will not able to see KP Approval application</t>
  </si>
  <si>
    <t>TC.KP.142</t>
  </si>
  <si>
    <t>SOCSO approved and PTK Endorse (Rejected)</t>
  </si>
  <si>
    <t>TC.KP.143</t>
  </si>
  <si>
    <t>SOCSO rejected, PTK Endorse (Rejected) , JTKSM reject</t>
  </si>
  <si>
    <t>Approval application able to see in listing</t>
  </si>
  <si>
    <t>TC.KP.144</t>
  </si>
  <si>
    <t>SOCSO rejected, PTK Endorse (Rejectd) , JTKSM approved</t>
  </si>
  <si>
    <t>Rejected application able to see in listing</t>
  </si>
  <si>
    <t>TC.KP.145</t>
  </si>
  <si>
    <t>Reinspection</t>
  </si>
  <si>
    <t>Application able to reinspect &amp; submit</t>
  </si>
  <si>
    <t>TC.KP.146</t>
  </si>
  <si>
    <t>Keep in View (KIV)</t>
  </si>
  <si>
    <t>JTKS able to view back the application &amp; proceed action</t>
  </si>
  <si>
    <t>TC.KP.147</t>
  </si>
  <si>
    <t xml:space="preserve">Email for Approved </t>
  </si>
  <si>
    <t>Amendment on Email Template to Employer on apply JCS Approved + KP Approval Letter
Amendment as following below:
1. This is an auto generated email to inform that your application for Employment of Foreign Worker (Permohonan Kelulusan Bagi Penggajian Pekerja Asing di bawah Seksyen 60K Akta Kerja 1955) has been APPROVED . Details of application as following below:
2. Populated Table, Add on :
a. Sector
b. Sub Sector</t>
  </si>
  <si>
    <t>TC.KP.148</t>
  </si>
  <si>
    <t>Email for Rejected</t>
  </si>
  <si>
    <t>Email Template to Employer, notify Permohonan Kelulusan Bagi Penggajian Pekerja Asing di bawah Seksyen 60K Akta Kerja 1955 has been REJECTED</t>
  </si>
  <si>
    <t>TC.KP.149</t>
  </si>
  <si>
    <t>Generate KP Approval Letter + QR Code</t>
  </si>
  <si>
    <t>Employer can view and download KP Approval Letter (Employer Portal)</t>
  </si>
  <si>
    <t>Employer successfully view and download KP Approval Letter (Employer Portal)</t>
  </si>
  <si>
    <t>TC.KP.150</t>
  </si>
  <si>
    <t>System will generate email + Attachment KP Approval Letter and send to Employer</t>
  </si>
  <si>
    <t>Received email with attachment KP Approval Letter</t>
  </si>
  <si>
    <t>TC.KP.151</t>
  </si>
  <si>
    <t>Government Officer can view and download KP Approval Letter (Government Portal)</t>
  </si>
  <si>
    <t>Gov Officer successfully view and download KP Approval Letter (Government Portal)</t>
  </si>
  <si>
    <t>TC.KP.152</t>
  </si>
  <si>
    <t>QR Code will be generated and locate into KP Approval Letter</t>
  </si>
  <si>
    <t xml:space="preserve">QR Code is displayed in KP Approval Letter </t>
  </si>
  <si>
    <t>TC.KP.153</t>
  </si>
  <si>
    <t>Scan QR Code and display Approval Information:-
i) Company Name
ii) Company Reg No / Cooperative / IC
iii) Sector / Sub Sector
iv) Application Ref No
v) Approve Date
vi) Digital Signature</t>
  </si>
  <si>
    <t>Successfully scan QR Code &amp; displayed Approval Information:-
i) Company Name
ii) Company Reg No / Cooperative / IC
iii) Sector / Sub Sector
iv) Application Ref No
v) Approve Date
vi) Digital Signature</t>
  </si>
  <si>
    <t>TC.KP.154</t>
  </si>
  <si>
    <t>TC.KP.155</t>
  </si>
  <si>
    <t xml:space="preserve"> Verify KP Approval Letter</t>
  </si>
  <si>
    <t>Scan QR Code:-
i) System will redirect user to FWCMS link with application ref no &amp; passcode (6numbers on top QR) 
ii) Key In Capcha
iii) Click Submit
iv) View KP Approval Information</t>
  </si>
  <si>
    <t>Successfully verify KP Approval Letter</t>
  </si>
  <si>
    <t>TC.KP.156</t>
  </si>
  <si>
    <t>Normal Access by URL:-
i) Access Link 
ii) Enter Application Ref No &amp; Passcode (6number on top QR)
iii) Key In Capcha
iv) Click Submit
v) View KP Approval Information</t>
  </si>
  <si>
    <t xml:space="preserve">Review Log </t>
  </si>
  <si>
    <t>To be filled by Reviewer</t>
  </si>
  <si>
    <t>To be filled by Author &amp; Reviewer</t>
  </si>
  <si>
    <t xml:space="preserve">Review Cycle </t>
  </si>
  <si>
    <t>Version
Number</t>
  </si>
  <si>
    <t xml:space="preserve">Posted Date
</t>
  </si>
  <si>
    <t>Reviewer Name</t>
  </si>
  <si>
    <t>Size of Work Product (LOC, Pages )</t>
  </si>
  <si>
    <t>Document Name / 
Code, Module Name</t>
  </si>
  <si>
    <t xml:space="preserve"> Section ID, Line OR
Page Number</t>
  </si>
  <si>
    <t>Comment Description</t>
  </si>
  <si>
    <t>Severity</t>
  </si>
  <si>
    <t>Action required for comment resolution</t>
  </si>
  <si>
    <t>Comment Status</t>
  </si>
  <si>
    <t>Comment Target Closure Date</t>
  </si>
  <si>
    <t>Comment Actual Closure Date</t>
  </si>
  <si>
    <t>Remarks</t>
  </si>
  <si>
    <t>1st</t>
  </si>
  <si>
    <t>Small</t>
  </si>
  <si>
    <t>FWCMS</t>
  </si>
  <si>
    <t>add more tc to cover scenario</t>
  </si>
  <si>
    <t>Low</t>
  </si>
  <si>
    <t>Add new test case</t>
  </si>
  <si>
    <t>Closed</t>
  </si>
  <si>
    <t xml:space="preserve"> </t>
  </si>
  <si>
    <t xml:space="preserve">   </t>
  </si>
  <si>
    <t>Tracker</t>
  </si>
  <si>
    <t>Test Data</t>
  </si>
  <si>
    <t>QA PIC</t>
  </si>
  <si>
    <t xml:space="preserve"> Review &amp; Rework Effort </t>
  </si>
  <si>
    <t>To be filled by Author</t>
  </si>
  <si>
    <t>Total Time taken for Review 
(Hrs or Mins)</t>
  </si>
  <si>
    <t>Re-Work effort (Hrs or Mins)</t>
  </si>
  <si>
    <t>1hrs</t>
  </si>
  <si>
    <t>Pareto Analysis</t>
  </si>
  <si>
    <t>[42]</t>
  </si>
  <si>
    <t>Cumulative Percentage Cutoff:</t>
  </si>
  <si>
    <t>#</t>
  </si>
  <si>
    <t>Causes</t>
  </si>
  <si>
    <t>Defects</t>
  </si>
  <si>
    <t>Cumulative%</t>
  </si>
  <si>
    <t>Vital Few</t>
  </si>
  <si>
    <t>Useful Many</t>
  </si>
  <si>
    <t>Cut Off %</t>
  </si>
  <si>
    <t>Glue</t>
  </si>
  <si>
    <t>Binding</t>
  </si>
  <si>
    <t>Button</t>
  </si>
  <si>
    <t>Pressure Applied</t>
  </si>
  <si>
    <t>Cause # 5</t>
  </si>
  <si>
    <t>Cause # 6</t>
  </si>
  <si>
    <t>Cause # 7</t>
  </si>
  <si>
    <t>Cause # 8</t>
  </si>
  <si>
    <t>Cause # 9</t>
  </si>
  <si>
    <t>Insert new rows above this line</t>
  </si>
  <si>
    <t>CORRECTIVE &amp; PREVENTIVE ACTION PLAN (CAPA)</t>
  </si>
  <si>
    <t>Analysis Points Observed</t>
  </si>
  <si>
    <t xml:space="preserve">Corrective Action Identified </t>
  </si>
  <si>
    <t xml:space="preserve">Preventive Action Identified </t>
  </si>
  <si>
    <t>Planned Closure Date</t>
  </si>
  <si>
    <t xml:space="preserve">Actual Closure 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</si>
</sst>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d\-mmm\-yy;@"/>
    <numFmt numFmtId="166" formatCode="0.0"/>
    <numFmt numFmtId="167" formatCode="[$-409]d\-mmm;@"/>
  </numFmts>
  <fonts count="38" x14ac:knownFonts="1">
    <font>
      <sz val="11"/>
      <color theme="1"/>
      <name val="Calibri"/>
      <family val="2"/>
      <scheme val="minor"/>
    </font>
    <font>
      <b/>
      <sz val="10"/>
      <color indexed="8"/>
      <name val="Arial"/>
      <family val="2"/>
      <charset val="134"/>
    </font>
    <font>
      <sz val="10"/>
      <name val="Arial"/>
      <family val="2"/>
      <charset val="134"/>
    </font>
    <font>
      <sz val="9"/>
      <color indexed="81"/>
      <name val="Tahoma"/>
      <family val="2"/>
    </font>
    <font>
      <b/>
      <sz val="9"/>
      <color indexed="81"/>
      <name val="Tahoma"/>
      <family val="2"/>
    </font>
    <font>
      <sz val="10"/>
      <name val="Arial"/>
      <family val="2"/>
    </font>
    <font>
      <b/>
      <sz val="18"/>
      <color indexed="53"/>
      <name val="Arial"/>
      <family val="2"/>
    </font>
    <font>
      <sz val="10"/>
      <name val="Arial"/>
      <family val="2"/>
    </font>
    <font>
      <b/>
      <sz val="12"/>
      <name val="Arial"/>
      <family val="2"/>
    </font>
    <font>
      <b/>
      <sz val="10"/>
      <name val="Arial"/>
      <family val="2"/>
    </font>
    <font>
      <u/>
      <sz val="10"/>
      <color indexed="12"/>
      <name val="Arial"/>
      <family val="2"/>
    </font>
    <font>
      <sz val="8"/>
      <color indexed="9"/>
      <name val="Arial"/>
      <family val="2"/>
    </font>
    <font>
      <b/>
      <sz val="12"/>
      <color indexed="53"/>
      <name val="Arial"/>
      <family val="2"/>
    </font>
    <font>
      <sz val="12"/>
      <color indexed="9"/>
      <name val="Arial"/>
      <family val="2"/>
    </font>
    <font>
      <b/>
      <sz val="12"/>
      <color indexed="9"/>
      <name val="Arial"/>
      <family val="2"/>
    </font>
    <font>
      <sz val="12"/>
      <color indexed="23"/>
      <name val="Arial"/>
      <family val="2"/>
    </font>
    <font>
      <sz val="10"/>
      <color indexed="55"/>
      <name val="Arial"/>
      <family val="2"/>
    </font>
    <font>
      <sz val="8"/>
      <color indexed="23"/>
      <name val="Arial"/>
      <family val="2"/>
    </font>
    <font>
      <b/>
      <sz val="14"/>
      <name val="Arial"/>
      <family val="2"/>
    </font>
    <font>
      <sz val="10"/>
      <color theme="1"/>
      <name val="Arial"/>
      <family val="2"/>
    </font>
    <font>
      <b/>
      <sz val="12"/>
      <color indexed="8"/>
      <name val="Arial"/>
      <family val="2"/>
      <charset val="134"/>
    </font>
    <font>
      <b/>
      <sz val="20"/>
      <color indexed="8"/>
      <name val="Arial"/>
      <family val="2"/>
    </font>
    <font>
      <sz val="8"/>
      <name val="Calibri"/>
      <family val="2"/>
      <scheme val="minor"/>
    </font>
    <font>
      <b/>
      <sz val="9"/>
      <color rgb="FFFFFFFF"/>
      <name val="Calibri"/>
      <family val="2"/>
    </font>
    <font>
      <sz val="9"/>
      <color theme="1"/>
      <name val="Calibri"/>
      <family val="2"/>
      <scheme val="minor"/>
    </font>
    <font>
      <b/>
      <sz val="9"/>
      <color theme="1"/>
      <name val="Calibri"/>
      <family val="2"/>
      <scheme val="minor"/>
    </font>
    <font>
      <b/>
      <sz val="10"/>
      <name val="Calibri"/>
      <family val="2"/>
    </font>
    <font>
      <b/>
      <sz val="10"/>
      <color rgb="FFFFFFFF"/>
      <name val="Calibri"/>
      <family val="2"/>
    </font>
    <font>
      <sz val="9"/>
      <color rgb="FF444444"/>
      <name val="Calibri"/>
      <family val="2"/>
      <charset val="1"/>
    </font>
    <font>
      <sz val="9"/>
      <color rgb="FF000000"/>
      <name val="Calibri"/>
      <family val="2"/>
    </font>
    <font>
      <sz val="9"/>
      <color rgb="FF000000"/>
      <name val="Calibri"/>
      <family val="2"/>
      <scheme val="minor"/>
    </font>
    <font>
      <b/>
      <sz val="9"/>
      <name val="Calibri"/>
      <family val="2"/>
    </font>
    <font>
      <b/>
      <sz val="9"/>
      <color rgb="FF000000"/>
      <name val="Calibri"/>
      <family val="2"/>
    </font>
    <font>
      <sz val="10"/>
      <color rgb="FFFFFFFF"/>
      <name val="Calibri"/>
      <family val="2"/>
    </font>
    <font>
      <sz val="9"/>
      <color rgb="FFFFFFFF"/>
      <name val="Calibri"/>
      <family val="2"/>
    </font>
    <font>
      <sz val="9"/>
      <name val="Calibri"/>
      <family val="2"/>
    </font>
    <font>
      <b/>
      <sz val="11"/>
      <color rgb="FFFFFFFF"/>
      <name val="Calibri"/>
      <family val="2"/>
    </font>
    <font>
      <b/>
      <sz val="11"/>
      <color theme="1"/>
      <name val="Calibri"/>
      <family val="2"/>
      <scheme val="minor"/>
    </font>
  </fonts>
  <fills count="13">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53"/>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14999847407452621"/>
        <bgColor indexed="8"/>
      </patternFill>
    </fill>
    <fill>
      <patternFill patternType="solid">
        <fgColor rgb="FF002060"/>
        <bgColor rgb="FF000000"/>
      </patternFill>
    </fill>
    <fill>
      <patternFill patternType="solid">
        <fgColor theme="4" tint="0.79998168889431442"/>
        <bgColor rgb="FF000000"/>
      </patternFill>
    </fill>
    <fill>
      <patternFill patternType="solid">
        <fgColor rgb="FF203764"/>
        <bgColor indexed="64"/>
      </patternFill>
    </fill>
    <fill>
      <patternFill patternType="solid">
        <fgColor rgb="FFFFC000"/>
        <bgColor indexed="64"/>
      </patternFill>
    </fill>
    <fill>
      <patternFill patternType="solid">
        <fgColor rgb="FF002060"/>
        <bgColor indexed="64"/>
      </patternFill>
    </fill>
  </fills>
  <borders count="50">
    <border>
      <left/>
      <right/>
      <top/>
      <bottom/>
      <diagonal/>
    </border>
    <border>
      <left style="medium">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8"/>
      </left>
      <right style="thin">
        <color indexed="8"/>
      </right>
      <top style="thin">
        <color indexed="8"/>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55"/>
      </left>
      <right/>
      <top/>
      <bottom/>
      <diagonal/>
    </border>
    <border>
      <left/>
      <right style="thin">
        <color indexed="55"/>
      </right>
      <top/>
      <bottom/>
      <diagonal/>
    </border>
    <border>
      <left style="double">
        <color indexed="64"/>
      </left>
      <right/>
      <top style="double">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8">
    <xf numFmtId="0" fontId="0" fillId="0" borderId="0"/>
    <xf numFmtId="0" fontId="2" fillId="0" borderId="0">
      <alignment vertical="center"/>
    </xf>
    <xf numFmtId="0" fontId="5" fillId="0" borderId="0"/>
    <xf numFmtId="0" fontId="10" fillId="0" borderId="0" applyNumberFormat="0" applyFill="0" applyBorder="0" applyAlignment="0" applyProtection="0">
      <alignment vertical="top"/>
      <protection locked="0"/>
    </xf>
    <xf numFmtId="9" fontId="5" fillId="0" borderId="0" applyFont="0" applyFill="0" applyBorder="0" applyAlignment="0" applyProtection="0"/>
    <xf numFmtId="0" fontId="9" fillId="0" borderId="26" applyFill="0" applyBorder="0"/>
    <xf numFmtId="0" fontId="5" fillId="0" borderId="0" applyFill="0" applyBorder="0">
      <alignment vertical="center"/>
    </xf>
    <xf numFmtId="0" fontId="5" fillId="0" borderId="0" applyFont="0" applyFill="0" applyBorder="0" applyAlignment="0" applyProtection="0"/>
  </cellStyleXfs>
  <cellXfs count="247">
    <xf numFmtId="0" fontId="0" fillId="0" borderId="0" xfId="0"/>
    <xf numFmtId="0" fontId="2" fillId="0" borderId="3" xfId="1" applyBorder="1" applyAlignment="1" applyProtection="1">
      <alignment horizontal="center" vertical="center"/>
      <protection locked="0"/>
    </xf>
    <xf numFmtId="15" fontId="2" fillId="0" borderId="3" xfId="1" applyNumberFormat="1" applyBorder="1" applyAlignment="1" applyProtection="1">
      <alignment horizontal="left" vertical="top"/>
      <protection locked="0"/>
    </xf>
    <xf numFmtId="0" fontId="2" fillId="0" borderId="3" xfId="1" applyBorder="1" applyAlignment="1" applyProtection="1">
      <alignment horizontal="left" vertical="top"/>
      <protection locked="0"/>
    </xf>
    <xf numFmtId="0" fontId="2" fillId="0" borderId="3" xfId="1" applyBorder="1" applyAlignment="1" applyProtection="1">
      <alignment horizontal="left" vertical="top" wrapText="1"/>
      <protection locked="0"/>
    </xf>
    <xf numFmtId="0" fontId="2" fillId="0" borderId="4" xfId="1" applyBorder="1" applyAlignment="1" applyProtection="1">
      <alignment horizontal="center" vertical="center"/>
      <protection locked="0"/>
    </xf>
    <xf numFmtId="0" fontId="2" fillId="0" borderId="4" xfId="1" applyBorder="1" applyAlignment="1" applyProtection="1">
      <alignment horizontal="left" vertical="top"/>
      <protection locked="0"/>
    </xf>
    <xf numFmtId="0" fontId="2" fillId="0" borderId="4" xfId="1" applyBorder="1" applyAlignment="1" applyProtection="1">
      <alignment horizontal="left" vertical="top" wrapText="1"/>
      <protection locked="0"/>
    </xf>
    <xf numFmtId="0" fontId="2" fillId="0" borderId="5" xfId="1" applyBorder="1" applyAlignment="1" applyProtection="1">
      <alignment horizontal="center" vertical="center"/>
      <protection locked="0"/>
    </xf>
    <xf numFmtId="0" fontId="2" fillId="0" borderId="5" xfId="1" applyBorder="1" applyAlignment="1" applyProtection="1">
      <alignment horizontal="left" vertical="top"/>
      <protection locked="0"/>
    </xf>
    <xf numFmtId="0" fontId="2" fillId="0" borderId="5" xfId="1" applyBorder="1" applyAlignment="1" applyProtection="1">
      <alignment horizontal="left" vertical="top" wrapText="1"/>
      <protection locked="0"/>
    </xf>
    <xf numFmtId="0" fontId="2" fillId="0" borderId="14" xfId="1" applyBorder="1" applyAlignment="1" applyProtection="1">
      <alignment horizontal="left" vertical="top"/>
      <protection locked="0"/>
    </xf>
    <xf numFmtId="0" fontId="2" fillId="0" borderId="16" xfId="1" applyBorder="1" applyAlignment="1" applyProtection="1">
      <alignment horizontal="center" vertical="center"/>
      <protection locked="0"/>
    </xf>
    <xf numFmtId="0" fontId="2" fillId="0" borderId="16" xfId="1" applyBorder="1" applyAlignment="1" applyProtection="1">
      <alignment horizontal="left" vertical="top"/>
      <protection locked="0"/>
    </xf>
    <xf numFmtId="0" fontId="2" fillId="0" borderId="16" xfId="1" applyBorder="1" applyAlignment="1" applyProtection="1">
      <alignment horizontal="left" vertical="top" wrapText="1"/>
      <protection locked="0"/>
    </xf>
    <xf numFmtId="0" fontId="2" fillId="0" borderId="17" xfId="1" applyBorder="1" applyAlignment="1" applyProtection="1">
      <alignment horizontal="left" vertical="top" wrapText="1"/>
      <protection locked="0"/>
    </xf>
    <xf numFmtId="0" fontId="2" fillId="0" borderId="17" xfId="1" applyBorder="1" applyAlignment="1" applyProtection="1">
      <alignment horizontal="left" vertical="top"/>
      <protection locked="0"/>
    </xf>
    <xf numFmtId="0" fontId="2" fillId="0" borderId="18" xfId="1" applyBorder="1" applyAlignment="1" applyProtection="1">
      <alignment horizontal="left" vertical="top"/>
      <protection locked="0"/>
    </xf>
    <xf numFmtId="0" fontId="2" fillId="0" borderId="20" xfId="1" applyBorder="1" applyAlignment="1" applyProtection="1">
      <alignment horizontal="center" vertical="center"/>
      <protection locked="0"/>
    </xf>
    <xf numFmtId="15" fontId="2" fillId="0" borderId="20" xfId="1" applyNumberFormat="1" applyBorder="1" applyAlignment="1" applyProtection="1">
      <alignment horizontal="left" vertical="top"/>
      <protection locked="0"/>
    </xf>
    <xf numFmtId="0" fontId="2" fillId="0" borderId="21" xfId="1" applyBorder="1" applyAlignment="1" applyProtection="1">
      <alignment horizontal="left" vertical="top"/>
      <protection locked="0"/>
    </xf>
    <xf numFmtId="0" fontId="6" fillId="2" borderId="0" xfId="2" applyFont="1" applyFill="1" applyAlignment="1">
      <alignment horizontal="left"/>
    </xf>
    <xf numFmtId="0" fontId="5" fillId="2" borderId="0" xfId="2" applyFill="1"/>
    <xf numFmtId="0" fontId="7" fillId="0" borderId="0" xfId="2" applyFont="1"/>
    <xf numFmtId="0" fontId="8" fillId="0" borderId="0" xfId="2" applyFont="1" applyAlignment="1">
      <alignment horizontal="left"/>
    </xf>
    <xf numFmtId="0" fontId="8" fillId="0" borderId="0" xfId="2" applyFont="1" applyProtection="1">
      <protection locked="0"/>
    </xf>
    <xf numFmtId="0" fontId="9" fillId="0" borderId="0" xfId="2" applyFont="1" applyAlignment="1">
      <alignment horizontal="right"/>
    </xf>
    <xf numFmtId="0" fontId="10" fillId="0" borderId="0" xfId="3" applyAlignment="1" applyProtection="1"/>
    <xf numFmtId="0" fontId="11" fillId="0" borderId="0" xfId="2" applyFont="1"/>
    <xf numFmtId="0" fontId="12" fillId="0" borderId="0" xfId="2" applyFont="1" applyAlignment="1">
      <alignment horizontal="center"/>
    </xf>
    <xf numFmtId="0" fontId="13" fillId="4" borderId="23" xfId="2" applyFont="1" applyFill="1" applyBorder="1" applyAlignment="1">
      <alignment horizontal="center"/>
    </xf>
    <xf numFmtId="0" fontId="14" fillId="4" borderId="23" xfId="2" applyFont="1" applyFill="1" applyBorder="1" applyProtection="1">
      <protection locked="0"/>
    </xf>
    <xf numFmtId="0" fontId="14" fillId="4" borderId="23" xfId="2" applyFont="1" applyFill="1" applyBorder="1" applyAlignment="1" applyProtection="1">
      <alignment horizontal="center"/>
      <protection locked="0"/>
    </xf>
    <xf numFmtId="0" fontId="15" fillId="0" borderId="0" xfId="2" applyFont="1" applyAlignment="1">
      <alignment horizontal="center"/>
    </xf>
    <xf numFmtId="0" fontId="16" fillId="0" borderId="24" xfId="4" applyNumberFormat="1" applyFont="1" applyBorder="1" applyAlignment="1" applyProtection="1">
      <alignment horizontal="center"/>
    </xf>
    <xf numFmtId="0" fontId="16" fillId="0" borderId="0" xfId="4" applyNumberFormat="1" applyFont="1" applyBorder="1" applyAlignment="1" applyProtection="1">
      <alignment horizontal="center"/>
    </xf>
    <xf numFmtId="9" fontId="16" fillId="0" borderId="25" xfId="2" applyNumberFormat="1" applyFont="1" applyBorder="1" applyAlignment="1">
      <alignment horizontal="center"/>
    </xf>
    <xf numFmtId="0" fontId="17" fillId="2" borderId="0" xfId="2" applyFont="1" applyFill="1"/>
    <xf numFmtId="0" fontId="0" fillId="0" borderId="20" xfId="0" applyBorder="1" applyAlignment="1">
      <alignment horizontal="left" vertical="top" wrapText="1"/>
    </xf>
    <xf numFmtId="0" fontId="0" fillId="0" borderId="3" xfId="0" applyBorder="1" applyAlignment="1">
      <alignment horizontal="left" vertical="top" wrapText="1"/>
    </xf>
    <xf numFmtId="0" fontId="0" fillId="0" borderId="0" xfId="0" applyAlignment="1">
      <alignment horizontal="left" vertical="top"/>
    </xf>
    <xf numFmtId="0" fontId="0" fillId="6" borderId="0" xfId="0" applyFill="1"/>
    <xf numFmtId="0" fontId="5" fillId="0" borderId="3" xfId="0" applyFont="1" applyBorder="1" applyAlignment="1">
      <alignment horizontal="left" vertical="top" wrapText="1"/>
    </xf>
    <xf numFmtId="0" fontId="9" fillId="5" borderId="3" xfId="0" applyFont="1" applyFill="1" applyBorder="1" applyAlignment="1">
      <alignment horizontal="center" vertical="center"/>
    </xf>
    <xf numFmtId="0" fontId="9" fillId="5" borderId="3" xfId="0" applyFont="1" applyFill="1" applyBorder="1" applyAlignment="1">
      <alignment horizontal="center" vertical="center" wrapText="1"/>
    </xf>
    <xf numFmtId="0" fontId="1" fillId="7" borderId="12"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1" fillId="7" borderId="17" xfId="0" applyFont="1" applyFill="1" applyBorder="1" applyAlignment="1">
      <alignment horizontal="center" vertical="center" wrapText="1"/>
    </xf>
    <xf numFmtId="0" fontId="1" fillId="7" borderId="18" xfId="0" applyFont="1" applyFill="1" applyBorder="1" applyAlignment="1">
      <alignment horizontal="center" vertical="center" wrapText="1"/>
    </xf>
    <xf numFmtId="0" fontId="1" fillId="7" borderId="32" xfId="0" applyFont="1" applyFill="1" applyBorder="1" applyAlignment="1">
      <alignment horizontal="center" vertical="center" wrapText="1"/>
    </xf>
    <xf numFmtId="0" fontId="1" fillId="7" borderId="33" xfId="0" applyFont="1" applyFill="1" applyBorder="1" applyAlignment="1">
      <alignment horizontal="center" vertical="center" wrapText="1"/>
    </xf>
    <xf numFmtId="0" fontId="1" fillId="7" borderId="34" xfId="0" applyFont="1" applyFill="1" applyBorder="1" applyAlignment="1">
      <alignment horizontal="center" vertical="center" wrapText="1"/>
    </xf>
    <xf numFmtId="0" fontId="9" fillId="5" borderId="32" xfId="0" applyFont="1" applyFill="1" applyBorder="1" applyAlignment="1">
      <alignment horizontal="left" vertical="top" wrapText="1"/>
    </xf>
    <xf numFmtId="0" fontId="9" fillId="5" borderId="33" xfId="0" applyFont="1" applyFill="1" applyBorder="1" applyAlignment="1">
      <alignment horizontal="left" vertical="top" wrapText="1"/>
    </xf>
    <xf numFmtId="0" fontId="9" fillId="5" borderId="34" xfId="0" applyFont="1" applyFill="1" applyBorder="1" applyAlignment="1">
      <alignment horizontal="left" vertical="top" wrapText="1"/>
    </xf>
    <xf numFmtId="0" fontId="0" fillId="0" borderId="17" xfId="0" applyBorder="1" applyAlignment="1">
      <alignment horizontal="left" vertical="top" wrapText="1"/>
    </xf>
    <xf numFmtId="1" fontId="5" fillId="0" borderId="3" xfId="0" applyNumberFormat="1" applyFont="1" applyBorder="1" applyAlignment="1">
      <alignment horizontal="center" vertical="center" wrapText="1"/>
    </xf>
    <xf numFmtId="1" fontId="5" fillId="0" borderId="3" xfId="7" applyNumberFormat="1" applyFont="1" applyBorder="1" applyAlignment="1">
      <alignment horizontal="center" vertical="center" wrapText="1"/>
    </xf>
    <xf numFmtId="1" fontId="5" fillId="0" borderId="3" xfId="0" applyNumberFormat="1" applyFont="1" applyBorder="1" applyAlignment="1">
      <alignment horizontal="center" vertical="center"/>
    </xf>
    <xf numFmtId="1" fontId="5" fillId="0" borderId="3" xfId="7" applyNumberFormat="1" applyFont="1" applyBorder="1" applyAlignment="1">
      <alignment horizontal="center" vertical="center"/>
    </xf>
    <xf numFmtId="1" fontId="2" fillId="0" borderId="19" xfId="1" applyNumberFormat="1" applyBorder="1" applyAlignment="1" applyProtection="1">
      <alignment horizontal="center" vertical="center" wrapText="1"/>
      <protection locked="0"/>
    </xf>
    <xf numFmtId="1" fontId="2" fillId="0" borderId="13" xfId="1" applyNumberFormat="1" applyBorder="1" applyAlignment="1" applyProtection="1">
      <alignment horizontal="center" vertical="center" wrapText="1"/>
      <protection locked="0"/>
    </xf>
    <xf numFmtId="1" fontId="2" fillId="0" borderId="1" xfId="1" applyNumberFormat="1" applyBorder="1" applyAlignment="1" applyProtection="1">
      <alignment horizontal="center" vertical="center" wrapText="1"/>
      <protection locked="0"/>
    </xf>
    <xf numFmtId="1" fontId="2" fillId="0" borderId="15" xfId="1" applyNumberFormat="1" applyBorder="1" applyAlignment="1" applyProtection="1">
      <alignment horizontal="center" vertical="center" wrapText="1"/>
      <protection locked="0"/>
    </xf>
    <xf numFmtId="1" fontId="2" fillId="0" borderId="3" xfId="1" applyNumberFormat="1" applyBorder="1" applyAlignment="1" applyProtection="1">
      <alignment horizontal="left" vertical="top" wrapText="1"/>
      <protection locked="0"/>
    </xf>
    <xf numFmtId="1" fontId="2" fillId="0" borderId="3" xfId="1" applyNumberFormat="1" applyBorder="1" applyAlignment="1" applyProtection="1">
      <alignment horizontal="left" vertical="top"/>
      <protection locked="0"/>
    </xf>
    <xf numFmtId="1" fontId="2" fillId="0" borderId="17" xfId="1" applyNumberFormat="1" applyBorder="1" applyAlignment="1" applyProtection="1">
      <alignment horizontal="left" vertical="top" wrapText="1"/>
      <protection locked="0"/>
    </xf>
    <xf numFmtId="1" fontId="2" fillId="0" borderId="17" xfId="1" applyNumberFormat="1" applyBorder="1" applyAlignment="1" applyProtection="1">
      <alignment horizontal="left" vertical="top"/>
      <protection locked="0"/>
    </xf>
    <xf numFmtId="1" fontId="0" fillId="0" borderId="19" xfId="0" applyNumberFormat="1" applyBorder="1" applyAlignment="1">
      <alignment horizontal="left" vertical="top" wrapText="1"/>
    </xf>
    <xf numFmtId="1" fontId="0" fillId="0" borderId="13" xfId="0" applyNumberFormat="1" applyBorder="1" applyAlignment="1">
      <alignment horizontal="left" vertical="top" wrapText="1"/>
    </xf>
    <xf numFmtId="1" fontId="0" fillId="0" borderId="15" xfId="0" applyNumberFormat="1" applyBorder="1" applyAlignment="1">
      <alignment horizontal="left" vertical="top" wrapText="1"/>
    </xf>
    <xf numFmtId="165" fontId="5" fillId="0" borderId="3" xfId="0" applyNumberFormat="1" applyFont="1" applyBorder="1" applyAlignment="1">
      <alignment horizontal="center" vertical="center" wrapText="1"/>
    </xf>
    <xf numFmtId="165" fontId="5" fillId="0" borderId="3" xfId="7" applyNumberFormat="1" applyFont="1" applyBorder="1" applyAlignment="1">
      <alignment horizontal="center" vertical="center" wrapText="1"/>
    </xf>
    <xf numFmtId="165" fontId="5" fillId="0" borderId="3" xfId="0" applyNumberFormat="1" applyFont="1" applyBorder="1" applyAlignment="1">
      <alignment horizontal="center" vertical="center"/>
    </xf>
    <xf numFmtId="165" fontId="2" fillId="0" borderId="3" xfId="1" applyNumberFormat="1" applyBorder="1" applyAlignment="1" applyProtection="1">
      <alignment horizontal="center" vertical="center"/>
      <protection locked="0"/>
    </xf>
    <xf numFmtId="165" fontId="2" fillId="0" borderId="4" xfId="1" applyNumberFormat="1" applyBorder="1" applyAlignment="1" applyProtection="1">
      <alignment horizontal="center" vertical="center"/>
      <protection locked="0"/>
    </xf>
    <xf numFmtId="165" fontId="2" fillId="0" borderId="5" xfId="1" applyNumberFormat="1" applyBorder="1" applyAlignment="1" applyProtection="1">
      <alignment horizontal="center" vertical="center"/>
      <protection locked="0"/>
    </xf>
    <xf numFmtId="165" fontId="2" fillId="0" borderId="16" xfId="1" applyNumberFormat="1" applyBorder="1" applyAlignment="1" applyProtection="1">
      <alignment horizontal="center" vertical="center"/>
      <protection locked="0"/>
    </xf>
    <xf numFmtId="1" fontId="2" fillId="0" borderId="4" xfId="1" applyNumberFormat="1" applyBorder="1" applyAlignment="1" applyProtection="1">
      <alignment horizontal="left" vertical="top"/>
      <protection locked="0"/>
    </xf>
    <xf numFmtId="1" fontId="2" fillId="0" borderId="5" xfId="1" applyNumberFormat="1" applyBorder="1" applyAlignment="1" applyProtection="1">
      <alignment horizontal="left" vertical="top"/>
      <protection locked="0"/>
    </xf>
    <xf numFmtId="1" fontId="2" fillId="0" borderId="16" xfId="1" applyNumberFormat="1" applyBorder="1" applyAlignment="1" applyProtection="1">
      <alignment horizontal="left" vertical="top"/>
      <protection locked="0"/>
    </xf>
    <xf numFmtId="165" fontId="2" fillId="0" borderId="2" xfId="1" applyNumberFormat="1" applyBorder="1" applyAlignment="1" applyProtection="1">
      <alignment horizontal="left" vertical="top"/>
      <protection locked="0"/>
    </xf>
    <xf numFmtId="165" fontId="2" fillId="0" borderId="22" xfId="1" applyNumberFormat="1" applyBorder="1" applyAlignment="1" applyProtection="1">
      <alignment horizontal="left" vertical="top"/>
      <protection locked="0"/>
    </xf>
    <xf numFmtId="166" fontId="2" fillId="0" borderId="3" xfId="1" applyNumberFormat="1" applyBorder="1" applyAlignment="1" applyProtection="1">
      <alignment horizontal="center" vertical="center"/>
      <protection locked="0"/>
    </xf>
    <xf numFmtId="166" fontId="2" fillId="0" borderId="4" xfId="1" applyNumberFormat="1" applyBorder="1" applyAlignment="1" applyProtection="1">
      <alignment horizontal="center" vertical="center"/>
      <protection locked="0"/>
    </xf>
    <xf numFmtId="166" fontId="2" fillId="0" borderId="5" xfId="1" applyNumberFormat="1" applyBorder="1" applyAlignment="1" applyProtection="1">
      <alignment horizontal="center" vertical="center"/>
      <protection locked="0"/>
    </xf>
    <xf numFmtId="166" fontId="2" fillId="0" borderId="16" xfId="1" applyNumberFormat="1" applyBorder="1" applyAlignment="1" applyProtection="1">
      <alignment horizontal="center" vertical="center"/>
      <protection locked="0"/>
    </xf>
    <xf numFmtId="167" fontId="0" fillId="0" borderId="20" xfId="0" applyNumberFormat="1" applyBorder="1" applyAlignment="1">
      <alignment horizontal="left" vertical="top" wrapText="1"/>
    </xf>
    <xf numFmtId="167" fontId="0" fillId="0" borderId="21" xfId="0" applyNumberFormat="1" applyBorder="1" applyAlignment="1">
      <alignment horizontal="left" vertical="top" wrapText="1"/>
    </xf>
    <xf numFmtId="167" fontId="0" fillId="0" borderId="3" xfId="0" applyNumberFormat="1" applyBorder="1" applyAlignment="1">
      <alignment horizontal="left" vertical="top" wrapText="1"/>
    </xf>
    <xf numFmtId="167" fontId="0" fillId="0" borderId="14" xfId="0" applyNumberFormat="1" applyBorder="1" applyAlignment="1">
      <alignment horizontal="left" vertical="top" wrapText="1"/>
    </xf>
    <xf numFmtId="167" fontId="0" fillId="0" borderId="17" xfId="0" applyNumberFormat="1" applyBorder="1" applyAlignment="1">
      <alignment horizontal="left" vertical="top" wrapText="1"/>
    </xf>
    <xf numFmtId="167" fontId="0" fillId="0" borderId="18" xfId="0" applyNumberFormat="1" applyBorder="1" applyAlignment="1">
      <alignment horizontal="left" vertical="top" wrapText="1"/>
    </xf>
    <xf numFmtId="1" fontId="2" fillId="0" borderId="20" xfId="1" applyNumberFormat="1" applyBorder="1" applyAlignment="1" applyProtection="1">
      <alignment horizontal="center" vertical="top"/>
      <protection locked="0"/>
    </xf>
    <xf numFmtId="1" fontId="2" fillId="0" borderId="20" xfId="1" applyNumberFormat="1" applyBorder="1" applyAlignment="1" applyProtection="1">
      <alignment horizontal="center" vertical="top" wrapText="1"/>
      <protection locked="0"/>
    </xf>
    <xf numFmtId="0" fontId="24" fillId="0" borderId="35" xfId="0" applyFont="1" applyBorder="1" applyAlignment="1">
      <alignment vertical="center" wrapText="1"/>
    </xf>
    <xf numFmtId="0" fontId="5" fillId="0" borderId="0" xfId="2"/>
    <xf numFmtId="0" fontId="5" fillId="0" borderId="0" xfId="2" applyAlignment="1">
      <alignment horizontal="left"/>
    </xf>
    <xf numFmtId="0" fontId="5" fillId="0" borderId="0" xfId="2" applyProtection="1">
      <protection locked="0"/>
    </xf>
    <xf numFmtId="0" fontId="5" fillId="0" borderId="0" xfId="2" applyAlignment="1" applyProtection="1">
      <alignment horizontal="left"/>
      <protection locked="0"/>
    </xf>
    <xf numFmtId="0" fontId="5" fillId="0" borderId="0" xfId="2" applyAlignment="1">
      <alignment horizontal="right"/>
    </xf>
    <xf numFmtId="9" fontId="5" fillId="3" borderId="0" xfId="2" applyNumberFormat="1" applyFill="1" applyAlignment="1" applyProtection="1">
      <alignment horizontal="center"/>
      <protection locked="0"/>
    </xf>
    <xf numFmtId="0" fontId="5" fillId="0" borderId="0" xfId="2" applyAlignment="1">
      <alignment horizontal="center"/>
    </xf>
    <xf numFmtId="0" fontId="5" fillId="3" borderId="0" xfId="2" applyFill="1" applyProtection="1">
      <protection locked="0"/>
    </xf>
    <xf numFmtId="0" fontId="5" fillId="3" borderId="0" xfId="2" applyFill="1" applyAlignment="1" applyProtection="1">
      <alignment horizontal="center"/>
      <protection locked="0"/>
    </xf>
    <xf numFmtId="164" fontId="5" fillId="0" borderId="0" xfId="4" applyNumberFormat="1" applyFont="1" applyAlignment="1" applyProtection="1">
      <alignment horizontal="center"/>
    </xf>
    <xf numFmtId="0" fontId="29" fillId="0" borderId="36" xfId="0" applyFont="1" applyBorder="1" applyAlignment="1">
      <alignment wrapText="1"/>
    </xf>
    <xf numFmtId="0" fontId="23" fillId="8" borderId="35" xfId="0" applyFont="1" applyFill="1" applyBorder="1" applyAlignment="1">
      <alignment horizontal="center" vertical="center" wrapText="1"/>
    </xf>
    <xf numFmtId="0" fontId="0" fillId="0" borderId="35" xfId="0" applyBorder="1" applyAlignment="1">
      <alignment vertical="center" wrapText="1"/>
    </xf>
    <xf numFmtId="0" fontId="24" fillId="0" borderId="35" xfId="0" applyFont="1" applyBorder="1" applyAlignment="1">
      <alignment horizontal="center" vertical="center" wrapText="1"/>
    </xf>
    <xf numFmtId="0" fontId="24" fillId="0" borderId="35" xfId="0" applyFont="1" applyBorder="1" applyAlignment="1">
      <alignment horizontal="left" vertical="center" wrapText="1"/>
    </xf>
    <xf numFmtId="0" fontId="25" fillId="0" borderId="35" xfId="0" applyFont="1" applyBorder="1" applyAlignment="1">
      <alignment horizontal="center" vertical="center" wrapText="1"/>
    </xf>
    <xf numFmtId="0" fontId="29" fillId="0" borderId="35" xfId="0" applyFont="1" applyBorder="1" applyAlignment="1">
      <alignment wrapText="1"/>
    </xf>
    <xf numFmtId="0" fontId="29" fillId="0" borderId="39" xfId="0" applyFont="1" applyBorder="1" applyAlignment="1">
      <alignment wrapText="1"/>
    </xf>
    <xf numFmtId="0" fontId="29" fillId="0" borderId="37" xfId="0" applyFont="1" applyBorder="1" applyAlignment="1">
      <alignment wrapText="1"/>
    </xf>
    <xf numFmtId="0" fontId="29" fillId="0" borderId="43" xfId="0" applyFont="1" applyBorder="1" applyAlignment="1">
      <alignment wrapText="1"/>
    </xf>
    <xf numFmtId="0" fontId="29" fillId="0" borderId="38" xfId="0" applyFont="1" applyBorder="1" applyAlignment="1">
      <alignment wrapText="1"/>
    </xf>
    <xf numFmtId="0" fontId="29" fillId="0" borderId="40" xfId="0" applyFont="1" applyBorder="1" applyAlignment="1">
      <alignment wrapText="1"/>
    </xf>
    <xf numFmtId="0" fontId="29" fillId="0" borderId="37" xfId="0" applyFont="1" applyBorder="1" applyAlignment="1">
      <alignment vertical="center" wrapText="1"/>
    </xf>
    <xf numFmtId="0" fontId="29" fillId="0" borderId="43" xfId="0" applyFont="1" applyBorder="1" applyAlignment="1">
      <alignment vertical="center" wrapText="1"/>
    </xf>
    <xf numFmtId="0" fontId="29" fillId="0" borderId="39" xfId="0" applyFont="1" applyBorder="1" applyAlignment="1">
      <alignment vertical="center" wrapText="1"/>
    </xf>
    <xf numFmtId="0" fontId="29" fillId="0" borderId="44" xfId="0" applyFont="1" applyBorder="1" applyAlignment="1">
      <alignment vertical="center" wrapText="1"/>
    </xf>
    <xf numFmtId="0" fontId="29" fillId="0" borderId="35" xfId="0" applyFont="1" applyBorder="1" applyAlignment="1">
      <alignment vertical="center" wrapText="1"/>
    </xf>
    <xf numFmtId="0" fontId="29" fillId="0" borderId="31" xfId="0" applyFont="1" applyBorder="1" applyAlignment="1">
      <alignment vertical="center" wrapText="1"/>
    </xf>
    <xf numFmtId="0" fontId="29" fillId="0" borderId="30" xfId="0" applyFont="1" applyBorder="1" applyAlignment="1">
      <alignment vertical="center" wrapText="1"/>
    </xf>
    <xf numFmtId="0" fontId="29" fillId="0" borderId="28" xfId="0" applyFont="1" applyBorder="1" applyAlignment="1">
      <alignment vertical="center" wrapText="1"/>
    </xf>
    <xf numFmtId="0" fontId="29" fillId="0" borderId="43" xfId="0" applyFont="1" applyBorder="1"/>
    <xf numFmtId="0" fontId="0" fillId="10" borderId="35" xfId="0" applyFill="1" applyBorder="1" applyAlignment="1">
      <alignment vertical="center" wrapText="1"/>
    </xf>
    <xf numFmtId="0" fontId="24" fillId="0" borderId="40" xfId="0" applyFont="1" applyBorder="1" applyAlignment="1">
      <alignment vertical="center" wrapText="1"/>
    </xf>
    <xf numFmtId="0" fontId="5" fillId="0" borderId="3" xfId="0" applyFont="1" applyBorder="1" applyAlignment="1">
      <alignment horizontal="center" vertical="top" wrapText="1"/>
    </xf>
    <xf numFmtId="0" fontId="0" fillId="6" borderId="0" xfId="0" applyFill="1" applyAlignment="1">
      <alignment horizontal="center"/>
    </xf>
    <xf numFmtId="0" fontId="0" fillId="0" borderId="0" xfId="0" applyAlignment="1">
      <alignment horizontal="center"/>
    </xf>
    <xf numFmtId="0" fontId="24" fillId="10" borderId="35" xfId="0" applyFont="1" applyFill="1" applyBorder="1" applyAlignment="1">
      <alignment vertical="center" wrapText="1"/>
    </xf>
    <xf numFmtId="0" fontId="0" fillId="0" borderId="39" xfId="0" applyBorder="1" applyAlignment="1">
      <alignment vertical="center" wrapText="1"/>
    </xf>
    <xf numFmtId="0" fontId="27" fillId="0" borderId="35" xfId="0" applyFont="1" applyBorder="1" applyAlignment="1">
      <alignment horizontal="center" vertical="center" wrapText="1"/>
    </xf>
    <xf numFmtId="0" fontId="29" fillId="0" borderId="35" xfId="0" applyFont="1" applyBorder="1" applyAlignment="1">
      <alignment horizontal="left" vertical="center" wrapText="1"/>
    </xf>
    <xf numFmtId="0" fontId="29" fillId="0" borderId="35" xfId="0" applyFont="1" applyBorder="1" applyAlignment="1">
      <alignment horizontal="center" vertical="center" wrapText="1"/>
    </xf>
    <xf numFmtId="0" fontId="33" fillId="0" borderId="35" xfId="0" applyFont="1" applyBorder="1" applyAlignment="1">
      <alignment horizontal="center" vertical="center" wrapText="1"/>
    </xf>
    <xf numFmtId="0" fontId="34" fillId="0" borderId="35" xfId="0" applyFont="1" applyBorder="1" applyAlignment="1">
      <alignment horizontal="center" vertical="center" wrapText="1"/>
    </xf>
    <xf numFmtId="0" fontId="30" fillId="0" borderId="35" xfId="0" applyFont="1" applyBorder="1" applyAlignment="1">
      <alignment vertical="center" wrapText="1"/>
    </xf>
    <xf numFmtId="0" fontId="35" fillId="0" borderId="45" xfId="0" applyFont="1" applyBorder="1" applyAlignment="1">
      <alignment horizontal="left" vertical="center" wrapText="1"/>
    </xf>
    <xf numFmtId="0" fontId="24" fillId="0" borderId="3" xfId="0" applyFont="1" applyBorder="1" applyAlignment="1">
      <alignment vertical="center" wrapText="1"/>
    </xf>
    <xf numFmtId="0" fontId="24" fillId="0" borderId="28" xfId="0" applyFont="1" applyBorder="1" applyAlignment="1">
      <alignment horizontal="left" vertical="center" wrapText="1"/>
    </xf>
    <xf numFmtId="0" fontId="0" fillId="0" borderId="35" xfId="0" applyBorder="1" applyAlignment="1">
      <alignment horizontal="center" vertical="center" wrapText="1"/>
    </xf>
    <xf numFmtId="0" fontId="0" fillId="0" borderId="41" xfId="0" applyBorder="1" applyAlignment="1">
      <alignment horizontal="center" vertical="center" wrapText="1"/>
    </xf>
    <xf numFmtId="0" fontId="24" fillId="0" borderId="38" xfId="0" applyFont="1" applyBorder="1" applyAlignment="1">
      <alignment horizontal="center" vertical="center" wrapText="1"/>
    </xf>
    <xf numFmtId="0" fontId="24" fillId="0" borderId="41" xfId="0" applyFont="1" applyBorder="1" applyAlignment="1">
      <alignment horizontal="left" vertical="center" wrapText="1"/>
    </xf>
    <xf numFmtId="0" fontId="24" fillId="0" borderId="39" xfId="0" applyFont="1" applyBorder="1" applyAlignment="1">
      <alignment vertical="center" wrapText="1"/>
    </xf>
    <xf numFmtId="0" fontId="24" fillId="0" borderId="41" xfId="0" applyFont="1" applyBorder="1" applyAlignment="1">
      <alignment horizontal="center" vertical="center" wrapText="1"/>
    </xf>
    <xf numFmtId="0" fontId="29" fillId="11" borderId="35" xfId="0" applyFont="1" applyFill="1" applyBorder="1" applyAlignment="1">
      <alignment horizontal="left" vertical="center" wrapText="1"/>
    </xf>
    <xf numFmtId="0" fontId="24" fillId="11" borderId="35" xfId="0" applyFont="1" applyFill="1" applyBorder="1" applyAlignment="1">
      <alignment vertical="center" wrapText="1"/>
    </xf>
    <xf numFmtId="0" fontId="29" fillId="0" borderId="39" xfId="0" applyFont="1" applyBorder="1" applyAlignment="1">
      <alignment horizontal="left" vertical="center" wrapText="1"/>
    </xf>
    <xf numFmtId="0" fontId="0" fillId="0" borderId="35" xfId="0" applyBorder="1" applyAlignment="1">
      <alignment horizontal="left" vertical="center" wrapText="1"/>
    </xf>
    <xf numFmtId="0" fontId="33" fillId="0" borderId="35" xfId="0" applyFont="1" applyBorder="1" applyAlignment="1">
      <alignment horizontal="left" vertical="center" wrapText="1"/>
    </xf>
    <xf numFmtId="0" fontId="0" fillId="0" borderId="41" xfId="0" applyBorder="1" applyAlignment="1">
      <alignment horizontal="left" vertical="center" wrapText="1"/>
    </xf>
    <xf numFmtId="0" fontId="24" fillId="0" borderId="39" xfId="0" applyFont="1" applyBorder="1" applyAlignment="1">
      <alignment horizontal="left" vertical="center" wrapText="1"/>
    </xf>
    <xf numFmtId="0" fontId="24" fillId="0" borderId="46" xfId="0" applyFont="1" applyBorder="1" applyAlignment="1">
      <alignment horizontal="center" vertical="center" wrapText="1"/>
    </xf>
    <xf numFmtId="0" fontId="24" fillId="12" borderId="35" xfId="0" applyFont="1" applyFill="1" applyBorder="1" applyAlignment="1">
      <alignment horizontal="left" vertical="center" wrapText="1"/>
    </xf>
    <xf numFmtId="0" fontId="24" fillId="12" borderId="35" xfId="0" applyFont="1" applyFill="1" applyBorder="1" applyAlignment="1">
      <alignment vertical="center" wrapText="1"/>
    </xf>
    <xf numFmtId="0" fontId="25" fillId="12" borderId="35" xfId="0" applyFont="1" applyFill="1" applyBorder="1" applyAlignment="1">
      <alignment horizontal="center" vertical="center" wrapText="1"/>
    </xf>
    <xf numFmtId="0" fontId="24" fillId="12" borderId="35" xfId="0" applyFont="1" applyFill="1" applyBorder="1" applyAlignment="1">
      <alignment horizontal="center" vertical="center" wrapText="1"/>
    </xf>
    <xf numFmtId="0" fontId="24" fillId="10" borderId="35" xfId="0" applyFont="1" applyFill="1" applyBorder="1" applyAlignment="1">
      <alignment horizontal="left" vertical="center" wrapText="1"/>
    </xf>
    <xf numFmtId="0" fontId="25" fillId="10" borderId="35" xfId="0" applyFont="1" applyFill="1" applyBorder="1" applyAlignment="1">
      <alignment horizontal="center" vertical="center" wrapText="1"/>
    </xf>
    <xf numFmtId="0" fontId="24" fillId="10" borderId="35" xfId="0" applyFont="1" applyFill="1" applyBorder="1" applyAlignment="1">
      <alignment horizontal="center" vertical="center" wrapText="1"/>
    </xf>
    <xf numFmtId="0" fontId="24" fillId="0" borderId="46" xfId="0" applyFont="1" applyBorder="1" applyAlignment="1">
      <alignment horizontal="left" vertical="center" wrapText="1"/>
    </xf>
    <xf numFmtId="0" fontId="29" fillId="0" borderId="0" xfId="0" applyFont="1" applyAlignment="1">
      <alignment horizontal="left" vertical="center" wrapText="1"/>
    </xf>
    <xf numFmtId="0" fontId="28" fillId="0" borderId="35" xfId="0" applyFont="1" applyBorder="1" applyAlignment="1">
      <alignment horizontal="left" vertical="center"/>
    </xf>
    <xf numFmtId="0" fontId="35" fillId="0" borderId="35" xfId="0" applyFont="1" applyBorder="1" applyAlignment="1">
      <alignment horizontal="left" vertical="center" wrapText="1"/>
    </xf>
    <xf numFmtId="0" fontId="29" fillId="0" borderId="46" xfId="0" applyFont="1" applyBorder="1" applyAlignment="1">
      <alignment horizontal="left" vertical="center" wrapText="1"/>
    </xf>
    <xf numFmtId="0" fontId="28" fillId="0" borderId="42" xfId="0" applyFont="1" applyBorder="1" applyAlignment="1">
      <alignment horizontal="left" vertical="center"/>
    </xf>
    <xf numFmtId="0" fontId="29" fillId="0" borderId="42" xfId="0" applyFont="1" applyBorder="1" applyAlignment="1">
      <alignment horizontal="left" vertical="center" wrapText="1"/>
    </xf>
    <xf numFmtId="0" fontId="24" fillId="0" borderId="42" xfId="0" applyFont="1" applyBorder="1" applyAlignment="1">
      <alignment horizontal="left" vertical="center" wrapText="1"/>
    </xf>
    <xf numFmtId="0" fontId="24" fillId="0" borderId="44" xfId="0" applyFont="1" applyBorder="1" applyAlignment="1">
      <alignment horizontal="left" vertical="center" wrapText="1"/>
    </xf>
    <xf numFmtId="0" fontId="30" fillId="0" borderId="39" xfId="0" applyFont="1" applyBorder="1" applyAlignment="1">
      <alignment horizontal="left" vertical="center" wrapText="1"/>
    </xf>
    <xf numFmtId="0" fontId="30" fillId="0" borderId="43" xfId="0" applyFont="1" applyBorder="1"/>
    <xf numFmtId="0" fontId="30" fillId="0" borderId="44" xfId="0" applyFont="1" applyBorder="1" applyAlignment="1">
      <alignment vertical="center"/>
    </xf>
    <xf numFmtId="0" fontId="30" fillId="0" borderId="39" xfId="0" applyFont="1" applyBorder="1" applyAlignment="1">
      <alignment vertical="center"/>
    </xf>
    <xf numFmtId="0" fontId="29" fillId="0" borderId="38" xfId="0" applyFont="1" applyBorder="1" applyAlignment="1">
      <alignment vertical="center" wrapText="1"/>
    </xf>
    <xf numFmtId="0" fontId="0" fillId="0" borderId="0" xfId="0" applyAlignment="1">
      <alignment horizontal="center" vertical="center"/>
    </xf>
    <xf numFmtId="1" fontId="0" fillId="0" borderId="0" xfId="0" applyNumberFormat="1" applyAlignment="1">
      <alignment horizontal="left"/>
    </xf>
    <xf numFmtId="0" fontId="37" fillId="0" borderId="0" xfId="0" applyFont="1"/>
    <xf numFmtId="0" fontId="0" fillId="0" borderId="35" xfId="0" applyBorder="1" applyAlignment="1">
      <alignment horizontal="left"/>
    </xf>
    <xf numFmtId="0" fontId="0" fillId="0" borderId="41" xfId="0" applyBorder="1"/>
    <xf numFmtId="0" fontId="19" fillId="6" borderId="38" xfId="0" applyFont="1" applyFill="1" applyBorder="1" applyAlignment="1">
      <alignment horizontal="right"/>
    </xf>
    <xf numFmtId="0" fontId="9" fillId="6" borderId="36" xfId="2" applyFont="1" applyFill="1" applyBorder="1"/>
    <xf numFmtId="0" fontId="0" fillId="6" borderId="40" xfId="0" applyFill="1" applyBorder="1"/>
    <xf numFmtId="0" fontId="0" fillId="0" borderId="42" xfId="0" applyBorder="1"/>
    <xf numFmtId="0" fontId="0" fillId="0" borderId="0" xfId="0" applyAlignment="1">
      <alignment wrapText="1"/>
    </xf>
    <xf numFmtId="0" fontId="36" fillId="8" borderId="35" xfId="0" applyFont="1" applyFill="1" applyBorder="1" applyAlignment="1">
      <alignment horizontal="center" vertical="center" wrapText="1"/>
    </xf>
    <xf numFmtId="1" fontId="36" fillId="8" borderId="35" xfId="0" applyNumberFormat="1" applyFont="1" applyFill="1" applyBorder="1" applyAlignment="1">
      <alignment horizontal="left" vertical="center" wrapText="1"/>
    </xf>
    <xf numFmtId="0" fontId="36" fillId="8" borderId="35" xfId="0" applyFont="1" applyFill="1" applyBorder="1" applyAlignment="1">
      <alignment horizontal="left" vertical="center" wrapText="1"/>
    </xf>
    <xf numFmtId="0" fontId="18" fillId="5" borderId="2" xfId="2" applyFont="1" applyFill="1" applyBorder="1"/>
    <xf numFmtId="0" fontId="0" fillId="5" borderId="27" xfId="0" applyFill="1" applyBorder="1"/>
    <xf numFmtId="0" fontId="0" fillId="5" borderId="23" xfId="0" applyFill="1" applyBorder="1"/>
    <xf numFmtId="0" fontId="0" fillId="5" borderId="31" xfId="0" applyFill="1" applyBorder="1"/>
    <xf numFmtId="0" fontId="18" fillId="5" borderId="2" xfId="5" applyFont="1" applyFill="1" applyBorder="1" applyAlignment="1">
      <alignment horizontal="left" vertical="center"/>
    </xf>
    <xf numFmtId="0" fontId="18" fillId="5" borderId="27" xfId="5" applyFont="1" applyFill="1" applyBorder="1" applyAlignment="1">
      <alignment horizontal="left" vertical="center"/>
    </xf>
    <xf numFmtId="0" fontId="18" fillId="5" borderId="28" xfId="5" applyFont="1" applyFill="1" applyBorder="1" applyAlignment="1">
      <alignment horizontal="left" vertical="center"/>
    </xf>
    <xf numFmtId="0" fontId="5" fillId="6" borderId="29" xfId="6" applyFill="1" applyBorder="1" applyAlignment="1">
      <alignment horizontal="center"/>
    </xf>
    <xf numFmtId="0" fontId="5" fillId="6" borderId="30" xfId="6" applyFill="1" applyBorder="1" applyAlignment="1">
      <alignment horizontal="center"/>
    </xf>
    <xf numFmtId="0" fontId="9" fillId="5" borderId="2" xfId="2" applyFont="1" applyFill="1" applyBorder="1" applyAlignment="1">
      <alignment horizontal="left" vertical="center"/>
    </xf>
    <xf numFmtId="0" fontId="9" fillId="5" borderId="27" xfId="2" applyFont="1" applyFill="1" applyBorder="1" applyAlignment="1">
      <alignment horizontal="left" vertical="center"/>
    </xf>
    <xf numFmtId="0" fontId="5" fillId="6" borderId="40" xfId="2" applyFill="1" applyBorder="1" applyAlignment="1">
      <alignment horizontal="left" vertical="top"/>
    </xf>
    <xf numFmtId="0" fontId="5" fillId="6" borderId="48" xfId="2" applyFill="1" applyBorder="1" applyAlignment="1">
      <alignment horizontal="left" vertical="top"/>
    </xf>
    <xf numFmtId="0" fontId="24" fillId="0" borderId="46" xfId="0" applyFont="1" applyBorder="1" applyAlignment="1">
      <alignment horizontal="left" vertical="center" wrapText="1"/>
    </xf>
    <xf numFmtId="0" fontId="24" fillId="0" borderId="47" xfId="0" applyFont="1" applyBorder="1" applyAlignment="1">
      <alignment horizontal="left" vertical="center" wrapText="1"/>
    </xf>
    <xf numFmtId="0" fontId="24" fillId="0" borderId="38" xfId="0" applyFont="1" applyBorder="1" applyAlignment="1">
      <alignment horizontal="center" vertical="center" wrapText="1"/>
    </xf>
    <xf numFmtId="0" fontId="24" fillId="0" borderId="36" xfId="0" applyFont="1" applyBorder="1" applyAlignment="1">
      <alignment horizontal="center" vertical="center" wrapText="1"/>
    </xf>
    <xf numFmtId="0" fontId="24" fillId="0" borderId="40" xfId="0" applyFont="1" applyBorder="1" applyAlignment="1">
      <alignment horizontal="center" vertical="center" wrapText="1"/>
    </xf>
    <xf numFmtId="0" fontId="23" fillId="8" borderId="35" xfId="0" applyFont="1" applyFill="1" applyBorder="1" applyAlignment="1">
      <alignment horizontal="center" vertical="center" wrapText="1"/>
    </xf>
    <xf numFmtId="0" fontId="29" fillId="0" borderId="46" xfId="0" applyFont="1" applyBorder="1" applyAlignment="1">
      <alignment horizontal="left" vertical="center" wrapText="1"/>
    </xf>
    <xf numFmtId="0" fontId="29" fillId="0" borderId="47" xfId="0" applyFont="1" applyBorder="1" applyAlignment="1">
      <alignment horizontal="left" vertical="center" wrapText="1"/>
    </xf>
    <xf numFmtId="0" fontId="29" fillId="0" borderId="48" xfId="0" applyFont="1" applyBorder="1" applyAlignment="1">
      <alignment horizontal="left" vertical="center" wrapText="1"/>
    </xf>
    <xf numFmtId="0" fontId="28" fillId="0" borderId="46" xfId="0" applyFont="1" applyBorder="1" applyAlignment="1">
      <alignment horizontal="left" vertical="center"/>
    </xf>
    <xf numFmtId="0" fontId="28" fillId="0" borderId="47" xfId="0" applyFont="1" applyBorder="1" applyAlignment="1">
      <alignment horizontal="left" vertical="center"/>
    </xf>
    <xf numFmtId="0" fontId="28" fillId="0" borderId="48" xfId="0" applyFont="1" applyBorder="1" applyAlignment="1">
      <alignment horizontal="left" vertical="center"/>
    </xf>
    <xf numFmtId="0" fontId="24" fillId="0" borderId="48" xfId="0" applyFont="1" applyBorder="1" applyAlignment="1">
      <alignment horizontal="left" vertical="center" wrapText="1"/>
    </xf>
    <xf numFmtId="0" fontId="26" fillId="9" borderId="35" xfId="0" applyFont="1" applyFill="1" applyBorder="1" applyAlignment="1">
      <alignment horizontal="center" vertical="center" wrapText="1"/>
    </xf>
    <xf numFmtId="0" fontId="27" fillId="9" borderId="35" xfId="0" applyFont="1" applyFill="1" applyBorder="1" applyAlignment="1">
      <alignment horizontal="center" vertical="center" wrapText="1"/>
    </xf>
    <xf numFmtId="0" fontId="23" fillId="9" borderId="35" xfId="0" applyFont="1" applyFill="1" applyBorder="1" applyAlignment="1">
      <alignment horizontal="center" vertical="center" wrapText="1"/>
    </xf>
    <xf numFmtId="0" fontId="26" fillId="9" borderId="41" xfId="0" applyFont="1" applyFill="1" applyBorder="1" applyAlignment="1">
      <alignment horizontal="center" vertical="center" wrapText="1"/>
    </xf>
    <xf numFmtId="0" fontId="26" fillId="9" borderId="42" xfId="0" applyFont="1" applyFill="1" applyBorder="1" applyAlignment="1">
      <alignment horizontal="center" vertical="center" wrapText="1"/>
    </xf>
    <xf numFmtId="0" fontId="31" fillId="9" borderId="42" xfId="0" applyFont="1" applyFill="1" applyBorder="1" applyAlignment="1">
      <alignment horizontal="center" vertical="center" wrapText="1"/>
    </xf>
    <xf numFmtId="0" fontId="26" fillId="9" borderId="39" xfId="0" applyFont="1" applyFill="1" applyBorder="1" applyAlignment="1">
      <alignment horizontal="center" vertical="center" wrapText="1"/>
    </xf>
    <xf numFmtId="0" fontId="29" fillId="0" borderId="38" xfId="0" applyFont="1" applyBorder="1" applyAlignment="1">
      <alignment horizontal="center" vertical="center" wrapText="1"/>
    </xf>
    <xf numFmtId="0" fontId="29" fillId="0" borderId="36" xfId="0" applyFont="1" applyBorder="1" applyAlignment="1">
      <alignment horizontal="center" vertical="center" wrapText="1"/>
    </xf>
    <xf numFmtId="0" fontId="29" fillId="0" borderId="40" xfId="0" applyFont="1" applyBorder="1" applyAlignment="1">
      <alignment horizontal="center" vertical="center" wrapText="1"/>
    </xf>
    <xf numFmtId="0" fontId="29" fillId="0" borderId="38" xfId="0" applyFont="1" applyBorder="1" applyAlignment="1">
      <alignment horizontal="left" vertical="center" wrapText="1"/>
    </xf>
    <xf numFmtId="0" fontId="29" fillId="0" borderId="36" xfId="0" applyFont="1" applyBorder="1" applyAlignment="1">
      <alignment horizontal="left" vertical="center" wrapText="1"/>
    </xf>
    <xf numFmtId="0" fontId="29" fillId="0" borderId="40" xfId="0" applyFont="1" applyBorder="1" applyAlignment="1">
      <alignment horizontal="left" vertical="center" wrapText="1"/>
    </xf>
    <xf numFmtId="0" fontId="24" fillId="0" borderId="41" xfId="0" applyFont="1" applyBorder="1" applyAlignment="1">
      <alignment horizontal="left" vertical="center" wrapText="1"/>
    </xf>
    <xf numFmtId="0" fontId="23" fillId="8" borderId="41" xfId="0" applyFont="1" applyFill="1" applyBorder="1" applyAlignment="1">
      <alignment horizontal="center" vertical="center" wrapText="1"/>
    </xf>
    <xf numFmtId="0" fontId="23" fillId="8" borderId="39" xfId="0" applyFont="1" applyFill="1" applyBorder="1" applyAlignment="1">
      <alignment horizontal="center" vertical="center" wrapText="1"/>
    </xf>
    <xf numFmtId="0" fontId="29" fillId="0" borderId="0" xfId="0" applyFont="1" applyAlignment="1">
      <alignment horizontal="left" vertical="center" wrapText="1"/>
    </xf>
    <xf numFmtId="0" fontId="29" fillId="0" borderId="49" xfId="0" applyFont="1" applyBorder="1" applyAlignment="1">
      <alignment horizontal="left" vertical="center" wrapText="1"/>
    </xf>
    <xf numFmtId="0" fontId="29" fillId="0" borderId="45" xfId="0" applyFont="1" applyBorder="1" applyAlignment="1">
      <alignment horizontal="left" vertical="center" wrapText="1"/>
    </xf>
    <xf numFmtId="0" fontId="24" fillId="0" borderId="41" xfId="0" applyFont="1" applyBorder="1" applyAlignment="1">
      <alignment horizontal="center" vertical="center" wrapText="1"/>
    </xf>
    <xf numFmtId="0" fontId="21" fillId="5" borderId="7" xfId="0" applyFont="1" applyFill="1" applyBorder="1" applyAlignment="1">
      <alignment horizontal="center"/>
    </xf>
    <xf numFmtId="0" fontId="21" fillId="5" borderId="8" xfId="0" applyFont="1" applyFill="1" applyBorder="1" applyAlignment="1">
      <alignment horizontal="center"/>
    </xf>
    <xf numFmtId="0" fontId="21" fillId="5" borderId="9" xfId="0" applyFont="1" applyFill="1" applyBorder="1" applyAlignment="1">
      <alignment horizontal="center"/>
    </xf>
    <xf numFmtId="0" fontId="20" fillId="7" borderId="10" xfId="0" applyFont="1" applyFill="1" applyBorder="1" applyAlignment="1">
      <alignment horizontal="center" vertical="center" wrapText="1"/>
    </xf>
    <xf numFmtId="0" fontId="20" fillId="7" borderId="11" xfId="0" applyFont="1" applyFill="1" applyBorder="1" applyAlignment="1">
      <alignment horizontal="center" vertical="center" wrapText="1"/>
    </xf>
    <xf numFmtId="0" fontId="20" fillId="7" borderId="12"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8" fillId="5" borderId="7" xfId="0" applyFont="1" applyFill="1" applyBorder="1" applyAlignment="1">
      <alignment horizontal="center" vertical="center"/>
    </xf>
    <xf numFmtId="0" fontId="18" fillId="5" borderId="8" xfId="0" applyFont="1" applyFill="1" applyBorder="1" applyAlignment="1">
      <alignment horizontal="center" vertical="center"/>
    </xf>
    <xf numFmtId="0" fontId="18" fillId="5" borderId="9" xfId="0" applyFont="1" applyFill="1" applyBorder="1" applyAlignment="1">
      <alignment horizontal="center" vertical="center"/>
    </xf>
  </cellXfs>
  <cellStyles count="8">
    <cellStyle name="Comma_UM HPC Pricing Summary" xfId="7" xr:uid="{8F9F9C9B-3955-4FC9-A989-D8F9B65F8DBE}"/>
    <cellStyle name="Header 1" xfId="5" xr:uid="{FA23B439-D594-416D-895E-A5507EFD6F03}"/>
    <cellStyle name="Hyperlink" xfId="3" builtinId="8"/>
    <cellStyle name="Normal" xfId="0" builtinId="0"/>
    <cellStyle name="Normal 2" xfId="2" xr:uid="{7FEBE9C5-2BB7-4C29-BD1F-E7FC14986491}"/>
    <cellStyle name="Normal 2 2" xfId="1" xr:uid="{7130A277-61ED-46C2-9513-4A9CD53359D6}"/>
    <cellStyle name="Normal_Doc. Info 2" xfId="6" xr:uid="{EB731C97-00D7-4D2C-B847-2A7CE3B004C9}"/>
    <cellStyle name="Percent 2" xfId="4" xr:uid="{470057DD-23FF-4743-B1B1-F594ED9868BD}"/>
  </cellStyles>
  <dxfs count="0"/>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en-MY"/>
              <a:t>[Chart Title]</a:t>
            </a:r>
          </a:p>
        </c:rich>
      </c:tx>
      <c:layout>
        <c:manualLayout>
          <c:xMode val="edge"/>
          <c:yMode val="edge"/>
          <c:x val="0.39712985637560855"/>
          <c:y val="1.3550135501355014E-2"/>
        </c:manualLayout>
      </c:layout>
      <c:overlay val="0"/>
      <c:spPr>
        <a:noFill/>
        <a:ln w="25400">
          <a:noFill/>
        </a:ln>
      </c:spPr>
    </c:title>
    <c:autoTitleDeleted val="0"/>
    <c:plotArea>
      <c:layout>
        <c:manualLayout>
          <c:layoutTarget val="inner"/>
          <c:xMode val="edge"/>
          <c:yMode val="edge"/>
          <c:x val="8.6124536054214093E-2"/>
          <c:y val="0.1029813023514311"/>
          <c:w val="0.80701880080430244"/>
          <c:h val="0.74525942491167252"/>
        </c:manualLayout>
      </c:layout>
      <c:barChart>
        <c:barDir val="col"/>
        <c:grouping val="clustered"/>
        <c:varyColors val="0"/>
        <c:ser>
          <c:idx val="1"/>
          <c:order val="0"/>
          <c:tx>
            <c:strRef>
              <c:f>'Pareto Analysis'!$I$32</c:f>
              <c:strCache>
                <c:ptCount val="1"/>
                <c:pt idx="0">
                  <c:v>Vital Few</c:v>
                </c:pt>
              </c:strCache>
            </c:strRef>
          </c:tx>
          <c:spPr>
            <a:solidFill>
              <a:srgbClr val="8394C9"/>
            </a:solidFill>
            <a:ln w="25400">
              <a:noFill/>
            </a:ln>
          </c:spPr>
          <c:invertIfNegative val="0"/>
          <c:cat>
            <c:strRef>
              <c:f>'Pareto Analysis'!$C$33:$C$48</c:f>
              <c:strCache>
                <c:ptCount val="9"/>
                <c:pt idx="0">
                  <c:v>Glue</c:v>
                </c:pt>
                <c:pt idx="1">
                  <c:v>Binding</c:v>
                </c:pt>
                <c:pt idx="2">
                  <c:v>Button</c:v>
                </c:pt>
                <c:pt idx="3">
                  <c:v>Pressure Applied</c:v>
                </c:pt>
                <c:pt idx="4">
                  <c:v>Cause # 5</c:v>
                </c:pt>
                <c:pt idx="5">
                  <c:v>Cause # 6</c:v>
                </c:pt>
                <c:pt idx="6">
                  <c:v>Cause # 7</c:v>
                </c:pt>
                <c:pt idx="7">
                  <c:v>Cause # 8</c:v>
                </c:pt>
                <c:pt idx="8">
                  <c:v>Cause # 9</c:v>
                </c:pt>
              </c:strCache>
            </c:strRef>
          </c:cat>
          <c:val>
            <c:numRef>
              <c:f>'Pareto Analysis'!$I$33:$I$48</c:f>
              <c:numCache>
                <c:formatCode>General</c:formatCode>
                <c:ptCount val="16"/>
                <c:pt idx="0">
                  <c:v>50</c:v>
                </c:pt>
                <c:pt idx="1">
                  <c:v>30</c:v>
                </c:pt>
                <c:pt idx="2">
                  <c:v>15</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6AE9-44AC-812D-11AF93FACCB0}"/>
            </c:ext>
          </c:extLst>
        </c:ser>
        <c:ser>
          <c:idx val="0"/>
          <c:order val="1"/>
          <c:tx>
            <c:strRef>
              <c:f>'Pareto Analysis'!$J$32</c:f>
              <c:strCache>
                <c:ptCount val="1"/>
                <c:pt idx="0">
                  <c:v>Useful Many</c:v>
                </c:pt>
              </c:strCache>
            </c:strRef>
          </c:tx>
          <c:spPr>
            <a:solidFill>
              <a:srgbClr val="BCC5E1"/>
            </a:solidFill>
            <a:ln w="25400">
              <a:noFill/>
            </a:ln>
          </c:spPr>
          <c:invertIfNegative val="0"/>
          <c:cat>
            <c:strRef>
              <c:f>'Pareto Analysis'!$C$33:$C$48</c:f>
              <c:strCache>
                <c:ptCount val="9"/>
                <c:pt idx="0">
                  <c:v>Glue</c:v>
                </c:pt>
                <c:pt idx="1">
                  <c:v>Binding</c:v>
                </c:pt>
                <c:pt idx="2">
                  <c:v>Button</c:v>
                </c:pt>
                <c:pt idx="3">
                  <c:v>Pressure Applied</c:v>
                </c:pt>
                <c:pt idx="4">
                  <c:v>Cause # 5</c:v>
                </c:pt>
                <c:pt idx="5">
                  <c:v>Cause # 6</c:v>
                </c:pt>
                <c:pt idx="6">
                  <c:v>Cause # 7</c:v>
                </c:pt>
                <c:pt idx="7">
                  <c:v>Cause # 8</c:v>
                </c:pt>
                <c:pt idx="8">
                  <c:v>Cause # 9</c:v>
                </c:pt>
              </c:strCache>
            </c:strRef>
          </c:cat>
          <c:val>
            <c:numRef>
              <c:f>'Pareto Analysis'!$J$33:$J$48</c:f>
              <c:numCache>
                <c:formatCode>General</c:formatCode>
                <c:ptCount val="16"/>
                <c:pt idx="0">
                  <c:v>0</c:v>
                </c:pt>
                <c:pt idx="1">
                  <c:v>0</c:v>
                </c:pt>
                <c:pt idx="2">
                  <c:v>0</c:v>
                </c:pt>
                <c:pt idx="3">
                  <c:v>5</c:v>
                </c:pt>
                <c:pt idx="4">
                  <c:v>3</c:v>
                </c:pt>
                <c:pt idx="5">
                  <c:v>2</c:v>
                </c:pt>
                <c:pt idx="6">
                  <c:v>1</c:v>
                </c:pt>
                <c:pt idx="7">
                  <c:v>1</c:v>
                </c:pt>
                <c:pt idx="8">
                  <c:v>1</c:v>
                </c:pt>
                <c:pt idx="9">
                  <c:v>0</c:v>
                </c:pt>
                <c:pt idx="10">
                  <c:v>0</c:v>
                </c:pt>
                <c:pt idx="11">
                  <c:v>0</c:v>
                </c:pt>
                <c:pt idx="12">
                  <c:v>0</c:v>
                </c:pt>
                <c:pt idx="13">
                  <c:v>0</c:v>
                </c:pt>
                <c:pt idx="14">
                  <c:v>0</c:v>
                </c:pt>
              </c:numCache>
            </c:numRef>
          </c:val>
          <c:extLst>
            <c:ext xmlns:c16="http://schemas.microsoft.com/office/drawing/2014/chart" uri="{C3380CC4-5D6E-409C-BE32-E72D297353CC}">
              <c16:uniqueId val="{00000001-6AE9-44AC-812D-11AF93FACCB0}"/>
            </c:ext>
          </c:extLst>
        </c:ser>
        <c:ser>
          <c:idx val="4"/>
          <c:order val="4"/>
          <c:tx>
            <c:v>Labels</c:v>
          </c:tx>
          <c:spPr>
            <a:solidFill>
              <a:srgbClr val="660066"/>
            </a:solidFill>
            <a:ln w="12700">
              <a:solidFill>
                <a:srgbClr val="000000"/>
              </a:solidFill>
              <a:prstDash val="solid"/>
            </a:ln>
          </c:spPr>
          <c:invertIfNegative val="0"/>
          <c:dLbls>
            <c:spPr>
              <a:noFill/>
              <a:ln w="25400">
                <a:noFill/>
              </a:ln>
            </c:spPr>
            <c:txPr>
              <a:bodyPr rot="-5400000" vert="horz" wrap="square" lIns="38100" tIns="19050" rIns="38100" bIns="19050" anchor="ctr">
                <a:spAutoFit/>
              </a:bodyPr>
              <a:lstStyle/>
              <a:p>
                <a:pPr algn="ctr">
                  <a:defRPr sz="1000" b="0" i="0" u="none" strike="noStrike" baseline="0">
                    <a:solidFill>
                      <a:srgbClr val="000000"/>
                    </a:solidFill>
                    <a:latin typeface="Arial"/>
                    <a:ea typeface="Arial"/>
                    <a:cs typeface="Arial"/>
                  </a:defRPr>
                </a:pPr>
                <a:endParaRPr lang="en-US"/>
              </a:p>
            </c:txPr>
            <c:dLblPos val="outEnd"/>
            <c:showLegendKey val="0"/>
            <c:showVal val="0"/>
            <c:showCatName val="1"/>
            <c:showSerName val="0"/>
            <c:showPercent val="0"/>
            <c:showBubbleSize val="0"/>
            <c:showLeaderLines val="0"/>
            <c:extLst>
              <c:ext xmlns:c15="http://schemas.microsoft.com/office/drawing/2012/chart" uri="{CE6537A1-D6FC-4f65-9D91-7224C49458BB}">
                <c15:showLeaderLines val="0"/>
              </c:ext>
            </c:extLst>
          </c:dLbls>
          <c:cat>
            <c:strRef>
              <c:f>'Pareto Analysis'!$C$33:$C$48</c:f>
              <c:strCache>
                <c:ptCount val="9"/>
                <c:pt idx="0">
                  <c:v>Glue</c:v>
                </c:pt>
                <c:pt idx="1">
                  <c:v>Binding</c:v>
                </c:pt>
                <c:pt idx="2">
                  <c:v>Button</c:v>
                </c:pt>
                <c:pt idx="3">
                  <c:v>Pressure Applied</c:v>
                </c:pt>
                <c:pt idx="4">
                  <c:v>Cause # 5</c:v>
                </c:pt>
                <c:pt idx="5">
                  <c:v>Cause # 6</c:v>
                </c:pt>
                <c:pt idx="6">
                  <c:v>Cause # 7</c:v>
                </c:pt>
                <c:pt idx="7">
                  <c:v>Cause # 8</c:v>
                </c:pt>
                <c:pt idx="8">
                  <c:v>Cause # 9</c:v>
                </c:pt>
              </c:strCache>
            </c:strRef>
          </c:cat>
          <c:val>
            <c:numRef>
              <c:f>'Pareto Analysis'!$C$33:$C$48</c:f>
              <c:numCache>
                <c:formatCode>General</c:formatCode>
                <c:ptCount val="16"/>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2-6AE9-44AC-812D-11AF93FACCB0}"/>
            </c:ext>
          </c:extLst>
        </c:ser>
        <c:dLbls>
          <c:showLegendKey val="0"/>
          <c:showVal val="0"/>
          <c:showCatName val="0"/>
          <c:showSerName val="0"/>
          <c:showPercent val="0"/>
          <c:showBubbleSize val="0"/>
        </c:dLbls>
        <c:gapWidth val="10"/>
        <c:overlap val="100"/>
        <c:axId val="1200295535"/>
        <c:axId val="1"/>
      </c:barChart>
      <c:lineChart>
        <c:grouping val="standard"/>
        <c:varyColors val="0"/>
        <c:ser>
          <c:idx val="2"/>
          <c:order val="2"/>
          <c:tx>
            <c:strRef>
              <c:f>'Pareto Analysis'!$E$32</c:f>
              <c:strCache>
                <c:ptCount val="1"/>
                <c:pt idx="0">
                  <c:v>Cumulative%</c:v>
                </c:pt>
              </c:strCache>
            </c:strRef>
          </c:tx>
          <c:spPr>
            <a:ln w="25400">
              <a:solidFill>
                <a:srgbClr val="6B0C00"/>
              </a:solidFill>
              <a:prstDash val="solid"/>
            </a:ln>
          </c:spPr>
          <c:marker>
            <c:symbol val="diamond"/>
            <c:size val="6"/>
            <c:spPr>
              <a:solidFill>
                <a:srgbClr val="6B0C00"/>
              </a:solidFill>
              <a:ln>
                <a:solidFill>
                  <a:srgbClr val="6B0C00"/>
                </a:solidFill>
                <a:prstDash val="solid"/>
              </a:ln>
            </c:spPr>
          </c:marker>
          <c:val>
            <c:numRef>
              <c:f>'Pareto Analysis'!$E$33:$E$48</c:f>
              <c:numCache>
                <c:formatCode>0.0%</c:formatCode>
                <c:ptCount val="16"/>
                <c:pt idx="0">
                  <c:v>0.46296296296296297</c:v>
                </c:pt>
                <c:pt idx="1">
                  <c:v>0.7407407407407407</c:v>
                </c:pt>
                <c:pt idx="2">
                  <c:v>0.87962962962962965</c:v>
                </c:pt>
                <c:pt idx="3">
                  <c:v>0.92592592592592593</c:v>
                </c:pt>
                <c:pt idx="4">
                  <c:v>0.95370370370370372</c:v>
                </c:pt>
                <c:pt idx="5">
                  <c:v>0.97222222222222221</c:v>
                </c:pt>
                <c:pt idx="6">
                  <c:v>0.98148148148148151</c:v>
                </c:pt>
                <c:pt idx="7">
                  <c:v>0.9907407407407407</c:v>
                </c:pt>
                <c:pt idx="8">
                  <c:v>1</c:v>
                </c:pt>
                <c:pt idx="9">
                  <c:v>1</c:v>
                </c:pt>
                <c:pt idx="10">
                  <c:v>1</c:v>
                </c:pt>
                <c:pt idx="11">
                  <c:v>1</c:v>
                </c:pt>
                <c:pt idx="12">
                  <c:v>1</c:v>
                </c:pt>
                <c:pt idx="13">
                  <c:v>1</c:v>
                </c:pt>
                <c:pt idx="14">
                  <c:v>1</c:v>
                </c:pt>
              </c:numCache>
            </c:numRef>
          </c:val>
          <c:smooth val="0"/>
          <c:extLst>
            <c:ext xmlns:c16="http://schemas.microsoft.com/office/drawing/2014/chart" uri="{C3380CC4-5D6E-409C-BE32-E72D297353CC}">
              <c16:uniqueId val="{00000003-6AE9-44AC-812D-11AF93FACCB0}"/>
            </c:ext>
          </c:extLst>
        </c:ser>
        <c:ser>
          <c:idx val="3"/>
          <c:order val="3"/>
          <c:tx>
            <c:strRef>
              <c:f>'Pareto Analysis'!$K$32</c:f>
              <c:strCache>
                <c:ptCount val="1"/>
                <c:pt idx="0">
                  <c:v>Cut Off %</c:v>
                </c:pt>
              </c:strCache>
            </c:strRef>
          </c:tx>
          <c:spPr>
            <a:ln w="12700">
              <a:solidFill>
                <a:srgbClr val="6B0C00"/>
              </a:solidFill>
              <a:prstDash val="sysDash"/>
            </a:ln>
          </c:spPr>
          <c:marker>
            <c:symbol val="none"/>
          </c:marker>
          <c:val>
            <c:numRef>
              <c:f>'Pareto Analysis'!$K$33:$K$48</c:f>
              <c:numCache>
                <c:formatCode>0%</c:formatCode>
                <c:ptCount val="16"/>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numCache>
            </c:numRef>
          </c:val>
          <c:smooth val="0"/>
          <c:extLst>
            <c:ext xmlns:c16="http://schemas.microsoft.com/office/drawing/2014/chart" uri="{C3380CC4-5D6E-409C-BE32-E72D297353CC}">
              <c16:uniqueId val="{00000004-6AE9-44AC-812D-11AF93FACCB0}"/>
            </c:ext>
          </c:extLst>
        </c:ser>
        <c:dLbls>
          <c:showLegendKey val="0"/>
          <c:showVal val="0"/>
          <c:showCatName val="0"/>
          <c:showSerName val="0"/>
          <c:showPercent val="0"/>
          <c:showBubbleSize val="0"/>
        </c:dLbls>
        <c:marker val="1"/>
        <c:smooth val="0"/>
        <c:axId val="3"/>
        <c:axId val="4"/>
      </c:lineChart>
      <c:catAx>
        <c:axId val="1200295535"/>
        <c:scaling>
          <c:orientation val="minMax"/>
        </c:scaling>
        <c:delete val="0"/>
        <c:axPos val="b"/>
        <c:title>
          <c:tx>
            <c:strRef>
              <c:f>'Pareto Analysis'!$C$32</c:f>
              <c:strCache>
                <c:ptCount val="1"/>
                <c:pt idx="0">
                  <c:v>Causes</c:v>
                </c:pt>
              </c:strCache>
            </c:strRef>
          </c:tx>
          <c:layout>
            <c:manualLayout>
              <c:xMode val="edge"/>
              <c:yMode val="edge"/>
              <c:x val="0.43221757567385416"/>
              <c:y val="0.86179089402442577"/>
            </c:manualLayout>
          </c:layout>
          <c:overlay val="0"/>
          <c:spPr>
            <a:noFill/>
            <a:ln w="25400">
              <a:noFill/>
            </a:ln>
          </c:spPr>
          <c:txPr>
            <a:bodyPr/>
            <a:lstStyle/>
            <a:p>
              <a:pPr>
                <a:defRPr sz="1200" b="1" i="0" u="none" strike="noStrike" baseline="0">
                  <a:solidFill>
                    <a:srgbClr val="000000"/>
                  </a:solidFill>
                  <a:latin typeface="Arial"/>
                  <a:ea typeface="Arial"/>
                  <a:cs typeface="Arial"/>
                </a:defRPr>
              </a:pPr>
              <a:endParaRPr lang="en-US"/>
            </a:p>
          </c:txPr>
        </c:title>
        <c:numFmt formatCode="General" sourceLinked="1"/>
        <c:majorTickMark val="out"/>
        <c:minorTickMark val="none"/>
        <c:tickLblPos val="none"/>
        <c:spPr>
          <a:ln w="3175">
            <a:solidFill>
              <a:srgbClr val="000000"/>
            </a:solidFill>
            <a:prstDash val="solid"/>
          </a:ln>
        </c:spPr>
        <c:crossAx val="1"/>
        <c:crosses val="autoZero"/>
        <c:auto val="1"/>
        <c:lblAlgn val="ctr"/>
        <c:lblOffset val="100"/>
        <c:tickMarkSkip val="1"/>
        <c:noMultiLvlLbl val="0"/>
      </c:catAx>
      <c:valAx>
        <c:axId val="1"/>
        <c:scaling>
          <c:orientation val="minMax"/>
        </c:scaling>
        <c:delete val="0"/>
        <c:axPos val="l"/>
        <c:title>
          <c:tx>
            <c:strRef>
              <c:f>'Pareto Analysis'!$D$32</c:f>
              <c:strCache>
                <c:ptCount val="1"/>
                <c:pt idx="0">
                  <c:v>Defects</c:v>
                </c:pt>
              </c:strCache>
            </c:strRef>
          </c:tx>
          <c:layout>
            <c:manualLayout>
              <c:xMode val="edge"/>
              <c:yMode val="edge"/>
              <c:x val="6.379585326953748E-3"/>
              <c:y val="0.38482498630760587"/>
            </c:manualLayout>
          </c:layout>
          <c:overlay val="0"/>
          <c:spPr>
            <a:noFill/>
            <a:ln w="25400">
              <a:noFill/>
            </a:ln>
          </c:spPr>
          <c:txPr>
            <a:bodyPr/>
            <a:lstStyle/>
            <a:p>
              <a:pPr>
                <a:defRPr sz="1200" b="1" i="0" u="none" strike="noStrike" baseline="0">
                  <a:solidFill>
                    <a:srgbClr val="000000"/>
                  </a:solidFill>
                  <a:latin typeface="Arial"/>
                  <a:ea typeface="Arial"/>
                  <a:cs typeface="Arial"/>
                </a:defRPr>
              </a:pPr>
              <a:endParaRPr lang="en-US"/>
            </a:p>
          </c:tx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00295535"/>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max val="1"/>
          <c:min val="0"/>
        </c:scaling>
        <c:delete val="0"/>
        <c:axPos val="r"/>
        <c:title>
          <c:tx>
            <c:rich>
              <a:bodyPr/>
              <a:lstStyle/>
              <a:p>
                <a:pPr>
                  <a:defRPr sz="1000" b="0" i="0" u="none" strike="noStrike" baseline="0">
                    <a:solidFill>
                      <a:srgbClr val="000000"/>
                    </a:solidFill>
                    <a:latin typeface="Arial"/>
                    <a:ea typeface="Arial"/>
                    <a:cs typeface="Arial"/>
                  </a:defRPr>
                </a:pPr>
                <a:r>
                  <a:rPr lang="en-MY"/>
                  <a:t>Cumulative %</a:t>
                </a:r>
              </a:p>
            </c:rich>
          </c:tx>
          <c:layout>
            <c:manualLayout>
              <c:xMode val="edge"/>
              <c:yMode val="edge"/>
              <c:x val="0.95534440969998369"/>
              <c:y val="0.3523043765870729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
        <c:crosses val="max"/>
        <c:crossBetween val="between"/>
        <c:majorUnit val="0.2"/>
      </c:valAx>
      <c:spPr>
        <a:noFill/>
        <a:ln w="25400">
          <a:noFill/>
        </a:ln>
      </c:spPr>
    </c:plotArea>
    <c:legend>
      <c:legendPos val="r"/>
      <c:legendEntry>
        <c:idx val="2"/>
        <c:delete val="1"/>
      </c:legendEntry>
      <c:layout>
        <c:manualLayout>
          <c:xMode val="edge"/>
          <c:yMode val="edge"/>
          <c:x val="6.8580709707937212E-2"/>
          <c:y val="0.93225188314875274"/>
          <c:w val="0.84051170637163175"/>
          <c:h val="5.9620880723242897E-2"/>
        </c:manualLayout>
      </c:layout>
      <c:overlay val="0"/>
      <c:spPr>
        <a:solidFill>
          <a:srgbClr val="FFFFFF"/>
        </a:solidFill>
        <a:ln w="25400">
          <a:noFill/>
        </a:ln>
      </c:spPr>
      <c:txPr>
        <a:bodyPr/>
        <a:lstStyle/>
        <a:p>
          <a:pPr>
            <a:defRPr sz="920" b="0" i="0" u="none" strike="noStrike" baseline="0">
              <a:solidFill>
                <a:srgbClr val="000000"/>
              </a:solidFill>
              <a:latin typeface="Arial"/>
              <a:ea typeface="Arial"/>
              <a:cs typeface="Arial"/>
            </a:defRPr>
          </a:pPr>
          <a:endParaRPr lang="en-US"/>
        </a:p>
      </c:txPr>
    </c:legend>
    <c:plotVisOnly val="0"/>
    <c:dispBlanksAs val="gap"/>
    <c:showDLblsOverMax val="0"/>
  </c:chart>
  <c:spPr>
    <a:solidFill>
      <a:srgbClr val="FFFFFF"/>
    </a:solidFill>
    <a:ln w="9525">
      <a:noFill/>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orientation="landscape"/>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57150</xdr:colOff>
      <xdr:row>0</xdr:row>
      <xdr:rowOff>38100</xdr:rowOff>
    </xdr:from>
    <xdr:to>
      <xdr:col>6</xdr:col>
      <xdr:colOff>1543050</xdr:colOff>
      <xdr:row>2</xdr:row>
      <xdr:rowOff>295275</xdr:rowOff>
    </xdr:to>
    <xdr:pic>
      <xdr:nvPicPr>
        <xdr:cNvPr id="2" name="Picture 1">
          <a:extLst>
            <a:ext uri="{FF2B5EF4-FFF2-40B4-BE49-F238E27FC236}">
              <a16:creationId xmlns:a16="http://schemas.microsoft.com/office/drawing/2014/main" id="{36A738D9-D54C-4F00-BA0A-4E317B7AC78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6715125" y="38100"/>
          <a:ext cx="1485900" cy="8096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5</xdr:row>
      <xdr:rowOff>47625</xdr:rowOff>
    </xdr:from>
    <xdr:to>
      <xdr:col>6</xdr:col>
      <xdr:colOff>828675</xdr:colOff>
      <xdr:row>27</xdr:row>
      <xdr:rowOff>0</xdr:rowOff>
    </xdr:to>
    <xdr:graphicFrame macro="">
      <xdr:nvGraphicFramePr>
        <xdr:cNvPr id="2" name="Chart 6">
          <a:extLst>
            <a:ext uri="{FF2B5EF4-FFF2-40B4-BE49-F238E27FC236}">
              <a16:creationId xmlns:a16="http://schemas.microsoft.com/office/drawing/2014/main" id="{334C9FCD-71E3-413D-8623-9FE869596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editAs="absolute">
    <xdr:from>
      <xdr:col>8</xdr:col>
      <xdr:colOff>219075</xdr:colOff>
      <xdr:row>4</xdr:row>
      <xdr:rowOff>0</xdr:rowOff>
    </xdr:from>
    <xdr:to>
      <xdr:col>11</xdr:col>
      <xdr:colOff>219075</xdr:colOff>
      <xdr:row>27</xdr:row>
      <xdr:rowOff>171450</xdr:rowOff>
    </xdr:to>
    <xdr:sp macro="" textlink="">
      <xdr:nvSpPr>
        <xdr:cNvPr id="3" name="AutoShape 7">
          <a:extLst>
            <a:ext uri="{FF2B5EF4-FFF2-40B4-BE49-F238E27FC236}">
              <a16:creationId xmlns:a16="http://schemas.microsoft.com/office/drawing/2014/main" id="{FE348E55-329B-48BB-B391-81A84FDF7639}"/>
            </a:ext>
          </a:extLst>
        </xdr:cNvPr>
        <xdr:cNvSpPr>
          <a:spLocks noChangeArrowheads="1"/>
        </xdr:cNvSpPr>
      </xdr:nvSpPr>
      <xdr:spPr bwMode="auto">
        <a:xfrm>
          <a:off x="6438900" y="857250"/>
          <a:ext cx="2686050" cy="3895725"/>
        </a:xfrm>
        <a:prstGeom prst="roundRect">
          <a:avLst>
            <a:gd name="adj" fmla="val 6995"/>
          </a:avLst>
        </a:prstGeom>
        <a:solidFill>
          <a:srgbClr val="FFFFFF"/>
        </a:solidFill>
        <a:ln w="9525">
          <a:solidFill>
            <a:srgbClr val="000000"/>
          </a:solidFill>
          <a:round/>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Instructions:</a:t>
          </a:r>
          <a:endParaRPr lang="en-US" sz="1000" b="0" i="0" u="none" strike="noStrike" baseline="0">
            <a:solidFill>
              <a:srgbClr val="000000"/>
            </a:solidFill>
            <a:latin typeface="Arial"/>
            <a:cs typeface="Arial"/>
          </a:endParaRP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Enter the causes and the number of defects in descending order. You can enter the values and then use the Data &gt; Sort feature to place the values in descending order.</a:t>
          </a:r>
        </a:p>
        <a:p>
          <a:pPr algn="l" rtl="0">
            <a:defRPr sz="1000"/>
          </a:pPr>
          <a:r>
            <a:rPr lang="en-US" sz="800" b="0" i="0" u="none" strike="noStrike" baseline="0">
              <a:solidFill>
                <a:srgbClr val="000000"/>
              </a:solidFill>
              <a:latin typeface="Arial"/>
              <a:cs typeface="Arial"/>
            </a:rPr>
            <a:t>- You can change the value for the Cumulative Percentage Cutoff.</a:t>
          </a:r>
        </a:p>
        <a:p>
          <a:pPr algn="l" rtl="0">
            <a:defRPr sz="1000"/>
          </a:pPr>
          <a:r>
            <a:rPr lang="en-US" sz="800" b="0" i="0" u="none" strike="noStrike" baseline="0">
              <a:solidFill>
                <a:srgbClr val="000000"/>
              </a:solidFill>
              <a:latin typeface="Arial"/>
              <a:cs typeface="Arial"/>
            </a:rPr>
            <a:t>- The axis labels in the chart are linked to the column headers in the table below the chart.  Change the column headings in the table as needed (e.g. "Problems"/"Frequency" or "Products"/"Sales" instead of "Causes"/"Defects").</a:t>
          </a:r>
        </a:p>
        <a:p>
          <a:pPr algn="l" rtl="0">
            <a:defRPr sz="1000"/>
          </a:pPr>
          <a:endParaRPr lang="en-US" sz="800" b="0" i="0" u="none" strike="noStrike" baseline="0">
            <a:solidFill>
              <a:srgbClr val="000000"/>
            </a:solidFill>
            <a:latin typeface="Arial"/>
            <a:cs typeface="Arial"/>
          </a:endParaRPr>
        </a:p>
        <a:p>
          <a:pPr algn="l" rtl="0">
            <a:defRPr sz="1000"/>
          </a:pPr>
          <a:r>
            <a:rPr lang="en-US" sz="800" b="0" i="0" u="none" strike="noStrike" baseline="0">
              <a:solidFill>
                <a:srgbClr val="000000"/>
              </a:solidFill>
              <a:latin typeface="Arial"/>
              <a:cs typeface="Arial"/>
            </a:rPr>
            <a:t>- </a:t>
          </a:r>
          <a:r>
            <a:rPr lang="en-US" sz="800" b="1" i="0" u="none" strike="noStrike" baseline="0">
              <a:solidFill>
                <a:srgbClr val="000000"/>
              </a:solidFill>
              <a:latin typeface="Arial"/>
              <a:cs typeface="Arial"/>
            </a:rPr>
            <a:t>Deleting Rows:</a:t>
          </a:r>
          <a:r>
            <a:rPr lang="en-US" sz="800" b="0" i="0" u="none" strike="noStrike" baseline="0">
              <a:solidFill>
                <a:srgbClr val="000000"/>
              </a:solidFill>
              <a:latin typeface="Arial"/>
              <a:cs typeface="Arial"/>
            </a:rPr>
            <a:t> You can delete rows without messing up the formulas.</a:t>
          </a:r>
        </a:p>
        <a:p>
          <a:pPr algn="l" rtl="0">
            <a:defRPr sz="1000"/>
          </a:pPr>
          <a:r>
            <a:rPr lang="en-US" sz="800" b="0" i="0" u="none" strike="noStrike" baseline="0">
              <a:solidFill>
                <a:srgbClr val="000000"/>
              </a:solidFill>
              <a:latin typeface="Arial"/>
              <a:cs typeface="Arial"/>
            </a:rPr>
            <a:t>- </a:t>
          </a:r>
          <a:r>
            <a:rPr lang="en-US" sz="800" b="1" i="0" u="none" strike="noStrike" baseline="0">
              <a:solidFill>
                <a:srgbClr val="000000"/>
              </a:solidFill>
              <a:latin typeface="Arial"/>
              <a:cs typeface="Arial"/>
            </a:rPr>
            <a:t>Adding Rows</a:t>
          </a:r>
          <a:r>
            <a:rPr lang="en-US" sz="800" b="0" i="0" u="none" strike="noStrike" baseline="0">
              <a:solidFill>
                <a:srgbClr val="000000"/>
              </a:solidFill>
              <a:latin typeface="Arial"/>
              <a:cs typeface="Arial"/>
            </a:rPr>
            <a:t>: To add additional items to the table and chart, copy an existing row (columns A-K or the entire row) and INSERT it somewhere BELOW the first line in the table (position #2) or ABOVE the last row in the table (position #14) so that the ranges stretch appropriately.</a:t>
          </a:r>
        </a:p>
      </xdr:txBody>
    </xdr:sp>
    <xdr:clientData fPrintsWithSheet="0"/>
  </xdr:twoCellAnchor>
</xdr:wsDr>
</file>

<file path=xl/drawings/drawing3.xml><?xml version="1.0" encoding="utf-8"?>
<c:userShapes xmlns:c="http://schemas.openxmlformats.org/drawingml/2006/chart">
  <cdr:relSizeAnchor xmlns:cdr="http://schemas.openxmlformats.org/drawingml/2006/chartDrawing">
    <cdr:from>
      <cdr:x>0.95231</cdr:x>
      <cdr:y>0.94586</cdr:y>
    </cdr:from>
    <cdr:to>
      <cdr:x>0.97688</cdr:x>
      <cdr:y>0.97627</cdr:y>
    </cdr:to>
    <cdr:sp macro="" textlink="">
      <cdr:nvSpPr>
        <cdr:cNvPr id="10242" name="Text Box 2"/>
        <cdr:cNvSpPr txBox="1">
          <a:spLocks xmlns:a="http://schemas.openxmlformats.org/drawingml/2006/main" noChangeArrowheads="1"/>
        </cdr:cNvSpPr>
      </cdr:nvSpPr>
      <cdr:spPr bwMode="auto">
        <a:xfrm xmlns:a="http://schemas.openxmlformats.org/drawingml/2006/main">
          <a:off x="5687362" y="3324438"/>
          <a:ext cx="146707" cy="106889"/>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wrap="none" lIns="18288" tIns="18288" rIns="0" bIns="0" anchor="t" upright="1">
          <a:spAutoFit/>
        </a:bodyPr>
        <a:lstStyle xmlns:a="http://schemas.openxmlformats.org/drawingml/2006/main"/>
        <a:p xmlns:a="http://schemas.openxmlformats.org/drawingml/2006/main">
          <a:pPr algn="l" rtl="0">
            <a:defRPr sz="1000"/>
          </a:pPr>
          <a:r>
            <a:rPr lang="en-US" sz="600" b="0" i="0" u="none" strike="noStrike" baseline="0">
              <a:solidFill>
                <a:srgbClr val="FFFFFF"/>
              </a:solidFill>
              <a:latin typeface="Arial"/>
              <a:cs typeface="Arial"/>
            </a:rPr>
            <a:t>[42]</a:t>
          </a:r>
        </a:p>
      </cdr:txBody>
    </cdr:sp>
  </cdr:relSizeAnchor>
</c:userShape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27E4C-6B7C-431B-AD01-A9F1CD922E08}">
  <dimension ref="B1:G13"/>
  <sheetViews>
    <sheetView showGridLines="0" workbookViewId="0">
      <selection activeCell="G10" sqref="G10"/>
    </sheetView>
  </sheetViews>
  <sheetFormatPr baseColWidth="10" defaultColWidth="8.83203125" defaultRowHeight="15" x14ac:dyDescent="0.2"/>
  <cols>
    <col min="1" max="1" width="2.5" customWidth="1"/>
    <col min="2" max="2" width="6" customWidth="1"/>
    <col min="3" max="3" width="12.6640625" customWidth="1"/>
    <col min="4" max="4" width="16.33203125" style="131" customWidth="1"/>
    <col min="5" max="5" width="53.6640625" customWidth="1"/>
    <col min="6" max="6" width="16.33203125" customWidth="1"/>
    <col min="7" max="7" width="24" customWidth="1"/>
  </cols>
  <sheetData>
    <row r="1" spans="2:7" ht="28.5" customHeight="1" x14ac:dyDescent="0.2">
      <c r="B1" s="195" t="s">
        <v>0</v>
      </c>
      <c r="C1" s="196"/>
      <c r="D1" s="196"/>
      <c r="E1" s="196"/>
      <c r="F1" s="197"/>
      <c r="G1" s="198"/>
    </row>
    <row r="2" spans="2:7" x14ac:dyDescent="0.2">
      <c r="B2" s="41"/>
      <c r="C2" s="41"/>
      <c r="D2" s="130"/>
      <c r="E2" s="41"/>
      <c r="F2" s="41"/>
      <c r="G2" s="199"/>
    </row>
    <row r="3" spans="2:7" ht="26.25" customHeight="1" x14ac:dyDescent="0.2">
      <c r="B3" s="195" t="s">
        <v>1</v>
      </c>
      <c r="C3" s="196"/>
      <c r="D3" s="196"/>
      <c r="E3" s="196"/>
      <c r="F3" s="197"/>
      <c r="G3" s="199"/>
    </row>
    <row r="4" spans="2:7" x14ac:dyDescent="0.2">
      <c r="B4" s="41"/>
      <c r="C4" s="41"/>
      <c r="D4" s="130"/>
      <c r="E4" s="41"/>
      <c r="F4" s="41"/>
      <c r="G4" s="183" t="s">
        <v>2</v>
      </c>
    </row>
    <row r="5" spans="2:7" x14ac:dyDescent="0.2">
      <c r="B5" s="200" t="s">
        <v>3</v>
      </c>
      <c r="C5" s="201"/>
      <c r="D5" s="181" t="s">
        <v>4</v>
      </c>
      <c r="E5" s="182"/>
      <c r="F5" s="186"/>
      <c r="G5" s="184"/>
    </row>
    <row r="6" spans="2:7" x14ac:dyDescent="0.2">
      <c r="B6" s="41"/>
      <c r="C6" s="41"/>
      <c r="D6" s="202"/>
      <c r="E6" s="202"/>
      <c r="F6" s="203"/>
      <c r="G6" s="185"/>
    </row>
    <row r="7" spans="2:7" ht="18" x14ac:dyDescent="0.2">
      <c r="B7" s="191" t="s">
        <v>5</v>
      </c>
      <c r="C7" s="192"/>
      <c r="D7" s="193"/>
      <c r="E7" s="193"/>
      <c r="F7" s="193"/>
      <c r="G7" s="194"/>
    </row>
    <row r="8" spans="2:7" x14ac:dyDescent="0.2">
      <c r="B8" s="43" t="s">
        <v>6</v>
      </c>
      <c r="C8" s="44" t="s">
        <v>7</v>
      </c>
      <c r="D8" s="43" t="s">
        <v>8</v>
      </c>
      <c r="E8" s="43" t="s">
        <v>9</v>
      </c>
      <c r="F8" s="44" t="s">
        <v>10</v>
      </c>
      <c r="G8" s="44" t="s">
        <v>11</v>
      </c>
    </row>
    <row r="9" spans="2:7" x14ac:dyDescent="0.2">
      <c r="B9" s="56">
        <v>1</v>
      </c>
      <c r="C9" s="71">
        <v>45799</v>
      </c>
      <c r="D9" s="129" t="s">
        <v>12</v>
      </c>
      <c r="E9" s="42" t="s">
        <v>13</v>
      </c>
      <c r="F9" s="42" t="s">
        <v>14</v>
      </c>
      <c r="G9" s="71">
        <v>45800</v>
      </c>
    </row>
    <row r="10" spans="2:7" x14ac:dyDescent="0.2">
      <c r="B10" s="57">
        <v>2</v>
      </c>
      <c r="C10" s="72">
        <v>45803</v>
      </c>
      <c r="D10" s="129" t="s">
        <v>15</v>
      </c>
      <c r="E10" s="42" t="s">
        <v>16</v>
      </c>
      <c r="F10" s="42" t="s">
        <v>14</v>
      </c>
      <c r="G10" s="72">
        <v>45803</v>
      </c>
    </row>
    <row r="11" spans="2:7" x14ac:dyDescent="0.2">
      <c r="B11" s="58">
        <v>3</v>
      </c>
      <c r="C11" s="72"/>
      <c r="D11" s="129"/>
      <c r="E11" s="42"/>
      <c r="F11" s="42"/>
      <c r="G11" s="73"/>
    </row>
    <row r="12" spans="2:7" x14ac:dyDescent="0.2">
      <c r="B12" s="59">
        <v>4</v>
      </c>
      <c r="C12" s="72"/>
      <c r="D12" s="129"/>
      <c r="E12" s="42"/>
      <c r="F12" s="42"/>
      <c r="G12" s="72"/>
    </row>
    <row r="13" spans="2:7" x14ac:dyDescent="0.2">
      <c r="B13" s="59">
        <v>5</v>
      </c>
      <c r="C13" s="72"/>
      <c r="D13" s="129"/>
      <c r="E13" s="42"/>
      <c r="F13" s="42"/>
      <c r="G13" s="72"/>
    </row>
  </sheetData>
  <mergeCells count="6">
    <mergeCell ref="B7:G7"/>
    <mergeCell ref="B1:F1"/>
    <mergeCell ref="G1:G3"/>
    <mergeCell ref="B3:F3"/>
    <mergeCell ref="B5:C5"/>
    <mergeCell ref="D6:F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73656-F366-4E3D-84C2-1190C7964107}">
  <dimension ref="A1:K221"/>
  <sheetViews>
    <sheetView zoomScale="90" zoomScaleNormal="90" workbookViewId="0">
      <pane xSplit="11" ySplit="2" topLeftCell="L206" activePane="bottomRight" state="frozen"/>
      <selection pane="topRight" activeCell="L1" sqref="L1"/>
      <selection pane="bottomLeft" activeCell="A3" sqref="A3"/>
      <selection pane="bottomRight" activeCell="G209" sqref="G209"/>
    </sheetView>
  </sheetViews>
  <sheetFormatPr baseColWidth="10" defaultColWidth="14.1640625" defaultRowHeight="15" x14ac:dyDescent="0.2"/>
  <cols>
    <col min="1" max="1" width="13" style="108" customWidth="1"/>
    <col min="2" max="2" width="8.5" style="143" customWidth="1"/>
    <col min="3" max="3" width="23.5" style="154" customWidth="1"/>
    <col min="4" max="4" width="23.5" style="152" customWidth="1"/>
    <col min="5" max="5" width="30.83203125" style="133" customWidth="1"/>
    <col min="6" max="6" width="42.5" style="152" customWidth="1"/>
    <col min="7" max="7" width="27.6640625" style="108" customWidth="1"/>
    <col min="8" max="9" width="5.83203125" style="108" customWidth="1"/>
    <col min="10" max="10" width="9" style="108" customWidth="1"/>
    <col min="11" max="11" width="25.1640625" style="108" customWidth="1"/>
    <col min="12" max="16384" width="14.1640625" style="108"/>
  </cols>
  <sheetData>
    <row r="1" spans="1:11" x14ac:dyDescent="0.2">
      <c r="A1" s="209" t="s">
        <v>17</v>
      </c>
      <c r="B1" s="209" t="s">
        <v>18</v>
      </c>
      <c r="C1" s="231" t="s">
        <v>19</v>
      </c>
      <c r="D1" s="209" t="s">
        <v>20</v>
      </c>
      <c r="E1" s="232" t="s">
        <v>21</v>
      </c>
      <c r="F1" s="209" t="s">
        <v>22</v>
      </c>
      <c r="G1" s="209" t="s">
        <v>23</v>
      </c>
      <c r="H1" s="209" t="s">
        <v>24</v>
      </c>
      <c r="I1" s="209"/>
      <c r="J1" s="209" t="s">
        <v>25</v>
      </c>
      <c r="K1" s="209" t="s">
        <v>26</v>
      </c>
    </row>
    <row r="2" spans="1:11" x14ac:dyDescent="0.2">
      <c r="A2" s="209"/>
      <c r="B2" s="209"/>
      <c r="C2" s="231"/>
      <c r="D2" s="209"/>
      <c r="E2" s="232"/>
      <c r="F2" s="209"/>
      <c r="G2" s="209"/>
      <c r="H2" s="107" t="s">
        <v>27</v>
      </c>
      <c r="I2" s="107" t="s">
        <v>28</v>
      </c>
      <c r="J2" s="209"/>
      <c r="K2" s="209"/>
    </row>
    <row r="3" spans="1:11" x14ac:dyDescent="0.2">
      <c r="A3" s="217" t="s">
        <v>29</v>
      </c>
      <c r="B3" s="218"/>
      <c r="C3" s="218"/>
      <c r="D3" s="218"/>
      <c r="E3" s="218"/>
      <c r="F3" s="218"/>
      <c r="G3" s="219"/>
      <c r="H3" s="218"/>
      <c r="I3" s="218"/>
      <c r="J3" s="218"/>
      <c r="K3" s="218"/>
    </row>
    <row r="4" spans="1:11" ht="39.75" customHeight="1" x14ac:dyDescent="0.2">
      <c r="A4" s="109" t="s">
        <v>30</v>
      </c>
      <c r="B4" s="224">
        <v>21413</v>
      </c>
      <c r="C4" s="210" t="s">
        <v>31</v>
      </c>
      <c r="D4" s="135"/>
      <c r="E4" s="151" t="s">
        <v>32</v>
      </c>
      <c r="F4" s="135" t="s">
        <v>33</v>
      </c>
      <c r="G4" s="122" t="s">
        <v>34</v>
      </c>
      <c r="H4" s="134"/>
      <c r="I4" s="134"/>
      <c r="J4" s="134"/>
      <c r="K4" s="134"/>
    </row>
    <row r="5" spans="1:11" ht="47.25" customHeight="1" x14ac:dyDescent="0.2">
      <c r="A5" s="109" t="s">
        <v>35</v>
      </c>
      <c r="B5" s="225"/>
      <c r="C5" s="211"/>
      <c r="D5" s="135"/>
      <c r="E5" s="151" t="s">
        <v>36</v>
      </c>
      <c r="F5" s="135" t="s">
        <v>37</v>
      </c>
      <c r="G5" s="122" t="s">
        <v>38</v>
      </c>
      <c r="H5" s="134"/>
      <c r="I5" s="134"/>
      <c r="J5" s="134"/>
      <c r="K5" s="134"/>
    </row>
    <row r="6" spans="1:11" ht="48" customHeight="1" x14ac:dyDescent="0.2">
      <c r="A6" s="109" t="s">
        <v>39</v>
      </c>
      <c r="B6" s="226"/>
      <c r="C6" s="212"/>
      <c r="D6" s="135"/>
      <c r="E6" s="151" t="s">
        <v>40</v>
      </c>
      <c r="F6" s="135" t="s">
        <v>41</v>
      </c>
      <c r="G6" s="122" t="s">
        <v>42</v>
      </c>
      <c r="H6" s="134"/>
      <c r="I6" s="134"/>
      <c r="J6" s="134"/>
      <c r="K6" s="134"/>
    </row>
    <row r="7" spans="1:11" ht="42" customHeight="1" x14ac:dyDescent="0.2">
      <c r="A7" s="109" t="s">
        <v>43</v>
      </c>
      <c r="B7" s="206" t="s">
        <v>44</v>
      </c>
      <c r="C7" s="230" t="s">
        <v>45</v>
      </c>
      <c r="D7" s="110"/>
      <c r="E7" s="155" t="s">
        <v>46</v>
      </c>
      <c r="F7" s="135" t="s">
        <v>47</v>
      </c>
      <c r="G7" s="95" t="s">
        <v>48</v>
      </c>
      <c r="H7" s="111"/>
      <c r="I7" s="109"/>
      <c r="J7" s="109"/>
      <c r="K7" s="110"/>
    </row>
    <row r="8" spans="1:11" ht="66.75" customHeight="1" x14ac:dyDescent="0.2">
      <c r="A8" s="109" t="s">
        <v>49</v>
      </c>
      <c r="B8" s="207"/>
      <c r="C8" s="230"/>
      <c r="D8" s="110"/>
      <c r="E8" s="155" t="s">
        <v>50</v>
      </c>
      <c r="F8" s="135" t="s">
        <v>51</v>
      </c>
      <c r="G8" s="95" t="s">
        <v>52</v>
      </c>
      <c r="H8" s="111"/>
      <c r="I8" s="109"/>
      <c r="J8" s="109"/>
      <c r="K8" s="110"/>
    </row>
    <row r="9" spans="1:11" ht="65" x14ac:dyDescent="0.2">
      <c r="A9" s="109" t="s">
        <v>53</v>
      </c>
      <c r="B9" s="207"/>
      <c r="C9" s="230"/>
      <c r="D9" s="110"/>
      <c r="E9" s="155" t="s">
        <v>54</v>
      </c>
      <c r="F9" s="135" t="s">
        <v>55</v>
      </c>
      <c r="G9" s="95" t="s">
        <v>56</v>
      </c>
      <c r="H9" s="111"/>
      <c r="I9" s="109"/>
      <c r="J9" s="109"/>
      <c r="K9" s="110"/>
    </row>
    <row r="10" spans="1:11" ht="67.5" customHeight="1" x14ac:dyDescent="0.2">
      <c r="A10" s="109" t="s">
        <v>57</v>
      </c>
      <c r="B10" s="207"/>
      <c r="C10" s="230"/>
      <c r="D10" s="110"/>
      <c r="E10" s="155" t="s">
        <v>58</v>
      </c>
      <c r="F10" s="135" t="s">
        <v>59</v>
      </c>
      <c r="G10" s="95" t="s">
        <v>60</v>
      </c>
      <c r="H10" s="111"/>
      <c r="I10" s="109"/>
      <c r="J10" s="109"/>
      <c r="K10" s="110"/>
    </row>
    <row r="11" spans="1:11" ht="68.25" customHeight="1" x14ac:dyDescent="0.2">
      <c r="A11" s="109" t="s">
        <v>61</v>
      </c>
      <c r="B11" s="207"/>
      <c r="C11" s="230"/>
      <c r="D11" s="110"/>
      <c r="E11" s="155" t="s">
        <v>62</v>
      </c>
      <c r="F11" s="135" t="s">
        <v>59</v>
      </c>
      <c r="G11" s="95" t="s">
        <v>63</v>
      </c>
      <c r="H11" s="111"/>
      <c r="I11" s="109"/>
      <c r="J11" s="109"/>
      <c r="K11" s="110"/>
    </row>
    <row r="12" spans="1:11" ht="63.75" customHeight="1" x14ac:dyDescent="0.2">
      <c r="A12" s="109" t="s">
        <v>64</v>
      </c>
      <c r="B12" s="207"/>
      <c r="C12" s="230"/>
      <c r="D12" s="110"/>
      <c r="E12" s="155" t="s">
        <v>65</v>
      </c>
      <c r="F12" s="135" t="s">
        <v>59</v>
      </c>
      <c r="G12" s="95" t="s">
        <v>66</v>
      </c>
      <c r="H12" s="111"/>
      <c r="I12" s="109"/>
      <c r="J12" s="109"/>
      <c r="K12" s="110"/>
    </row>
    <row r="13" spans="1:11" ht="69.75" customHeight="1" x14ac:dyDescent="0.2">
      <c r="A13" s="109" t="s">
        <v>67</v>
      </c>
      <c r="B13" s="207"/>
      <c r="C13" s="230"/>
      <c r="D13" s="110"/>
      <c r="E13" s="155" t="s">
        <v>68</v>
      </c>
      <c r="F13" s="135" t="s">
        <v>59</v>
      </c>
      <c r="G13" s="95" t="s">
        <v>69</v>
      </c>
      <c r="H13" s="111"/>
      <c r="I13" s="109"/>
      <c r="J13" s="109"/>
      <c r="K13" s="110"/>
    </row>
    <row r="14" spans="1:11" ht="69.75" customHeight="1" x14ac:dyDescent="0.2">
      <c r="A14" s="109" t="s">
        <v>70</v>
      </c>
      <c r="B14" s="207"/>
      <c r="C14" s="230"/>
      <c r="D14" s="110"/>
      <c r="E14" s="155" t="s">
        <v>71</v>
      </c>
      <c r="F14" s="135" t="s">
        <v>72</v>
      </c>
      <c r="G14" s="95" t="s">
        <v>73</v>
      </c>
      <c r="H14" s="111"/>
      <c r="I14" s="109"/>
      <c r="J14" s="109"/>
      <c r="K14" s="110"/>
    </row>
    <row r="15" spans="1:11" ht="69.75" customHeight="1" x14ac:dyDescent="0.2">
      <c r="A15" s="109" t="s">
        <v>74</v>
      </c>
      <c r="B15" s="207"/>
      <c r="C15" s="230"/>
      <c r="D15" s="110"/>
      <c r="E15" s="155" t="s">
        <v>75</v>
      </c>
      <c r="F15" s="135" t="s">
        <v>72</v>
      </c>
      <c r="G15" s="95" t="s">
        <v>76</v>
      </c>
      <c r="H15" s="111"/>
      <c r="I15" s="109"/>
      <c r="J15" s="109"/>
      <c r="K15" s="110"/>
    </row>
    <row r="16" spans="1:11" ht="69.75" customHeight="1" x14ac:dyDescent="0.2">
      <c r="A16" s="109" t="s">
        <v>77</v>
      </c>
      <c r="B16" s="207"/>
      <c r="C16" s="230"/>
      <c r="D16" s="110"/>
      <c r="E16" s="155" t="s">
        <v>78</v>
      </c>
      <c r="F16" s="135" t="s">
        <v>72</v>
      </c>
      <c r="G16" s="95" t="s">
        <v>79</v>
      </c>
      <c r="H16" s="111"/>
      <c r="I16" s="109"/>
      <c r="J16" s="109"/>
      <c r="K16" s="110"/>
    </row>
    <row r="17" spans="1:11" ht="69.75" customHeight="1" x14ac:dyDescent="0.2">
      <c r="A17" s="109" t="s">
        <v>80</v>
      </c>
      <c r="B17" s="207"/>
      <c r="C17" s="230"/>
      <c r="D17" s="110"/>
      <c r="E17" s="155" t="s">
        <v>81</v>
      </c>
      <c r="F17" s="135" t="s">
        <v>72</v>
      </c>
      <c r="G17" s="95" t="s">
        <v>82</v>
      </c>
      <c r="H17" s="111"/>
      <c r="I17" s="109"/>
      <c r="J17" s="109"/>
      <c r="K17" s="110"/>
    </row>
    <row r="18" spans="1:11" ht="69.75" customHeight="1" x14ac:dyDescent="0.2">
      <c r="A18" s="109" t="s">
        <v>83</v>
      </c>
      <c r="B18" s="207"/>
      <c r="C18" s="230"/>
      <c r="D18" s="110"/>
      <c r="E18" s="155" t="s">
        <v>84</v>
      </c>
      <c r="F18" s="135" t="s">
        <v>72</v>
      </c>
      <c r="G18" s="95" t="s">
        <v>85</v>
      </c>
      <c r="H18" s="111"/>
      <c r="I18" s="109"/>
      <c r="J18" s="109"/>
      <c r="K18" s="110"/>
    </row>
    <row r="19" spans="1:11" ht="69.75" customHeight="1" x14ac:dyDescent="0.2">
      <c r="A19" s="109" t="s">
        <v>86</v>
      </c>
      <c r="B19" s="207"/>
      <c r="C19" s="230"/>
      <c r="D19" s="110"/>
      <c r="E19" s="155" t="s">
        <v>87</v>
      </c>
      <c r="F19" s="135" t="s">
        <v>72</v>
      </c>
      <c r="G19" s="95" t="s">
        <v>88</v>
      </c>
      <c r="H19" s="111"/>
      <c r="I19" s="109"/>
      <c r="J19" s="109"/>
      <c r="K19" s="110"/>
    </row>
    <row r="20" spans="1:11" ht="69.75" customHeight="1" x14ac:dyDescent="0.2">
      <c r="A20" s="109" t="s">
        <v>89</v>
      </c>
      <c r="B20" s="207"/>
      <c r="C20" s="230"/>
      <c r="D20" s="110"/>
      <c r="E20" s="155" t="s">
        <v>90</v>
      </c>
      <c r="F20" s="135" t="s">
        <v>72</v>
      </c>
      <c r="G20" s="95" t="s">
        <v>91</v>
      </c>
      <c r="H20" s="111"/>
      <c r="I20" s="109"/>
      <c r="J20" s="109"/>
      <c r="K20" s="110"/>
    </row>
    <row r="21" spans="1:11" ht="69.75" customHeight="1" x14ac:dyDescent="0.2">
      <c r="A21" s="109" t="s">
        <v>92</v>
      </c>
      <c r="B21" s="207"/>
      <c r="C21" s="230"/>
      <c r="D21" s="110"/>
      <c r="E21" s="155" t="s">
        <v>93</v>
      </c>
      <c r="F21" s="135" t="s">
        <v>72</v>
      </c>
      <c r="G21" s="95" t="s">
        <v>94</v>
      </c>
      <c r="H21" s="111"/>
      <c r="I21" s="109"/>
      <c r="J21" s="109"/>
      <c r="K21" s="110"/>
    </row>
    <row r="22" spans="1:11" ht="69.75" customHeight="1" x14ac:dyDescent="0.2">
      <c r="A22" s="109" t="s">
        <v>95</v>
      </c>
      <c r="B22" s="207"/>
      <c r="C22" s="230"/>
      <c r="D22" s="110"/>
      <c r="E22" s="155" t="s">
        <v>96</v>
      </c>
      <c r="F22" s="135" t="s">
        <v>72</v>
      </c>
      <c r="G22" s="95" t="s">
        <v>97</v>
      </c>
      <c r="H22" s="111"/>
      <c r="I22" s="109"/>
      <c r="J22" s="109"/>
      <c r="K22" s="110"/>
    </row>
    <row r="23" spans="1:11" ht="69.75" customHeight="1" x14ac:dyDescent="0.2">
      <c r="A23" s="109" t="s">
        <v>98</v>
      </c>
      <c r="B23" s="207"/>
      <c r="C23" s="230"/>
      <c r="D23" s="110"/>
      <c r="E23" s="155" t="s">
        <v>99</v>
      </c>
      <c r="F23" s="135" t="s">
        <v>72</v>
      </c>
      <c r="G23" s="95" t="s">
        <v>100</v>
      </c>
      <c r="H23" s="111"/>
      <c r="I23" s="109"/>
      <c r="J23" s="109"/>
      <c r="K23" s="110"/>
    </row>
    <row r="24" spans="1:11" ht="69.75" customHeight="1" x14ac:dyDescent="0.2">
      <c r="A24" s="109" t="s">
        <v>101</v>
      </c>
      <c r="B24" s="207"/>
      <c r="C24" s="230"/>
      <c r="D24" s="110"/>
      <c r="E24" s="155" t="s">
        <v>102</v>
      </c>
      <c r="F24" s="135" t="s">
        <v>72</v>
      </c>
      <c r="G24" s="95" t="s">
        <v>103</v>
      </c>
      <c r="H24" s="111"/>
      <c r="I24" s="109"/>
      <c r="J24" s="109"/>
      <c r="K24" s="110"/>
    </row>
    <row r="25" spans="1:11" ht="69.75" customHeight="1" x14ac:dyDescent="0.2">
      <c r="A25" s="109" t="s">
        <v>104</v>
      </c>
      <c r="B25" s="207"/>
      <c r="C25" s="230"/>
      <c r="D25" s="110"/>
      <c r="E25" s="155" t="s">
        <v>105</v>
      </c>
      <c r="F25" s="135" t="s">
        <v>106</v>
      </c>
      <c r="G25" s="95" t="s">
        <v>107</v>
      </c>
      <c r="H25" s="111"/>
      <c r="I25" s="109"/>
      <c r="J25" s="109"/>
      <c r="K25" s="110"/>
    </row>
    <row r="26" spans="1:11" ht="69.75" customHeight="1" x14ac:dyDescent="0.2">
      <c r="A26" s="109" t="s">
        <v>108</v>
      </c>
      <c r="B26" s="208"/>
      <c r="C26" s="230"/>
      <c r="D26" s="110"/>
      <c r="E26" s="155" t="s">
        <v>109</v>
      </c>
      <c r="F26" s="135" t="s">
        <v>106</v>
      </c>
      <c r="G26" s="95" t="s">
        <v>110</v>
      </c>
      <c r="H26" s="111"/>
      <c r="I26" s="109"/>
      <c r="J26" s="109"/>
      <c r="K26" s="110"/>
    </row>
    <row r="27" spans="1:11" ht="49.5" customHeight="1" x14ac:dyDescent="0.2">
      <c r="A27" s="109" t="s">
        <v>111</v>
      </c>
      <c r="B27" s="145">
        <v>21399</v>
      </c>
      <c r="C27" s="230"/>
      <c r="D27" s="110"/>
      <c r="E27" s="155" t="s">
        <v>112</v>
      </c>
      <c r="F27" s="149" t="s">
        <v>113</v>
      </c>
      <c r="G27" s="150" t="s">
        <v>114</v>
      </c>
      <c r="H27" s="111"/>
      <c r="I27" s="109"/>
      <c r="J27" s="109"/>
      <c r="K27" s="110" t="s">
        <v>115</v>
      </c>
    </row>
    <row r="28" spans="1:11" ht="78" x14ac:dyDescent="0.2">
      <c r="A28" s="109" t="s">
        <v>116</v>
      </c>
      <c r="B28" s="109" t="s">
        <v>44</v>
      </c>
      <c r="C28" s="146" t="s">
        <v>117</v>
      </c>
      <c r="D28" s="110"/>
      <c r="E28" s="171" t="s">
        <v>118</v>
      </c>
      <c r="F28" s="135" t="s">
        <v>119</v>
      </c>
      <c r="G28" s="147" t="s">
        <v>120</v>
      </c>
      <c r="H28" s="111"/>
      <c r="I28" s="109"/>
      <c r="J28" s="109"/>
      <c r="K28" s="110"/>
    </row>
    <row r="29" spans="1:11" ht="78" x14ac:dyDescent="0.2">
      <c r="A29" s="109" t="s">
        <v>121</v>
      </c>
      <c r="B29" s="109" t="s">
        <v>44</v>
      </c>
      <c r="C29" s="146" t="s">
        <v>122</v>
      </c>
      <c r="D29" s="110"/>
      <c r="E29" s="171" t="s">
        <v>123</v>
      </c>
      <c r="F29" s="135" t="s">
        <v>124</v>
      </c>
      <c r="G29" s="147" t="s">
        <v>125</v>
      </c>
      <c r="H29" s="111"/>
      <c r="I29" s="109"/>
      <c r="J29" s="109"/>
      <c r="K29" s="110"/>
    </row>
    <row r="30" spans="1:11" ht="117" x14ac:dyDescent="0.2">
      <c r="A30" s="109" t="s">
        <v>126</v>
      </c>
      <c r="B30" s="109">
        <v>21368</v>
      </c>
      <c r="C30" s="146" t="s">
        <v>127</v>
      </c>
      <c r="D30" s="110"/>
      <c r="E30" s="171" t="s">
        <v>128</v>
      </c>
      <c r="F30" s="135" t="s">
        <v>129</v>
      </c>
      <c r="G30" s="147" t="s">
        <v>130</v>
      </c>
      <c r="H30" s="111"/>
      <c r="I30" s="109"/>
      <c r="J30" s="109"/>
      <c r="K30" s="110"/>
    </row>
    <row r="31" spans="1:11" ht="32.25" customHeight="1" x14ac:dyDescent="0.2">
      <c r="A31" s="109" t="s">
        <v>131</v>
      </c>
      <c r="B31" s="206" t="s">
        <v>44</v>
      </c>
      <c r="C31" s="204" t="s">
        <v>132</v>
      </c>
      <c r="D31" s="110"/>
      <c r="E31" s="155" t="s">
        <v>133</v>
      </c>
      <c r="F31" s="227" t="s">
        <v>134</v>
      </c>
      <c r="G31" s="95" t="s">
        <v>135</v>
      </c>
      <c r="H31" s="111"/>
      <c r="I31" s="109"/>
      <c r="J31" s="109"/>
      <c r="K31" s="110"/>
    </row>
    <row r="32" spans="1:11" ht="32.25" customHeight="1" x14ac:dyDescent="0.2">
      <c r="A32" s="109" t="s">
        <v>136</v>
      </c>
      <c r="B32" s="207"/>
      <c r="C32" s="205"/>
      <c r="D32" s="110"/>
      <c r="E32" s="155" t="s">
        <v>137</v>
      </c>
      <c r="F32" s="228"/>
      <c r="G32" s="95" t="s">
        <v>138</v>
      </c>
      <c r="H32" s="111"/>
      <c r="I32" s="109"/>
      <c r="J32" s="109"/>
      <c r="K32" s="110"/>
    </row>
    <row r="33" spans="1:11" ht="32.25" customHeight="1" x14ac:dyDescent="0.2">
      <c r="A33" s="109" t="s">
        <v>139</v>
      </c>
      <c r="B33" s="207"/>
      <c r="C33" s="205"/>
      <c r="D33" s="110"/>
      <c r="E33" s="155" t="s">
        <v>140</v>
      </c>
      <c r="F33" s="228"/>
      <c r="G33" s="95" t="s">
        <v>141</v>
      </c>
      <c r="H33" s="111"/>
      <c r="I33" s="109"/>
      <c r="J33" s="109"/>
      <c r="K33" s="110"/>
    </row>
    <row r="34" spans="1:11" ht="32.25" customHeight="1" x14ac:dyDescent="0.2">
      <c r="A34" s="109" t="s">
        <v>142</v>
      </c>
      <c r="B34" s="207"/>
      <c r="C34" s="205"/>
      <c r="D34" s="110"/>
      <c r="E34" s="155" t="s">
        <v>143</v>
      </c>
      <c r="F34" s="229"/>
      <c r="G34" s="95" t="s">
        <v>144</v>
      </c>
      <c r="H34" s="111"/>
      <c r="I34" s="109"/>
      <c r="J34" s="109"/>
      <c r="K34" s="110"/>
    </row>
    <row r="35" spans="1:11" ht="33" customHeight="1" x14ac:dyDescent="0.2">
      <c r="A35" s="109" t="s">
        <v>145</v>
      </c>
      <c r="B35" s="207"/>
      <c r="C35" s="205"/>
      <c r="D35" s="110"/>
      <c r="E35" s="155" t="s">
        <v>146</v>
      </c>
      <c r="F35" s="227" t="s">
        <v>134</v>
      </c>
      <c r="G35" s="95" t="s">
        <v>147</v>
      </c>
      <c r="H35" s="111"/>
      <c r="I35" s="109"/>
      <c r="J35" s="109"/>
      <c r="K35" s="110"/>
    </row>
    <row r="36" spans="1:11" ht="33" customHeight="1" x14ac:dyDescent="0.2">
      <c r="A36" s="109" t="s">
        <v>148</v>
      </c>
      <c r="B36" s="207"/>
      <c r="C36" s="205"/>
      <c r="D36" s="110"/>
      <c r="E36" s="155" t="s">
        <v>149</v>
      </c>
      <c r="F36" s="228"/>
      <c r="G36" s="95" t="s">
        <v>147</v>
      </c>
      <c r="H36" s="111"/>
      <c r="I36" s="109"/>
      <c r="J36" s="109"/>
      <c r="K36" s="110"/>
    </row>
    <row r="37" spans="1:11" ht="33" customHeight="1" x14ac:dyDescent="0.2">
      <c r="A37" s="109" t="s">
        <v>150</v>
      </c>
      <c r="B37" s="207"/>
      <c r="C37" s="205"/>
      <c r="D37" s="110"/>
      <c r="E37" s="155" t="s">
        <v>151</v>
      </c>
      <c r="F37" s="228"/>
      <c r="G37" s="95" t="s">
        <v>147</v>
      </c>
      <c r="H37" s="111"/>
      <c r="I37" s="109"/>
      <c r="J37" s="109"/>
      <c r="K37" s="110"/>
    </row>
    <row r="38" spans="1:11" ht="33" customHeight="1" x14ac:dyDescent="0.2">
      <c r="A38" s="109" t="s">
        <v>152</v>
      </c>
      <c r="B38" s="207"/>
      <c r="C38" s="205"/>
      <c r="D38" s="110"/>
      <c r="E38" s="155" t="s">
        <v>153</v>
      </c>
      <c r="F38" s="229"/>
      <c r="G38" s="95" t="s">
        <v>147</v>
      </c>
      <c r="H38" s="111"/>
      <c r="I38" s="109"/>
      <c r="J38" s="109"/>
      <c r="K38" s="110"/>
    </row>
    <row r="39" spans="1:11" ht="35.25" customHeight="1" x14ac:dyDescent="0.2">
      <c r="A39" s="109" t="s">
        <v>154</v>
      </c>
      <c r="B39" s="207"/>
      <c r="C39" s="205"/>
      <c r="D39" s="110"/>
      <c r="E39" s="155" t="s">
        <v>155</v>
      </c>
      <c r="F39" s="227" t="s">
        <v>134</v>
      </c>
      <c r="G39" s="95" t="s">
        <v>156</v>
      </c>
      <c r="H39" s="111"/>
      <c r="I39" s="109"/>
      <c r="J39" s="109"/>
      <c r="K39" s="110"/>
    </row>
    <row r="40" spans="1:11" ht="35.25" customHeight="1" x14ac:dyDescent="0.2">
      <c r="A40" s="109" t="s">
        <v>157</v>
      </c>
      <c r="B40" s="207"/>
      <c r="C40" s="205"/>
      <c r="D40" s="110"/>
      <c r="E40" s="155" t="s">
        <v>158</v>
      </c>
      <c r="F40" s="228"/>
      <c r="G40" s="95" t="s">
        <v>159</v>
      </c>
      <c r="H40" s="111"/>
      <c r="I40" s="109"/>
      <c r="J40" s="109"/>
      <c r="K40" s="110"/>
    </row>
    <row r="41" spans="1:11" ht="35.25" customHeight="1" x14ac:dyDescent="0.2">
      <c r="A41" s="109" t="s">
        <v>160</v>
      </c>
      <c r="B41" s="207"/>
      <c r="C41" s="205"/>
      <c r="D41" s="110"/>
      <c r="E41" s="155" t="s">
        <v>161</v>
      </c>
      <c r="F41" s="228"/>
      <c r="G41" s="95" t="s">
        <v>162</v>
      </c>
      <c r="H41" s="111"/>
      <c r="I41" s="109"/>
      <c r="J41" s="109"/>
      <c r="K41" s="110"/>
    </row>
    <row r="42" spans="1:11" ht="35.25" customHeight="1" x14ac:dyDescent="0.2">
      <c r="A42" s="109" t="s">
        <v>163</v>
      </c>
      <c r="B42" s="207"/>
      <c r="C42" s="205"/>
      <c r="D42" s="110"/>
      <c r="E42" s="172" t="s">
        <v>164</v>
      </c>
      <c r="F42" s="228"/>
      <c r="G42" s="95" t="s">
        <v>165</v>
      </c>
      <c r="H42" s="111"/>
      <c r="I42" s="109"/>
      <c r="J42" s="109"/>
      <c r="K42" s="110"/>
    </row>
    <row r="43" spans="1:11" ht="57" customHeight="1" x14ac:dyDescent="0.2">
      <c r="A43" s="109" t="s">
        <v>166</v>
      </c>
      <c r="B43" s="207"/>
      <c r="C43" s="146" t="s">
        <v>167</v>
      </c>
      <c r="D43" s="110"/>
      <c r="E43" s="155" t="s">
        <v>168</v>
      </c>
      <c r="F43" s="135" t="s">
        <v>169</v>
      </c>
      <c r="G43" s="147" t="s">
        <v>170</v>
      </c>
      <c r="H43" s="111"/>
      <c r="I43" s="109"/>
      <c r="J43" s="109"/>
      <c r="K43" s="110"/>
    </row>
    <row r="44" spans="1:11" ht="91" x14ac:dyDescent="0.2">
      <c r="A44" s="109" t="s">
        <v>171</v>
      </c>
      <c r="B44" s="208"/>
      <c r="C44" s="146" t="s">
        <v>172</v>
      </c>
      <c r="D44" s="110"/>
      <c r="E44" s="155" t="s">
        <v>173</v>
      </c>
      <c r="F44" s="135" t="s">
        <v>174</v>
      </c>
      <c r="G44" s="147" t="s">
        <v>175</v>
      </c>
      <c r="H44" s="111"/>
      <c r="I44" s="109"/>
      <c r="J44" s="109"/>
      <c r="K44" s="110"/>
    </row>
    <row r="45" spans="1:11" ht="70.5" customHeight="1" x14ac:dyDescent="0.2">
      <c r="A45" s="109" t="s">
        <v>176</v>
      </c>
      <c r="B45" s="206" t="s">
        <v>44</v>
      </c>
      <c r="C45" s="204" t="s">
        <v>177</v>
      </c>
      <c r="D45" s="110"/>
      <c r="E45" s="171" t="s">
        <v>178</v>
      </c>
      <c r="F45" s="135" t="s">
        <v>179</v>
      </c>
      <c r="G45" s="147" t="s">
        <v>180</v>
      </c>
      <c r="H45" s="111"/>
      <c r="I45" s="109"/>
      <c r="J45" s="109"/>
      <c r="K45" s="110"/>
    </row>
    <row r="46" spans="1:11" ht="54" customHeight="1" x14ac:dyDescent="0.2">
      <c r="A46" s="109" t="s">
        <v>181</v>
      </c>
      <c r="B46" s="207"/>
      <c r="C46" s="205"/>
      <c r="D46" s="110"/>
      <c r="E46" s="171" t="s">
        <v>182</v>
      </c>
      <c r="F46" s="135" t="s">
        <v>183</v>
      </c>
      <c r="G46" s="147" t="s">
        <v>184</v>
      </c>
      <c r="H46" s="111"/>
      <c r="I46" s="109"/>
      <c r="J46" s="109"/>
      <c r="K46" s="110"/>
    </row>
    <row r="47" spans="1:11" ht="58.5" customHeight="1" x14ac:dyDescent="0.2">
      <c r="A47" s="109" t="s">
        <v>185</v>
      </c>
      <c r="B47" s="208"/>
      <c r="C47" s="205"/>
      <c r="D47" s="110"/>
      <c r="E47" s="171" t="s">
        <v>186</v>
      </c>
      <c r="F47" s="135" t="s">
        <v>187</v>
      </c>
      <c r="G47" s="147" t="s">
        <v>188</v>
      </c>
      <c r="H47" s="111"/>
      <c r="I47" s="109"/>
      <c r="J47" s="109"/>
      <c r="K47" s="110"/>
    </row>
    <row r="48" spans="1:11" ht="130" x14ac:dyDescent="0.2">
      <c r="A48" s="109" t="s">
        <v>189</v>
      </c>
      <c r="B48" s="156" t="s">
        <v>190</v>
      </c>
      <c r="C48" s="230" t="s">
        <v>191</v>
      </c>
      <c r="D48" s="110"/>
      <c r="E48" s="147" t="s">
        <v>192</v>
      </c>
      <c r="F48" s="135" t="s">
        <v>193</v>
      </c>
      <c r="G48" s="95" t="s">
        <v>194</v>
      </c>
      <c r="H48" s="111"/>
      <c r="I48" s="109"/>
      <c r="J48" s="109"/>
      <c r="K48" s="110"/>
    </row>
    <row r="49" spans="1:11" ht="104" x14ac:dyDescent="0.2">
      <c r="A49" s="109" t="s">
        <v>195</v>
      </c>
      <c r="B49" s="236">
        <v>21409</v>
      </c>
      <c r="C49" s="230"/>
      <c r="D49" s="110"/>
      <c r="E49" s="155" t="s">
        <v>196</v>
      </c>
      <c r="F49" s="135" t="s">
        <v>197</v>
      </c>
      <c r="G49" s="95" t="s">
        <v>198</v>
      </c>
      <c r="H49" s="111"/>
      <c r="I49" s="109"/>
      <c r="J49" s="109"/>
      <c r="K49" s="110"/>
    </row>
    <row r="50" spans="1:11" ht="104" x14ac:dyDescent="0.2">
      <c r="A50" s="109" t="s">
        <v>199</v>
      </c>
      <c r="B50" s="236"/>
      <c r="C50" s="230"/>
      <c r="D50" s="110"/>
      <c r="E50" s="155" t="s">
        <v>200</v>
      </c>
      <c r="F50" s="135" t="s">
        <v>201</v>
      </c>
      <c r="G50" s="95" t="s">
        <v>198</v>
      </c>
      <c r="H50" s="111"/>
      <c r="I50" s="109"/>
      <c r="J50" s="109"/>
      <c r="K50" s="110"/>
    </row>
    <row r="51" spans="1:11" ht="104" x14ac:dyDescent="0.2">
      <c r="A51" s="109" t="s">
        <v>202</v>
      </c>
      <c r="B51" s="236"/>
      <c r="C51" s="230"/>
      <c r="D51" s="110"/>
      <c r="E51" s="155" t="s">
        <v>203</v>
      </c>
      <c r="F51" s="135" t="s">
        <v>204</v>
      </c>
      <c r="G51" s="95" t="s">
        <v>205</v>
      </c>
      <c r="H51" s="111"/>
      <c r="I51" s="109"/>
      <c r="J51" s="109"/>
      <c r="K51" s="110"/>
    </row>
    <row r="52" spans="1:11" ht="65" x14ac:dyDescent="0.2">
      <c r="A52" s="109" t="s">
        <v>206</v>
      </c>
      <c r="B52" s="236"/>
      <c r="C52" s="230"/>
      <c r="D52" s="110"/>
      <c r="E52" s="155" t="s">
        <v>207</v>
      </c>
      <c r="F52" s="149" t="s">
        <v>208</v>
      </c>
      <c r="G52" s="150"/>
      <c r="H52" s="111"/>
      <c r="I52" s="109"/>
      <c r="J52" s="109"/>
      <c r="K52" s="110" t="s">
        <v>115</v>
      </c>
    </row>
    <row r="53" spans="1:11" ht="91" x14ac:dyDescent="0.2">
      <c r="A53" s="109" t="s">
        <v>209</v>
      </c>
      <c r="B53" s="207">
        <v>21369</v>
      </c>
      <c r="C53" s="216" t="s">
        <v>210</v>
      </c>
      <c r="D53" s="110"/>
      <c r="E53" s="155" t="s">
        <v>211</v>
      </c>
      <c r="F53" s="135" t="s">
        <v>212</v>
      </c>
      <c r="G53" s="95" t="s">
        <v>213</v>
      </c>
      <c r="H53" s="111"/>
      <c r="I53" s="109"/>
      <c r="J53" s="109"/>
      <c r="K53" s="110"/>
    </row>
    <row r="54" spans="1:11" ht="91" x14ac:dyDescent="0.2">
      <c r="A54" s="109" t="s">
        <v>214</v>
      </c>
      <c r="B54" s="207"/>
      <c r="C54" s="230"/>
      <c r="D54" s="110"/>
      <c r="E54" s="155" t="s">
        <v>215</v>
      </c>
      <c r="F54" s="135" t="s">
        <v>216</v>
      </c>
      <c r="G54" s="95" t="s">
        <v>217</v>
      </c>
      <c r="H54" s="111"/>
      <c r="I54" s="109"/>
      <c r="J54" s="109"/>
      <c r="K54" s="110"/>
    </row>
    <row r="55" spans="1:11" ht="91" x14ac:dyDescent="0.2">
      <c r="A55" s="109" t="s">
        <v>218</v>
      </c>
      <c r="B55" s="207"/>
      <c r="C55" s="230"/>
      <c r="D55" s="110"/>
      <c r="E55" s="155" t="s">
        <v>219</v>
      </c>
      <c r="F55" s="135" t="s">
        <v>220</v>
      </c>
      <c r="G55" s="95" t="s">
        <v>221</v>
      </c>
      <c r="H55" s="111"/>
      <c r="I55" s="109"/>
      <c r="J55" s="109"/>
      <c r="K55" s="110"/>
    </row>
    <row r="56" spans="1:11" ht="91" x14ac:dyDescent="0.2">
      <c r="A56" s="109" t="s">
        <v>222</v>
      </c>
      <c r="B56" s="207"/>
      <c r="C56" s="230"/>
      <c r="D56" s="110"/>
      <c r="E56" s="155" t="s">
        <v>223</v>
      </c>
      <c r="F56" s="135" t="s">
        <v>224</v>
      </c>
      <c r="G56" s="95" t="s">
        <v>225</v>
      </c>
      <c r="H56" s="111"/>
      <c r="I56" s="109"/>
      <c r="J56" s="109"/>
      <c r="K56" s="110"/>
    </row>
    <row r="57" spans="1:11" ht="104" x14ac:dyDescent="0.2">
      <c r="A57" s="109" t="s">
        <v>226</v>
      </c>
      <c r="B57" s="207"/>
      <c r="C57" s="230"/>
      <c r="D57" s="110"/>
      <c r="E57" s="155" t="s">
        <v>227</v>
      </c>
      <c r="F57" s="135" t="s">
        <v>228</v>
      </c>
      <c r="G57" s="95" t="s">
        <v>229</v>
      </c>
      <c r="H57" s="111"/>
      <c r="I57" s="109"/>
      <c r="J57" s="109"/>
      <c r="K57" s="110"/>
    </row>
    <row r="58" spans="1:11" ht="91" x14ac:dyDescent="0.2">
      <c r="A58" s="109" t="s">
        <v>230</v>
      </c>
      <c r="B58" s="207"/>
      <c r="C58" s="230"/>
      <c r="D58" s="110"/>
      <c r="E58" s="155" t="s">
        <v>231</v>
      </c>
      <c r="F58" s="135" t="s">
        <v>232</v>
      </c>
      <c r="G58" s="95" t="s">
        <v>233</v>
      </c>
      <c r="H58" s="111"/>
      <c r="I58" s="109"/>
      <c r="J58" s="109"/>
      <c r="K58" s="110"/>
    </row>
    <row r="59" spans="1:11" ht="91" x14ac:dyDescent="0.2">
      <c r="A59" s="109" t="s">
        <v>234</v>
      </c>
      <c r="B59" s="207"/>
      <c r="C59" s="230"/>
      <c r="D59" s="110"/>
      <c r="E59" s="155" t="s">
        <v>235</v>
      </c>
      <c r="F59" s="135" t="s">
        <v>236</v>
      </c>
      <c r="G59" s="95" t="s">
        <v>237</v>
      </c>
      <c r="H59" s="111"/>
      <c r="I59" s="109"/>
      <c r="J59" s="109"/>
      <c r="K59" s="110"/>
    </row>
    <row r="60" spans="1:11" ht="91" x14ac:dyDescent="0.2">
      <c r="A60" s="109" t="s">
        <v>238</v>
      </c>
      <c r="B60" s="207"/>
      <c r="C60" s="230"/>
      <c r="D60" s="110"/>
      <c r="E60" s="155" t="s">
        <v>239</v>
      </c>
      <c r="F60" s="135" t="s">
        <v>240</v>
      </c>
      <c r="G60" s="95" t="s">
        <v>241</v>
      </c>
      <c r="H60" s="111"/>
      <c r="I60" s="109"/>
      <c r="J60" s="109"/>
      <c r="K60" s="110"/>
    </row>
    <row r="61" spans="1:11" ht="91" x14ac:dyDescent="0.2">
      <c r="A61" s="109" t="s">
        <v>242</v>
      </c>
      <c r="B61" s="207"/>
      <c r="C61" s="230"/>
      <c r="D61" s="110"/>
      <c r="E61" s="155" t="s">
        <v>243</v>
      </c>
      <c r="F61" s="135" t="s">
        <v>212</v>
      </c>
      <c r="G61" s="95" t="s">
        <v>213</v>
      </c>
      <c r="H61" s="111"/>
      <c r="I61" s="109"/>
      <c r="J61" s="109"/>
      <c r="K61" s="110"/>
    </row>
    <row r="62" spans="1:11" ht="91" x14ac:dyDescent="0.2">
      <c r="A62" s="109" t="s">
        <v>244</v>
      </c>
      <c r="B62" s="207"/>
      <c r="C62" s="230"/>
      <c r="D62" s="110"/>
      <c r="E62" s="155" t="s">
        <v>245</v>
      </c>
      <c r="F62" s="135" t="s">
        <v>246</v>
      </c>
      <c r="G62" s="95" t="s">
        <v>247</v>
      </c>
      <c r="H62" s="111"/>
      <c r="I62" s="109"/>
      <c r="J62" s="109"/>
      <c r="K62" s="110"/>
    </row>
    <row r="63" spans="1:11" ht="91" x14ac:dyDescent="0.2">
      <c r="A63" s="109" t="s">
        <v>248</v>
      </c>
      <c r="B63" s="207"/>
      <c r="C63" s="230"/>
      <c r="D63" s="110"/>
      <c r="E63" s="155" t="s">
        <v>249</v>
      </c>
      <c r="F63" s="135" t="s">
        <v>250</v>
      </c>
      <c r="G63" s="95" t="s">
        <v>251</v>
      </c>
      <c r="H63" s="111"/>
      <c r="I63" s="109"/>
      <c r="J63" s="109"/>
      <c r="K63" s="110"/>
    </row>
    <row r="64" spans="1:11" ht="104" x14ac:dyDescent="0.2">
      <c r="A64" s="109" t="s">
        <v>252</v>
      </c>
      <c r="B64" s="207"/>
      <c r="C64" s="230"/>
      <c r="D64" s="110"/>
      <c r="E64" s="155" t="s">
        <v>253</v>
      </c>
      <c r="F64" s="135" t="s">
        <v>254</v>
      </c>
      <c r="G64" s="95" t="s">
        <v>255</v>
      </c>
      <c r="H64" s="111"/>
      <c r="I64" s="109"/>
      <c r="J64" s="109"/>
      <c r="K64" s="110"/>
    </row>
    <row r="65" spans="1:11" ht="91" x14ac:dyDescent="0.2">
      <c r="A65" s="109" t="s">
        <v>256</v>
      </c>
      <c r="B65" s="207"/>
      <c r="C65" s="230"/>
      <c r="D65" s="110"/>
      <c r="E65" s="155" t="s">
        <v>257</v>
      </c>
      <c r="F65" s="135" t="s">
        <v>258</v>
      </c>
      <c r="G65" s="95" t="s">
        <v>259</v>
      </c>
      <c r="H65" s="111"/>
      <c r="I65" s="109"/>
      <c r="J65" s="109"/>
      <c r="K65" s="110"/>
    </row>
    <row r="66" spans="1:11" ht="91" x14ac:dyDescent="0.2">
      <c r="A66" s="109" t="s">
        <v>260</v>
      </c>
      <c r="B66" s="207"/>
      <c r="C66" s="230"/>
      <c r="D66" s="110"/>
      <c r="E66" s="155" t="s">
        <v>261</v>
      </c>
      <c r="F66" s="135" t="s">
        <v>262</v>
      </c>
      <c r="G66" s="95" t="s">
        <v>263</v>
      </c>
      <c r="H66" s="111"/>
      <c r="I66" s="109"/>
      <c r="J66" s="109"/>
      <c r="K66" s="110"/>
    </row>
    <row r="67" spans="1:11" ht="91" x14ac:dyDescent="0.2">
      <c r="A67" s="109" t="s">
        <v>264</v>
      </c>
      <c r="B67" s="207"/>
      <c r="C67" s="230"/>
      <c r="D67" s="110"/>
      <c r="E67" s="155" t="s">
        <v>265</v>
      </c>
      <c r="F67" s="135" t="s">
        <v>266</v>
      </c>
      <c r="G67" s="95" t="s">
        <v>267</v>
      </c>
      <c r="H67" s="111"/>
      <c r="I67" s="109"/>
      <c r="J67" s="109"/>
      <c r="K67" s="110"/>
    </row>
    <row r="68" spans="1:11" ht="104" x14ac:dyDescent="0.2">
      <c r="A68" s="109" t="s">
        <v>268</v>
      </c>
      <c r="B68" s="207"/>
      <c r="C68" s="230"/>
      <c r="D68" s="110"/>
      <c r="E68" s="155" t="s">
        <v>269</v>
      </c>
      <c r="F68" s="135" t="s">
        <v>270</v>
      </c>
      <c r="G68" s="95" t="s">
        <v>271</v>
      </c>
      <c r="H68" s="111"/>
      <c r="I68" s="109"/>
      <c r="J68" s="109"/>
      <c r="K68" s="110"/>
    </row>
    <row r="69" spans="1:11" ht="104" x14ac:dyDescent="0.2">
      <c r="A69" s="109" t="s">
        <v>272</v>
      </c>
      <c r="B69" s="207"/>
      <c r="C69" s="230"/>
      <c r="D69" s="110"/>
      <c r="E69" s="155" t="s">
        <v>273</v>
      </c>
      <c r="F69" s="135" t="s">
        <v>274</v>
      </c>
      <c r="G69" s="95" t="s">
        <v>275</v>
      </c>
      <c r="H69" s="111"/>
      <c r="I69" s="109"/>
      <c r="J69" s="109"/>
      <c r="K69" s="110"/>
    </row>
    <row r="70" spans="1:11" ht="91" x14ac:dyDescent="0.2">
      <c r="A70" s="109" t="s">
        <v>276</v>
      </c>
      <c r="B70" s="208"/>
      <c r="C70" s="230"/>
      <c r="D70" s="110"/>
      <c r="E70" s="155" t="s">
        <v>277</v>
      </c>
      <c r="F70" s="135" t="s">
        <v>278</v>
      </c>
      <c r="G70" s="95" t="s">
        <v>279</v>
      </c>
      <c r="H70" s="111"/>
      <c r="I70" s="109"/>
      <c r="J70" s="109"/>
      <c r="K70" s="110"/>
    </row>
    <row r="71" spans="1:11" ht="65" x14ac:dyDescent="0.2">
      <c r="A71" s="109" t="s">
        <v>280</v>
      </c>
      <c r="B71" s="109">
        <v>21414</v>
      </c>
      <c r="C71" s="146" t="s">
        <v>281</v>
      </c>
      <c r="D71" s="110"/>
      <c r="E71" s="155" t="s">
        <v>282</v>
      </c>
      <c r="F71" s="135" t="s">
        <v>283</v>
      </c>
      <c r="G71" s="95" t="s">
        <v>284</v>
      </c>
      <c r="H71" s="111"/>
      <c r="I71" s="109"/>
      <c r="J71" s="109"/>
      <c r="K71" s="110"/>
    </row>
    <row r="72" spans="1:11" ht="91" x14ac:dyDescent="0.2">
      <c r="A72" s="109" t="s">
        <v>285</v>
      </c>
      <c r="B72" s="109">
        <v>21423</v>
      </c>
      <c r="C72" s="146" t="s">
        <v>286</v>
      </c>
      <c r="D72" s="110"/>
      <c r="E72" s="142" t="s">
        <v>287</v>
      </c>
      <c r="F72" s="135" t="s">
        <v>288</v>
      </c>
      <c r="G72" s="141" t="s">
        <v>289</v>
      </c>
      <c r="H72" s="111"/>
      <c r="I72" s="109"/>
      <c r="J72" s="109"/>
      <c r="K72" s="110"/>
    </row>
    <row r="73" spans="1:11" ht="78" x14ac:dyDescent="0.2">
      <c r="A73" s="109" t="s">
        <v>290</v>
      </c>
      <c r="B73" s="109">
        <v>21437</v>
      </c>
      <c r="C73" s="146" t="s">
        <v>291</v>
      </c>
      <c r="D73" s="110"/>
      <c r="E73" s="155" t="s">
        <v>292</v>
      </c>
      <c r="F73" s="135" t="s">
        <v>293</v>
      </c>
      <c r="G73" s="95" t="s">
        <v>294</v>
      </c>
      <c r="H73" s="111"/>
      <c r="I73" s="109"/>
      <c r="J73" s="109"/>
      <c r="K73" s="110"/>
    </row>
    <row r="74" spans="1:11" ht="78" x14ac:dyDescent="0.2">
      <c r="A74" s="109" t="s">
        <v>295</v>
      </c>
      <c r="B74" s="148">
        <v>21440</v>
      </c>
      <c r="C74" s="146" t="s">
        <v>296</v>
      </c>
      <c r="D74" s="110"/>
      <c r="E74" s="155" t="s">
        <v>297</v>
      </c>
      <c r="F74" s="135" t="s">
        <v>293</v>
      </c>
      <c r="G74" s="95" t="s">
        <v>298</v>
      </c>
      <c r="H74" s="111"/>
      <c r="I74" s="109"/>
      <c r="J74" s="109"/>
      <c r="K74" s="110"/>
    </row>
    <row r="75" spans="1:11" x14ac:dyDescent="0.2">
      <c r="A75" s="217" t="s">
        <v>299</v>
      </c>
      <c r="B75" s="218"/>
      <c r="C75" s="218"/>
      <c r="D75" s="218"/>
      <c r="E75" s="218"/>
      <c r="F75" s="218"/>
      <c r="G75" s="219"/>
      <c r="H75" s="218"/>
      <c r="I75" s="218"/>
      <c r="J75" s="218"/>
      <c r="K75" s="218"/>
    </row>
    <row r="76" spans="1:11" s="139" customFormat="1" ht="26" x14ac:dyDescent="0.2">
      <c r="A76" s="109" t="s">
        <v>300</v>
      </c>
      <c r="B76" s="224">
        <v>21413</v>
      </c>
      <c r="C76" s="210" t="s">
        <v>31</v>
      </c>
      <c r="D76" s="135"/>
      <c r="E76" s="151" t="s">
        <v>32</v>
      </c>
      <c r="F76" s="135" t="s">
        <v>33</v>
      </c>
      <c r="G76" s="122" t="s">
        <v>34</v>
      </c>
      <c r="H76" s="136"/>
      <c r="I76" s="136"/>
      <c r="J76" s="136"/>
      <c r="K76" s="136"/>
    </row>
    <row r="77" spans="1:11" s="139" customFormat="1" ht="26" x14ac:dyDescent="0.2">
      <c r="A77" s="109" t="s">
        <v>301</v>
      </c>
      <c r="B77" s="226"/>
      <c r="C77" s="212"/>
      <c r="D77" s="135"/>
      <c r="E77" s="151" t="s">
        <v>302</v>
      </c>
      <c r="F77" s="135" t="s">
        <v>303</v>
      </c>
      <c r="G77" s="122" t="s">
        <v>304</v>
      </c>
      <c r="H77" s="136"/>
      <c r="I77" s="136"/>
      <c r="J77" s="136"/>
      <c r="K77" s="136"/>
    </row>
    <row r="78" spans="1:11" ht="24.75" customHeight="1" x14ac:dyDescent="0.2">
      <c r="A78" s="109"/>
      <c r="B78" s="206" t="s">
        <v>305</v>
      </c>
      <c r="C78" s="213" t="s">
        <v>306</v>
      </c>
      <c r="D78" s="166"/>
      <c r="E78" s="120" t="s">
        <v>307</v>
      </c>
      <c r="F78" s="157"/>
      <c r="G78" s="158"/>
      <c r="H78" s="159"/>
      <c r="I78" s="160"/>
      <c r="J78" s="160"/>
      <c r="K78" s="157"/>
    </row>
    <row r="79" spans="1:11" ht="45" customHeight="1" x14ac:dyDescent="0.2">
      <c r="A79" s="109" t="s">
        <v>308</v>
      </c>
      <c r="B79" s="207"/>
      <c r="C79" s="214"/>
      <c r="D79" s="166"/>
      <c r="E79" s="120" t="s">
        <v>309</v>
      </c>
      <c r="F79" s="135" t="s">
        <v>310</v>
      </c>
      <c r="G79" s="95" t="s">
        <v>311</v>
      </c>
      <c r="H79" s="111"/>
      <c r="I79" s="109"/>
      <c r="J79" s="109"/>
      <c r="K79" s="110"/>
    </row>
    <row r="80" spans="1:11" ht="42" customHeight="1" x14ac:dyDescent="0.2">
      <c r="A80" s="109" t="s">
        <v>312</v>
      </c>
      <c r="B80" s="207"/>
      <c r="C80" s="214"/>
      <c r="D80" s="166"/>
      <c r="E80" s="120" t="s">
        <v>313</v>
      </c>
      <c r="F80" s="135" t="s">
        <v>310</v>
      </c>
      <c r="G80" s="95" t="s">
        <v>311</v>
      </c>
      <c r="H80" s="111"/>
      <c r="I80" s="109"/>
      <c r="J80" s="109"/>
      <c r="K80" s="110"/>
    </row>
    <row r="81" spans="1:11" ht="39" x14ac:dyDescent="0.2">
      <c r="A81" s="109" t="s">
        <v>314</v>
      </c>
      <c r="B81" s="207"/>
      <c r="C81" s="214"/>
      <c r="D81" s="166"/>
      <c r="E81" s="120" t="s">
        <v>315</v>
      </c>
      <c r="F81" s="135" t="s">
        <v>310</v>
      </c>
      <c r="G81" s="95" t="s">
        <v>316</v>
      </c>
      <c r="H81" s="111"/>
      <c r="I81" s="109"/>
      <c r="J81" s="109"/>
      <c r="K81" s="110"/>
    </row>
    <row r="82" spans="1:11" ht="39" x14ac:dyDescent="0.2">
      <c r="A82" s="109" t="s">
        <v>317</v>
      </c>
      <c r="B82" s="207"/>
      <c r="C82" s="214"/>
      <c r="D82" s="166"/>
      <c r="E82" s="120" t="s">
        <v>318</v>
      </c>
      <c r="F82" s="135" t="s">
        <v>310</v>
      </c>
      <c r="G82" s="95" t="s">
        <v>311</v>
      </c>
      <c r="H82" s="111"/>
      <c r="I82" s="109"/>
      <c r="J82" s="109"/>
      <c r="K82" s="110"/>
    </row>
    <row r="83" spans="1:11" ht="39" x14ac:dyDescent="0.2">
      <c r="A83" s="109" t="s">
        <v>319</v>
      </c>
      <c r="B83" s="207"/>
      <c r="C83" s="214"/>
      <c r="D83" s="166"/>
      <c r="E83" s="120" t="s">
        <v>320</v>
      </c>
      <c r="F83" s="135" t="s">
        <v>310</v>
      </c>
      <c r="G83" s="95" t="s">
        <v>311</v>
      </c>
      <c r="H83" s="111"/>
      <c r="I83" s="109"/>
      <c r="J83" s="109"/>
      <c r="K83" s="110"/>
    </row>
    <row r="84" spans="1:11" ht="39" x14ac:dyDescent="0.2">
      <c r="A84" s="109" t="s">
        <v>321</v>
      </c>
      <c r="B84" s="207"/>
      <c r="C84" s="214"/>
      <c r="D84" s="166"/>
      <c r="E84" s="120" t="s">
        <v>322</v>
      </c>
      <c r="F84" s="135" t="s">
        <v>310</v>
      </c>
      <c r="G84" s="95" t="s">
        <v>323</v>
      </c>
      <c r="H84" s="111"/>
      <c r="I84" s="109"/>
      <c r="J84" s="109"/>
      <c r="K84" s="110"/>
    </row>
    <row r="85" spans="1:11" ht="24.75" customHeight="1" x14ac:dyDescent="0.2">
      <c r="A85" s="109"/>
      <c r="B85" s="207"/>
      <c r="C85" s="214"/>
      <c r="D85" s="166"/>
      <c r="E85" s="120" t="s">
        <v>324</v>
      </c>
      <c r="F85" s="157"/>
      <c r="G85" s="158"/>
      <c r="H85" s="159"/>
      <c r="I85" s="160"/>
      <c r="J85" s="160"/>
      <c r="K85" s="157"/>
    </row>
    <row r="86" spans="1:11" ht="39" x14ac:dyDescent="0.2">
      <c r="A86" s="109" t="s">
        <v>325</v>
      </c>
      <c r="B86" s="207"/>
      <c r="C86" s="214"/>
      <c r="D86" s="166"/>
      <c r="E86" s="120" t="s">
        <v>326</v>
      </c>
      <c r="F86" s="135" t="s">
        <v>327</v>
      </c>
      <c r="G86" s="95" t="s">
        <v>328</v>
      </c>
      <c r="H86" s="111"/>
      <c r="I86" s="109"/>
      <c r="J86" s="109"/>
      <c r="K86" s="110"/>
    </row>
    <row r="87" spans="1:11" ht="29.25" customHeight="1" x14ac:dyDescent="0.2">
      <c r="A87" s="109" t="s">
        <v>329</v>
      </c>
      <c r="B87" s="207"/>
      <c r="C87" s="214"/>
      <c r="D87" s="166"/>
      <c r="E87" s="120" t="s">
        <v>330</v>
      </c>
      <c r="F87" s="135" t="s">
        <v>327</v>
      </c>
      <c r="G87" s="95" t="s">
        <v>331</v>
      </c>
      <c r="H87" s="111"/>
      <c r="I87" s="109"/>
      <c r="J87" s="109"/>
      <c r="K87" s="110"/>
    </row>
    <row r="88" spans="1:11" ht="29.25" customHeight="1" x14ac:dyDescent="0.2">
      <c r="A88" s="109"/>
      <c r="B88" s="207"/>
      <c r="C88" s="214"/>
      <c r="D88" s="166"/>
      <c r="E88" s="120" t="s">
        <v>332</v>
      </c>
      <c r="F88" s="157"/>
      <c r="G88" s="158"/>
      <c r="H88" s="159"/>
      <c r="I88" s="160"/>
      <c r="J88" s="160"/>
      <c r="K88" s="157"/>
    </row>
    <row r="89" spans="1:11" ht="29.25" customHeight="1" x14ac:dyDescent="0.2">
      <c r="A89" s="109"/>
      <c r="B89" s="207"/>
      <c r="C89" s="214"/>
      <c r="D89" s="166"/>
      <c r="E89" s="120" t="s">
        <v>333</v>
      </c>
      <c r="F89" s="110"/>
      <c r="G89" s="95"/>
      <c r="H89" s="111"/>
      <c r="I89" s="109"/>
      <c r="J89" s="109"/>
      <c r="K89" s="110"/>
    </row>
    <row r="90" spans="1:11" ht="29.25" customHeight="1" x14ac:dyDescent="0.2">
      <c r="A90" s="109"/>
      <c r="B90" s="207"/>
      <c r="C90" s="214"/>
      <c r="D90" s="166"/>
      <c r="E90" s="120" t="s">
        <v>334</v>
      </c>
      <c r="F90" s="110"/>
      <c r="G90" s="95"/>
      <c r="H90" s="111"/>
      <c r="I90" s="109"/>
      <c r="J90" s="109"/>
      <c r="K90" s="110"/>
    </row>
    <row r="91" spans="1:11" ht="29.25" customHeight="1" x14ac:dyDescent="0.2">
      <c r="A91" s="109"/>
      <c r="B91" s="207"/>
      <c r="C91" s="214"/>
      <c r="D91" s="166"/>
      <c r="E91" s="120" t="s">
        <v>330</v>
      </c>
      <c r="F91" s="110"/>
      <c r="G91" s="95"/>
      <c r="H91" s="111"/>
      <c r="I91" s="109"/>
      <c r="J91" s="109"/>
      <c r="K91" s="110"/>
    </row>
    <row r="92" spans="1:11" ht="52" x14ac:dyDescent="0.2">
      <c r="A92" s="109"/>
      <c r="B92" s="207"/>
      <c r="C92" s="214"/>
      <c r="D92" s="166"/>
      <c r="E92" s="120" t="s">
        <v>335</v>
      </c>
      <c r="F92" s="157"/>
      <c r="G92" s="158"/>
      <c r="H92" s="159"/>
      <c r="I92" s="160"/>
      <c r="J92" s="160"/>
      <c r="K92" s="157"/>
    </row>
    <row r="93" spans="1:11" ht="29.25" customHeight="1" x14ac:dyDescent="0.2">
      <c r="A93" s="109"/>
      <c r="B93" s="207"/>
      <c r="C93" s="214"/>
      <c r="D93" s="166"/>
      <c r="E93" s="120" t="s">
        <v>336</v>
      </c>
      <c r="F93" s="110"/>
      <c r="G93" s="95"/>
      <c r="H93" s="111"/>
      <c r="I93" s="109"/>
      <c r="J93" s="109"/>
      <c r="K93" s="110"/>
    </row>
    <row r="94" spans="1:11" ht="52" x14ac:dyDescent="0.2">
      <c r="A94" s="109" t="s">
        <v>337</v>
      </c>
      <c r="B94" s="207"/>
      <c r="C94" s="214"/>
      <c r="D94" s="166"/>
      <c r="E94" s="120" t="s">
        <v>338</v>
      </c>
      <c r="F94" s="110"/>
      <c r="G94" s="95"/>
      <c r="H94" s="111"/>
      <c r="I94" s="109"/>
      <c r="J94" s="109"/>
      <c r="K94" s="110"/>
    </row>
    <row r="95" spans="1:11" ht="26" x14ac:dyDescent="0.2">
      <c r="A95" s="109" t="s">
        <v>339</v>
      </c>
      <c r="B95" s="207"/>
      <c r="C95" s="214"/>
      <c r="D95" s="166"/>
      <c r="E95" s="120" t="s">
        <v>340</v>
      </c>
      <c r="F95" s="161"/>
      <c r="G95" s="132"/>
      <c r="H95" s="162"/>
      <c r="I95" s="163"/>
      <c r="J95" s="163"/>
      <c r="K95" s="161"/>
    </row>
    <row r="96" spans="1:11" ht="26" x14ac:dyDescent="0.2">
      <c r="A96" s="109" t="s">
        <v>341</v>
      </c>
      <c r="B96" s="207"/>
      <c r="C96" s="214"/>
      <c r="D96" s="166"/>
      <c r="E96" s="155" t="s">
        <v>46</v>
      </c>
      <c r="F96" s="135"/>
      <c r="G96" s="95"/>
      <c r="H96" s="111"/>
      <c r="I96" s="109"/>
      <c r="J96" s="109"/>
      <c r="K96" s="110"/>
    </row>
    <row r="97" spans="1:11" ht="26" x14ac:dyDescent="0.2">
      <c r="A97" s="109"/>
      <c r="B97" s="207"/>
      <c r="C97" s="214"/>
      <c r="D97" s="166"/>
      <c r="E97" s="120" t="s">
        <v>342</v>
      </c>
      <c r="F97" s="161"/>
      <c r="G97" s="132"/>
      <c r="H97" s="162"/>
      <c r="I97" s="163"/>
      <c r="J97" s="163"/>
      <c r="K97" s="161"/>
    </row>
    <row r="98" spans="1:11" ht="26" x14ac:dyDescent="0.2">
      <c r="A98" s="109"/>
      <c r="B98" s="207"/>
      <c r="C98" s="214"/>
      <c r="D98" s="166"/>
      <c r="E98" s="120" t="s">
        <v>46</v>
      </c>
      <c r="F98" s="110"/>
      <c r="G98" s="95"/>
      <c r="H98" s="111"/>
      <c r="I98" s="109"/>
      <c r="J98" s="109"/>
      <c r="K98" s="110"/>
    </row>
    <row r="99" spans="1:11" x14ac:dyDescent="0.2">
      <c r="A99" s="109" t="s">
        <v>343</v>
      </c>
      <c r="B99" s="207"/>
      <c r="C99" s="214"/>
      <c r="D99" s="166"/>
      <c r="E99" s="120" t="s">
        <v>344</v>
      </c>
      <c r="F99" s="110"/>
      <c r="G99" s="95"/>
      <c r="H99" s="111"/>
      <c r="I99" s="109"/>
      <c r="J99" s="109"/>
      <c r="K99" s="110"/>
    </row>
    <row r="100" spans="1:11" x14ac:dyDescent="0.2">
      <c r="A100" s="109" t="s">
        <v>345</v>
      </c>
      <c r="B100" s="207"/>
      <c r="C100" s="214"/>
      <c r="D100" s="166"/>
      <c r="E100" s="155" t="s">
        <v>346</v>
      </c>
      <c r="F100" s="110"/>
      <c r="G100" s="95"/>
      <c r="H100" s="111"/>
      <c r="I100" s="109"/>
      <c r="J100" s="109"/>
      <c r="K100" s="110"/>
    </row>
    <row r="101" spans="1:11" ht="143" x14ac:dyDescent="0.2">
      <c r="A101" s="109" t="s">
        <v>347</v>
      </c>
      <c r="B101" s="207"/>
      <c r="C101" s="214"/>
      <c r="D101" s="166"/>
      <c r="E101" s="155" t="s">
        <v>348</v>
      </c>
      <c r="F101" s="110"/>
      <c r="G101" s="95"/>
      <c r="H101" s="111"/>
      <c r="I101" s="109"/>
      <c r="J101" s="109"/>
      <c r="K101" s="110"/>
    </row>
    <row r="102" spans="1:11" ht="26" x14ac:dyDescent="0.2">
      <c r="A102" s="109" t="s">
        <v>349</v>
      </c>
      <c r="B102" s="207"/>
      <c r="C102" s="214"/>
      <c r="D102" s="166"/>
      <c r="E102" s="155" t="s">
        <v>350</v>
      </c>
      <c r="F102" s="110"/>
      <c r="G102" s="95" t="s">
        <v>351</v>
      </c>
      <c r="H102" s="111"/>
      <c r="I102" s="109"/>
      <c r="J102" s="109"/>
      <c r="K102" s="110"/>
    </row>
    <row r="103" spans="1:11" ht="65" x14ac:dyDescent="0.2">
      <c r="A103" s="109" t="s">
        <v>352</v>
      </c>
      <c r="B103" s="208"/>
      <c r="C103" s="215"/>
      <c r="D103" s="166"/>
      <c r="E103" s="155" t="s">
        <v>353</v>
      </c>
      <c r="F103" s="110"/>
      <c r="G103" s="95" t="s">
        <v>354</v>
      </c>
      <c r="H103" s="111"/>
      <c r="I103" s="109"/>
      <c r="J103" s="109"/>
      <c r="K103" s="110"/>
    </row>
    <row r="104" spans="1:11" x14ac:dyDescent="0.15">
      <c r="A104" s="109" t="s">
        <v>355</v>
      </c>
      <c r="B104" s="109" t="s">
        <v>44</v>
      </c>
      <c r="C104" s="210" t="s">
        <v>356</v>
      </c>
      <c r="D104" s="135"/>
      <c r="E104" s="120" t="s">
        <v>357</v>
      </c>
      <c r="F104" s="110"/>
      <c r="G104" s="112" t="s">
        <v>358</v>
      </c>
      <c r="H104" s="111"/>
      <c r="I104" s="109"/>
      <c r="J104" s="109"/>
      <c r="K104" s="110"/>
    </row>
    <row r="105" spans="1:11" x14ac:dyDescent="0.15">
      <c r="A105" s="109" t="s">
        <v>359</v>
      </c>
      <c r="B105" s="109" t="s">
        <v>44</v>
      </c>
      <c r="C105" s="211"/>
      <c r="D105" s="135"/>
      <c r="E105" s="118" t="s">
        <v>360</v>
      </c>
      <c r="F105" s="110"/>
      <c r="G105" s="106" t="s">
        <v>358</v>
      </c>
      <c r="H105" s="111"/>
      <c r="I105" s="109"/>
      <c r="J105" s="109"/>
      <c r="K105" s="110"/>
    </row>
    <row r="106" spans="1:11" ht="39" x14ac:dyDescent="0.2">
      <c r="A106" s="109" t="s">
        <v>361</v>
      </c>
      <c r="B106" s="109">
        <v>21376</v>
      </c>
      <c r="C106" s="212"/>
      <c r="D106" s="135"/>
      <c r="E106" s="155" t="s">
        <v>362</v>
      </c>
      <c r="F106" s="110"/>
      <c r="G106" s="95" t="s">
        <v>363</v>
      </c>
      <c r="H106" s="111"/>
      <c r="I106" s="109"/>
      <c r="J106" s="109"/>
      <c r="K106" s="110"/>
    </row>
    <row r="107" spans="1:11" x14ac:dyDescent="0.2">
      <c r="A107" s="217" t="s">
        <v>364</v>
      </c>
      <c r="B107" s="218"/>
      <c r="C107" s="218"/>
      <c r="D107" s="218"/>
      <c r="E107" s="218"/>
      <c r="F107" s="218"/>
      <c r="G107" s="219"/>
      <c r="H107" s="218"/>
      <c r="I107" s="218"/>
      <c r="J107" s="218"/>
      <c r="K107" s="218"/>
    </row>
    <row r="108" spans="1:11" x14ac:dyDescent="0.2">
      <c r="A108" s="220" t="s">
        <v>365</v>
      </c>
      <c r="B108" s="221"/>
      <c r="C108" s="221"/>
      <c r="D108" s="221"/>
      <c r="E108" s="221"/>
      <c r="F108" s="221"/>
      <c r="G108" s="222"/>
      <c r="H108" s="221"/>
      <c r="I108" s="221"/>
      <c r="J108" s="221"/>
      <c r="K108" s="223"/>
    </row>
    <row r="109" spans="1:11" s="139" customFormat="1" ht="13" x14ac:dyDescent="0.2">
      <c r="A109" s="109" t="s">
        <v>209</v>
      </c>
      <c r="B109" s="136"/>
      <c r="C109" s="140" t="s">
        <v>366</v>
      </c>
      <c r="D109" s="167"/>
      <c r="E109" s="151" t="s">
        <v>367</v>
      </c>
      <c r="F109" s="135"/>
      <c r="G109" s="136"/>
      <c r="H109" s="136"/>
      <c r="I109" s="136"/>
      <c r="J109" s="136"/>
      <c r="K109" s="136"/>
    </row>
    <row r="110" spans="1:11" ht="26" x14ac:dyDescent="0.2">
      <c r="A110" s="109" t="s">
        <v>214</v>
      </c>
      <c r="B110" s="109"/>
      <c r="C110" s="213" t="s">
        <v>368</v>
      </c>
      <c r="D110" s="166"/>
      <c r="E110" s="120" t="s">
        <v>369</v>
      </c>
      <c r="F110" s="110"/>
      <c r="G110" s="95"/>
      <c r="H110" s="111"/>
      <c r="I110" s="109"/>
      <c r="J110" s="109"/>
      <c r="K110" s="110"/>
    </row>
    <row r="111" spans="1:11" ht="26" x14ac:dyDescent="0.2">
      <c r="A111" s="109" t="s">
        <v>218</v>
      </c>
      <c r="B111" s="109"/>
      <c r="C111" s="214"/>
      <c r="D111" s="166"/>
      <c r="E111" s="120" t="s">
        <v>370</v>
      </c>
      <c r="F111" s="110"/>
      <c r="G111" s="95"/>
      <c r="H111" s="111"/>
      <c r="I111" s="109"/>
      <c r="J111" s="109"/>
      <c r="K111" s="110"/>
    </row>
    <row r="112" spans="1:11" ht="26" x14ac:dyDescent="0.2">
      <c r="A112" s="109" t="s">
        <v>222</v>
      </c>
      <c r="B112" s="109"/>
      <c r="C112" s="214"/>
      <c r="D112" s="166"/>
      <c r="E112" s="120" t="s">
        <v>371</v>
      </c>
      <c r="F112" s="110"/>
      <c r="G112" s="95"/>
      <c r="H112" s="111"/>
      <c r="I112" s="109"/>
      <c r="J112" s="109"/>
      <c r="K112" s="110"/>
    </row>
    <row r="113" spans="1:11" ht="26" x14ac:dyDescent="0.2">
      <c r="A113" s="109" t="s">
        <v>226</v>
      </c>
      <c r="B113" s="109"/>
      <c r="C113" s="214"/>
      <c r="D113" s="166"/>
      <c r="E113" s="120" t="s">
        <v>372</v>
      </c>
      <c r="F113" s="110"/>
      <c r="G113" s="95"/>
      <c r="H113" s="111"/>
      <c r="I113" s="109"/>
      <c r="J113" s="109"/>
      <c r="K113" s="110"/>
    </row>
    <row r="114" spans="1:11" ht="65" x14ac:dyDescent="0.2">
      <c r="A114" s="109" t="s">
        <v>230</v>
      </c>
      <c r="B114" s="109"/>
      <c r="C114" s="214"/>
      <c r="D114" s="166"/>
      <c r="E114" s="120" t="s">
        <v>373</v>
      </c>
      <c r="F114" s="110"/>
      <c r="G114" s="95"/>
      <c r="H114" s="111"/>
      <c r="I114" s="109"/>
      <c r="J114" s="109"/>
      <c r="K114" s="110"/>
    </row>
    <row r="115" spans="1:11" ht="39" x14ac:dyDescent="0.2">
      <c r="A115" s="109" t="s">
        <v>234</v>
      </c>
      <c r="B115" s="109"/>
      <c r="C115" s="214"/>
      <c r="D115" s="166"/>
      <c r="E115" s="120" t="s">
        <v>374</v>
      </c>
      <c r="F115" s="110"/>
      <c r="G115" s="95"/>
      <c r="H115" s="111"/>
      <c r="I115" s="109"/>
      <c r="J115" s="109"/>
      <c r="K115" s="110"/>
    </row>
    <row r="116" spans="1:11" ht="26" x14ac:dyDescent="0.2">
      <c r="A116" s="109" t="s">
        <v>238</v>
      </c>
      <c r="B116" s="109"/>
      <c r="C116" s="214"/>
      <c r="D116" s="166"/>
      <c r="E116" s="120" t="s">
        <v>375</v>
      </c>
      <c r="F116" s="110"/>
      <c r="G116" s="95"/>
      <c r="H116" s="111"/>
      <c r="I116" s="109"/>
      <c r="J116" s="109"/>
      <c r="K116" s="110"/>
    </row>
    <row r="117" spans="1:11" ht="26" x14ac:dyDescent="0.2">
      <c r="A117" s="109" t="s">
        <v>242</v>
      </c>
      <c r="B117" s="109"/>
      <c r="C117" s="214"/>
      <c r="D117" s="166"/>
      <c r="E117" s="120" t="s">
        <v>376</v>
      </c>
      <c r="F117" s="110"/>
      <c r="G117" s="95"/>
      <c r="H117" s="111"/>
      <c r="I117" s="109"/>
      <c r="J117" s="109"/>
      <c r="K117" s="110"/>
    </row>
    <row r="118" spans="1:11" ht="39" x14ac:dyDescent="0.2">
      <c r="A118" s="109" t="s">
        <v>244</v>
      </c>
      <c r="B118" s="109"/>
      <c r="C118" s="214"/>
      <c r="D118" s="166"/>
      <c r="E118" s="120" t="s">
        <v>377</v>
      </c>
      <c r="F118" s="110"/>
      <c r="G118" s="95"/>
      <c r="H118" s="111"/>
      <c r="I118" s="109"/>
      <c r="J118" s="109"/>
      <c r="K118" s="110"/>
    </row>
    <row r="119" spans="1:11" x14ac:dyDescent="0.2">
      <c r="A119" s="109" t="s">
        <v>248</v>
      </c>
      <c r="B119" s="109"/>
      <c r="C119" s="214"/>
      <c r="D119" s="166"/>
      <c r="E119" s="120" t="s">
        <v>378</v>
      </c>
      <c r="F119" s="110"/>
      <c r="G119" s="95"/>
      <c r="H119" s="111"/>
      <c r="I119" s="109"/>
      <c r="J119" s="109"/>
      <c r="K119" s="110"/>
    </row>
    <row r="120" spans="1:11" x14ac:dyDescent="0.2">
      <c r="A120" s="109" t="s">
        <v>252</v>
      </c>
      <c r="B120" s="109"/>
      <c r="C120" s="214"/>
      <c r="D120" s="166"/>
      <c r="E120" s="155" t="s">
        <v>379</v>
      </c>
      <c r="F120" s="110"/>
      <c r="G120" s="95"/>
      <c r="H120" s="111"/>
      <c r="I120" s="109"/>
      <c r="J120" s="109"/>
      <c r="K120" s="110"/>
    </row>
    <row r="121" spans="1:11" ht="143" x14ac:dyDescent="0.2">
      <c r="A121" s="109" t="s">
        <v>256</v>
      </c>
      <c r="C121" s="214"/>
      <c r="D121" s="166"/>
      <c r="E121" s="155" t="s">
        <v>348</v>
      </c>
      <c r="G121" s="95"/>
    </row>
    <row r="122" spans="1:11" ht="26" x14ac:dyDescent="0.2">
      <c r="A122" s="109" t="s">
        <v>260</v>
      </c>
      <c r="C122" s="214"/>
      <c r="D122" s="166"/>
      <c r="E122" s="155" t="s">
        <v>350</v>
      </c>
      <c r="F122" s="110"/>
      <c r="G122" s="95" t="s">
        <v>351</v>
      </c>
    </row>
    <row r="123" spans="1:11" ht="104" x14ac:dyDescent="0.2">
      <c r="A123" s="109" t="s">
        <v>264</v>
      </c>
      <c r="C123" s="215"/>
      <c r="D123" s="166"/>
      <c r="E123" s="155" t="s">
        <v>353</v>
      </c>
      <c r="G123" s="95" t="s">
        <v>380</v>
      </c>
    </row>
    <row r="124" spans="1:11" ht="26" x14ac:dyDescent="0.2">
      <c r="A124" s="109" t="s">
        <v>268</v>
      </c>
      <c r="C124" s="204" t="s">
        <v>381</v>
      </c>
      <c r="D124" s="110"/>
      <c r="E124" s="155" t="s">
        <v>382</v>
      </c>
      <c r="G124" s="95" t="s">
        <v>383</v>
      </c>
    </row>
    <row r="125" spans="1:11" x14ac:dyDescent="0.2">
      <c r="A125" s="109" t="s">
        <v>272</v>
      </c>
      <c r="C125" s="216"/>
      <c r="D125" s="110"/>
      <c r="E125" s="155" t="s">
        <v>384</v>
      </c>
      <c r="G125" s="95" t="s">
        <v>385</v>
      </c>
    </row>
    <row r="126" spans="1:11" x14ac:dyDescent="0.2">
      <c r="A126" s="220" t="s">
        <v>386</v>
      </c>
      <c r="B126" s="221"/>
      <c r="C126" s="221"/>
      <c r="D126" s="221"/>
      <c r="E126" s="221"/>
      <c r="F126" s="221"/>
      <c r="G126" s="222"/>
      <c r="H126" s="221"/>
      <c r="I126" s="221"/>
      <c r="J126" s="221"/>
      <c r="K126" s="223"/>
    </row>
    <row r="127" spans="1:11" x14ac:dyDescent="0.15">
      <c r="A127" s="109" t="s">
        <v>276</v>
      </c>
      <c r="C127" s="169" t="s">
        <v>387</v>
      </c>
      <c r="D127" s="166"/>
      <c r="E127" s="120" t="s">
        <v>388</v>
      </c>
      <c r="G127" s="116" t="s">
        <v>389</v>
      </c>
    </row>
    <row r="128" spans="1:11" ht="26" x14ac:dyDescent="0.15">
      <c r="A128" s="109" t="s">
        <v>280</v>
      </c>
      <c r="C128" s="233" t="s">
        <v>390</v>
      </c>
      <c r="D128" s="135"/>
      <c r="E128" s="123" t="s">
        <v>391</v>
      </c>
      <c r="G128" s="112" t="s">
        <v>392</v>
      </c>
    </row>
    <row r="129" spans="1:11" ht="26" x14ac:dyDescent="0.15">
      <c r="A129" s="109" t="s">
        <v>285</v>
      </c>
      <c r="C129" s="234"/>
      <c r="D129" s="135"/>
      <c r="E129" s="123" t="s">
        <v>393</v>
      </c>
      <c r="G129" s="117" t="s">
        <v>394</v>
      </c>
    </row>
    <row r="130" spans="1:11" ht="39" x14ac:dyDescent="0.15">
      <c r="A130" s="109" t="s">
        <v>290</v>
      </c>
      <c r="C130" s="165" t="s">
        <v>356</v>
      </c>
      <c r="D130" s="135"/>
      <c r="E130" s="124" t="s">
        <v>395</v>
      </c>
      <c r="G130" s="106" t="s">
        <v>396</v>
      </c>
    </row>
    <row r="131" spans="1:11" ht="52" x14ac:dyDescent="0.15">
      <c r="A131" s="109" t="s">
        <v>295</v>
      </c>
      <c r="C131" s="170" t="s">
        <v>397</v>
      </c>
      <c r="D131" s="135"/>
      <c r="E131" s="125" t="s">
        <v>398</v>
      </c>
      <c r="G131" s="112" t="s">
        <v>399</v>
      </c>
    </row>
    <row r="132" spans="1:11" ht="39" x14ac:dyDescent="0.15">
      <c r="A132" s="109" t="s">
        <v>300</v>
      </c>
      <c r="C132" s="233" t="s">
        <v>400</v>
      </c>
      <c r="D132" s="135"/>
      <c r="E132" s="119" t="s">
        <v>401</v>
      </c>
      <c r="G132" s="106" t="s">
        <v>402</v>
      </c>
    </row>
    <row r="133" spans="1:11" ht="26" x14ac:dyDescent="0.15">
      <c r="A133" s="109" t="s">
        <v>301</v>
      </c>
      <c r="C133" s="233"/>
      <c r="D133" s="135"/>
      <c r="E133" s="123" t="s">
        <v>403</v>
      </c>
      <c r="G133" s="112" t="s">
        <v>404</v>
      </c>
    </row>
    <row r="134" spans="1:11" ht="39" x14ac:dyDescent="0.15">
      <c r="A134" s="109" t="s">
        <v>308</v>
      </c>
      <c r="C134" s="235" t="s">
        <v>405</v>
      </c>
      <c r="D134" s="135"/>
      <c r="E134" s="119" t="s">
        <v>406</v>
      </c>
      <c r="G134" s="117" t="s">
        <v>407</v>
      </c>
    </row>
    <row r="135" spans="1:11" ht="39" x14ac:dyDescent="0.15">
      <c r="A135" s="109" t="s">
        <v>312</v>
      </c>
      <c r="C135" s="233"/>
      <c r="D135" s="135"/>
      <c r="E135" s="119" t="s">
        <v>408</v>
      </c>
      <c r="G135" s="117" t="s">
        <v>409</v>
      </c>
    </row>
    <row r="136" spans="1:11" ht="26" x14ac:dyDescent="0.15">
      <c r="A136" s="109" t="s">
        <v>314</v>
      </c>
      <c r="C136" s="233"/>
      <c r="D136" s="135"/>
      <c r="E136" s="118" t="s">
        <v>410</v>
      </c>
      <c r="G136" s="106" t="s">
        <v>411</v>
      </c>
    </row>
    <row r="137" spans="1:11" x14ac:dyDescent="0.15">
      <c r="A137" s="109" t="s">
        <v>317</v>
      </c>
      <c r="C137" s="233"/>
      <c r="D137" s="135"/>
      <c r="E137" s="121" t="s">
        <v>412</v>
      </c>
      <c r="G137" s="116" t="s">
        <v>413</v>
      </c>
    </row>
    <row r="138" spans="1:11" x14ac:dyDescent="0.15">
      <c r="A138" s="109" t="s">
        <v>319</v>
      </c>
      <c r="C138" s="234"/>
      <c r="D138" s="135"/>
      <c r="E138" s="120" t="s">
        <v>414</v>
      </c>
      <c r="G138" s="112" t="s">
        <v>415</v>
      </c>
    </row>
    <row r="139" spans="1:11" x14ac:dyDescent="0.2">
      <c r="A139" s="220" t="s">
        <v>416</v>
      </c>
      <c r="B139" s="221"/>
      <c r="C139" s="221"/>
      <c r="D139" s="221"/>
      <c r="E139" s="221"/>
      <c r="F139" s="221"/>
      <c r="G139" s="222"/>
      <c r="H139" s="221"/>
      <c r="I139" s="221"/>
      <c r="J139" s="221"/>
      <c r="K139" s="223"/>
    </row>
    <row r="140" spans="1:11" x14ac:dyDescent="0.15">
      <c r="A140" s="109" t="s">
        <v>321</v>
      </c>
      <c r="C140" s="210" t="s">
        <v>405</v>
      </c>
      <c r="D140" s="135"/>
      <c r="E140" s="113" t="s">
        <v>417</v>
      </c>
      <c r="G140" s="112" t="s">
        <v>418</v>
      </c>
    </row>
    <row r="141" spans="1:11" ht="26" x14ac:dyDescent="0.15">
      <c r="A141" s="109" t="s">
        <v>325</v>
      </c>
      <c r="C141" s="211"/>
      <c r="D141" s="135"/>
      <c r="E141" s="115" t="s">
        <v>419</v>
      </c>
      <c r="G141" s="117" t="s">
        <v>420</v>
      </c>
    </row>
    <row r="142" spans="1:11" x14ac:dyDescent="0.15">
      <c r="A142" s="109" t="s">
        <v>421</v>
      </c>
      <c r="C142" s="211"/>
      <c r="D142" s="135"/>
      <c r="E142" s="115" t="s">
        <v>422</v>
      </c>
      <c r="G142" s="117" t="s">
        <v>423</v>
      </c>
    </row>
    <row r="143" spans="1:11" ht="26" x14ac:dyDescent="0.2">
      <c r="A143" s="109" t="s">
        <v>329</v>
      </c>
      <c r="C143" s="211"/>
      <c r="D143" s="135"/>
      <c r="E143" s="147" t="s">
        <v>424</v>
      </c>
      <c r="G143" s="95"/>
    </row>
    <row r="144" spans="1:11" x14ac:dyDescent="0.2">
      <c r="A144" s="109" t="s">
        <v>337</v>
      </c>
      <c r="C144" s="211"/>
      <c r="D144" s="135"/>
      <c r="E144" s="147" t="s">
        <v>425</v>
      </c>
      <c r="G144" s="95"/>
    </row>
    <row r="145" spans="1:11" x14ac:dyDescent="0.15">
      <c r="A145" s="109" t="s">
        <v>339</v>
      </c>
      <c r="C145" s="212"/>
      <c r="D145" s="135"/>
      <c r="E145" s="115" t="s">
        <v>426</v>
      </c>
      <c r="G145" s="117" t="s">
        <v>427</v>
      </c>
    </row>
    <row r="146" spans="1:11" x14ac:dyDescent="0.2">
      <c r="A146" s="220" t="s">
        <v>428</v>
      </c>
      <c r="B146" s="221"/>
      <c r="C146" s="221"/>
      <c r="D146" s="221"/>
      <c r="E146" s="221"/>
      <c r="F146" s="221"/>
      <c r="G146" s="222"/>
      <c r="H146" s="221"/>
      <c r="I146" s="221"/>
      <c r="J146" s="221"/>
      <c r="K146" s="223"/>
    </row>
    <row r="147" spans="1:11" x14ac:dyDescent="0.15">
      <c r="A147" s="109" t="s">
        <v>341</v>
      </c>
      <c r="C147" s="210" t="s">
        <v>405</v>
      </c>
      <c r="D147" s="135"/>
      <c r="E147" s="113" t="s">
        <v>417</v>
      </c>
      <c r="G147" s="112" t="s">
        <v>418</v>
      </c>
    </row>
    <row r="148" spans="1:11" x14ac:dyDescent="0.15">
      <c r="A148" s="109" t="s">
        <v>429</v>
      </c>
      <c r="C148" s="211"/>
      <c r="D148" s="135"/>
      <c r="E148" s="115" t="s">
        <v>430</v>
      </c>
      <c r="G148" s="117" t="s">
        <v>431</v>
      </c>
    </row>
    <row r="149" spans="1:11" x14ac:dyDescent="0.15">
      <c r="A149" s="109" t="s">
        <v>343</v>
      </c>
      <c r="C149" s="211"/>
      <c r="D149" s="135"/>
      <c r="E149" s="115" t="s">
        <v>432</v>
      </c>
      <c r="G149" s="117" t="s">
        <v>358</v>
      </c>
    </row>
    <row r="150" spans="1:11" ht="26" x14ac:dyDescent="0.15">
      <c r="A150" s="109" t="s">
        <v>345</v>
      </c>
      <c r="C150" s="211"/>
      <c r="D150" s="135"/>
      <c r="E150" s="115" t="s">
        <v>433</v>
      </c>
      <c r="G150" s="114" t="s">
        <v>434</v>
      </c>
    </row>
    <row r="151" spans="1:11" x14ac:dyDescent="0.15">
      <c r="A151" s="109" t="s">
        <v>347</v>
      </c>
      <c r="C151" s="211"/>
      <c r="D151" s="135"/>
      <c r="E151" s="114" t="s">
        <v>435</v>
      </c>
      <c r="G151" s="112" t="s">
        <v>436</v>
      </c>
    </row>
    <row r="152" spans="1:11" x14ac:dyDescent="0.15">
      <c r="A152" s="109" t="s">
        <v>349</v>
      </c>
      <c r="C152" s="211"/>
      <c r="D152" s="135"/>
      <c r="E152" s="113" t="s">
        <v>437</v>
      </c>
      <c r="G152" s="117" t="s">
        <v>438</v>
      </c>
    </row>
    <row r="153" spans="1:11" ht="26" x14ac:dyDescent="0.15">
      <c r="A153" s="109" t="s">
        <v>352</v>
      </c>
      <c r="C153" s="211"/>
      <c r="D153" s="135"/>
      <c r="E153" s="147" t="s">
        <v>424</v>
      </c>
      <c r="G153" s="117" t="s">
        <v>413</v>
      </c>
    </row>
    <row r="154" spans="1:11" x14ac:dyDescent="0.2">
      <c r="A154" s="109" t="s">
        <v>355</v>
      </c>
      <c r="C154" s="211"/>
      <c r="D154" s="135"/>
      <c r="E154" s="147" t="s">
        <v>425</v>
      </c>
      <c r="G154" s="95"/>
    </row>
    <row r="155" spans="1:11" x14ac:dyDescent="0.15">
      <c r="A155" s="109" t="s">
        <v>359</v>
      </c>
      <c r="C155" s="212"/>
      <c r="D155" s="135"/>
      <c r="E155" s="126" t="s">
        <v>426</v>
      </c>
      <c r="G155" s="95"/>
    </row>
    <row r="156" spans="1:11" x14ac:dyDescent="0.2">
      <c r="A156" s="217" t="s">
        <v>439</v>
      </c>
      <c r="B156" s="218"/>
      <c r="C156" s="218"/>
      <c r="D156" s="218"/>
      <c r="E156" s="218"/>
      <c r="F156" s="218"/>
      <c r="G156" s="219"/>
      <c r="H156" s="218"/>
      <c r="I156" s="218"/>
      <c r="J156" s="218"/>
      <c r="K156" s="218"/>
    </row>
    <row r="157" spans="1:11" x14ac:dyDescent="0.2">
      <c r="A157" s="109" t="s">
        <v>361</v>
      </c>
      <c r="B157" s="137"/>
      <c r="C157" s="168" t="s">
        <v>366</v>
      </c>
      <c r="D157" s="135"/>
      <c r="E157" s="151" t="s">
        <v>367</v>
      </c>
      <c r="F157" s="153"/>
      <c r="G157" s="138"/>
      <c r="H157" s="137"/>
      <c r="I157" s="137"/>
      <c r="J157" s="137"/>
      <c r="K157" s="137"/>
    </row>
    <row r="158" spans="1:11" ht="39" x14ac:dyDescent="0.2">
      <c r="A158" s="109" t="s">
        <v>440</v>
      </c>
      <c r="C158" s="204" t="s">
        <v>441</v>
      </c>
      <c r="D158" s="110"/>
      <c r="E158" s="147" t="s">
        <v>442</v>
      </c>
      <c r="G158" s="95"/>
    </row>
    <row r="159" spans="1:11" ht="65" x14ac:dyDescent="0.2">
      <c r="A159" s="109" t="s">
        <v>443</v>
      </c>
      <c r="C159" s="216"/>
      <c r="D159" s="110"/>
      <c r="E159" s="147" t="s">
        <v>444</v>
      </c>
      <c r="G159" s="95"/>
    </row>
    <row r="160" spans="1:11" x14ac:dyDescent="0.2">
      <c r="A160" s="109" t="s">
        <v>445</v>
      </c>
      <c r="C160" s="204" t="s">
        <v>446</v>
      </c>
      <c r="D160" s="110"/>
      <c r="E160" s="147" t="s">
        <v>447</v>
      </c>
      <c r="G160" s="132"/>
      <c r="H160" s="127"/>
      <c r="I160" s="127"/>
      <c r="J160" s="127"/>
      <c r="K160" s="127"/>
    </row>
    <row r="161" spans="1:7" ht="26" x14ac:dyDescent="0.2">
      <c r="A161" s="109" t="s">
        <v>448</v>
      </c>
      <c r="C161" s="205"/>
      <c r="D161" s="110"/>
      <c r="E161" s="120" t="s">
        <v>369</v>
      </c>
      <c r="G161" s="95"/>
    </row>
    <row r="162" spans="1:7" ht="26" x14ac:dyDescent="0.2">
      <c r="A162" s="109" t="s">
        <v>449</v>
      </c>
      <c r="C162" s="205"/>
      <c r="D162" s="110"/>
      <c r="E162" s="120" t="s">
        <v>370</v>
      </c>
      <c r="G162" s="95"/>
    </row>
    <row r="163" spans="1:7" ht="26" x14ac:dyDescent="0.2">
      <c r="A163" s="109" t="s">
        <v>450</v>
      </c>
      <c r="C163" s="205"/>
      <c r="D163" s="110"/>
      <c r="E163" s="120" t="s">
        <v>371</v>
      </c>
      <c r="G163" s="95"/>
    </row>
    <row r="164" spans="1:7" ht="26" x14ac:dyDescent="0.2">
      <c r="A164" s="109" t="s">
        <v>451</v>
      </c>
      <c r="C164" s="205"/>
      <c r="D164" s="110"/>
      <c r="E164" s="120" t="s">
        <v>372</v>
      </c>
      <c r="G164" s="95"/>
    </row>
    <row r="165" spans="1:7" ht="91" x14ac:dyDescent="0.2">
      <c r="A165" s="109" t="s">
        <v>452</v>
      </c>
      <c r="C165" s="205"/>
      <c r="D165" s="110"/>
      <c r="E165" s="120" t="s">
        <v>453</v>
      </c>
      <c r="G165" s="95"/>
    </row>
    <row r="166" spans="1:7" ht="39" x14ac:dyDescent="0.2">
      <c r="A166" s="109" t="s">
        <v>454</v>
      </c>
      <c r="C166" s="205"/>
      <c r="D166" s="110"/>
      <c r="E166" s="120" t="s">
        <v>374</v>
      </c>
      <c r="G166" s="95"/>
    </row>
    <row r="167" spans="1:7" ht="26" x14ac:dyDescent="0.2">
      <c r="A167" s="109" t="s">
        <v>455</v>
      </c>
      <c r="C167" s="205"/>
      <c r="D167" s="110"/>
      <c r="E167" s="120" t="s">
        <v>375</v>
      </c>
      <c r="G167" s="95"/>
    </row>
    <row r="168" spans="1:7" ht="26" x14ac:dyDescent="0.2">
      <c r="A168" s="109" t="s">
        <v>456</v>
      </c>
      <c r="C168" s="205"/>
      <c r="D168" s="110"/>
      <c r="E168" s="120" t="s">
        <v>376</v>
      </c>
      <c r="G168" s="95"/>
    </row>
    <row r="169" spans="1:7" ht="39" x14ac:dyDescent="0.2">
      <c r="A169" s="109" t="s">
        <v>457</v>
      </c>
      <c r="C169" s="205"/>
      <c r="D169" s="110"/>
      <c r="E169" s="120" t="s">
        <v>377</v>
      </c>
      <c r="G169" s="95"/>
    </row>
    <row r="170" spans="1:7" ht="26" x14ac:dyDescent="0.2">
      <c r="A170" s="109" t="s">
        <v>458</v>
      </c>
      <c r="C170" s="205"/>
      <c r="D170" s="110"/>
      <c r="E170" s="155" t="s">
        <v>350</v>
      </c>
      <c r="F170" s="110"/>
      <c r="G170" s="95" t="s">
        <v>351</v>
      </c>
    </row>
    <row r="171" spans="1:7" ht="221" x14ac:dyDescent="0.2">
      <c r="A171" s="109" t="s">
        <v>459</v>
      </c>
      <c r="C171" s="205"/>
      <c r="D171" s="110"/>
      <c r="E171" s="155" t="s">
        <v>353</v>
      </c>
      <c r="G171" s="95" t="s">
        <v>460</v>
      </c>
    </row>
    <row r="172" spans="1:7" ht="130" x14ac:dyDescent="0.2">
      <c r="A172" s="109" t="s">
        <v>461</v>
      </c>
      <c r="C172" s="205"/>
      <c r="D172" s="110"/>
      <c r="E172" s="147" t="s">
        <v>462</v>
      </c>
      <c r="G172" s="95"/>
    </row>
    <row r="173" spans="1:7" ht="26" x14ac:dyDescent="0.2">
      <c r="A173" s="109" t="s">
        <v>463</v>
      </c>
      <c r="C173" s="205"/>
      <c r="D173" s="110"/>
      <c r="E173" s="147" t="s">
        <v>464</v>
      </c>
      <c r="G173" s="95" t="s">
        <v>465</v>
      </c>
    </row>
    <row r="174" spans="1:7" ht="26" x14ac:dyDescent="0.2">
      <c r="A174" s="109" t="s">
        <v>466</v>
      </c>
      <c r="C174" s="205"/>
      <c r="D174" s="110"/>
      <c r="E174" s="147" t="s">
        <v>467</v>
      </c>
      <c r="G174" s="95" t="s">
        <v>468</v>
      </c>
    </row>
    <row r="175" spans="1:7" ht="26" x14ac:dyDescent="0.2">
      <c r="A175" s="109" t="s">
        <v>469</v>
      </c>
      <c r="C175" s="205"/>
      <c r="D175" s="110"/>
      <c r="E175" s="147" t="s">
        <v>470</v>
      </c>
      <c r="G175" s="95" t="s">
        <v>471</v>
      </c>
    </row>
    <row r="176" spans="1:7" ht="26" x14ac:dyDescent="0.2">
      <c r="A176" s="109" t="s">
        <v>472</v>
      </c>
      <c r="C176" s="205"/>
      <c r="D176" s="110"/>
      <c r="E176" s="147" t="s">
        <v>473</v>
      </c>
      <c r="G176" s="95" t="s">
        <v>474</v>
      </c>
    </row>
    <row r="177" spans="1:11" ht="26" x14ac:dyDescent="0.2">
      <c r="A177" s="109" t="s">
        <v>475</v>
      </c>
      <c r="C177" s="205"/>
      <c r="D177" s="110"/>
      <c r="E177" s="147" t="s">
        <v>476</v>
      </c>
      <c r="G177" s="95" t="s">
        <v>477</v>
      </c>
    </row>
    <row r="178" spans="1:11" ht="26" x14ac:dyDescent="0.2">
      <c r="A178" s="109" t="s">
        <v>478</v>
      </c>
      <c r="C178" s="205"/>
      <c r="D178" s="110"/>
      <c r="E178" s="147" t="s">
        <v>479</v>
      </c>
      <c r="G178" s="95" t="s">
        <v>480</v>
      </c>
    </row>
    <row r="179" spans="1:11" ht="26" x14ac:dyDescent="0.2">
      <c r="A179" s="109" t="s">
        <v>481</v>
      </c>
      <c r="C179" s="205"/>
      <c r="D179" s="110"/>
      <c r="E179" s="147" t="s">
        <v>482</v>
      </c>
      <c r="G179" s="95" t="s">
        <v>483</v>
      </c>
    </row>
    <row r="180" spans="1:11" ht="26" x14ac:dyDescent="0.2">
      <c r="A180" s="109" t="s">
        <v>484</v>
      </c>
      <c r="C180" s="205"/>
      <c r="D180" s="110"/>
      <c r="E180" s="147" t="s">
        <v>485</v>
      </c>
      <c r="G180" s="95" t="s">
        <v>486</v>
      </c>
    </row>
    <row r="181" spans="1:11" ht="143" x14ac:dyDescent="0.2">
      <c r="A181" s="109" t="s">
        <v>487</v>
      </c>
      <c r="C181" s="205"/>
      <c r="D181" s="110"/>
      <c r="E181" s="147" t="s">
        <v>488</v>
      </c>
      <c r="G181" s="95" t="s">
        <v>489</v>
      </c>
    </row>
    <row r="182" spans="1:11" x14ac:dyDescent="0.2">
      <c r="A182" s="109"/>
      <c r="C182" s="205"/>
      <c r="D182" s="110"/>
      <c r="E182" s="147" t="s">
        <v>490</v>
      </c>
      <c r="G182" s="127"/>
      <c r="H182" s="127"/>
      <c r="I182" s="127"/>
      <c r="J182" s="127"/>
      <c r="K182" s="127"/>
    </row>
    <row r="183" spans="1:11" ht="26" x14ac:dyDescent="0.2">
      <c r="A183" s="109" t="s">
        <v>491</v>
      </c>
      <c r="C183" s="205"/>
      <c r="D183" s="110"/>
      <c r="E183" s="147" t="s">
        <v>476</v>
      </c>
      <c r="G183" s="95" t="s">
        <v>477</v>
      </c>
    </row>
    <row r="184" spans="1:11" ht="26" x14ac:dyDescent="0.2">
      <c r="A184" s="109" t="s">
        <v>492</v>
      </c>
      <c r="C184" s="205"/>
      <c r="D184" s="110"/>
      <c r="E184" s="147" t="s">
        <v>479</v>
      </c>
      <c r="G184" s="95" t="s">
        <v>480</v>
      </c>
    </row>
    <row r="185" spans="1:11" ht="26" x14ac:dyDescent="0.2">
      <c r="A185" s="109" t="s">
        <v>493</v>
      </c>
      <c r="C185" s="205"/>
      <c r="D185" s="110"/>
      <c r="E185" s="147" t="s">
        <v>482</v>
      </c>
      <c r="G185" s="95" t="s">
        <v>483</v>
      </c>
    </row>
    <row r="186" spans="1:11" ht="26" x14ac:dyDescent="0.2">
      <c r="A186" s="109" t="s">
        <v>494</v>
      </c>
      <c r="C186" s="205"/>
      <c r="D186" s="110"/>
      <c r="E186" s="147" t="s">
        <v>485</v>
      </c>
      <c r="G186" s="95" t="s">
        <v>486</v>
      </c>
    </row>
    <row r="187" spans="1:11" x14ac:dyDescent="0.2">
      <c r="A187" s="109" t="s">
        <v>495</v>
      </c>
      <c r="C187" s="205"/>
      <c r="D187" s="110"/>
      <c r="E187" s="147" t="s">
        <v>496</v>
      </c>
    </row>
    <row r="188" spans="1:11" x14ac:dyDescent="0.2">
      <c r="A188" s="109" t="s">
        <v>497</v>
      </c>
      <c r="C188" s="205"/>
      <c r="D188" s="110"/>
      <c r="E188" s="147" t="s">
        <v>498</v>
      </c>
    </row>
    <row r="189" spans="1:11" ht="143" x14ac:dyDescent="0.2">
      <c r="A189" s="109" t="s">
        <v>499</v>
      </c>
      <c r="C189" s="205"/>
      <c r="D189" s="110"/>
      <c r="E189" s="147" t="s">
        <v>500</v>
      </c>
      <c r="G189" s="95" t="s">
        <v>489</v>
      </c>
    </row>
    <row r="190" spans="1:11" ht="26" x14ac:dyDescent="0.2">
      <c r="A190" s="109" t="s">
        <v>501</v>
      </c>
      <c r="C190" s="205"/>
      <c r="D190" s="110"/>
      <c r="E190" s="147" t="s">
        <v>502</v>
      </c>
    </row>
    <row r="191" spans="1:11" x14ac:dyDescent="0.2">
      <c r="A191" s="109" t="s">
        <v>503</v>
      </c>
      <c r="C191" s="205"/>
      <c r="D191" s="110"/>
      <c r="E191" s="147" t="s">
        <v>504</v>
      </c>
    </row>
    <row r="192" spans="1:11" x14ac:dyDescent="0.2">
      <c r="A192" s="109" t="s">
        <v>505</v>
      </c>
      <c r="C192" s="205"/>
      <c r="D192" s="110"/>
      <c r="E192" s="147" t="s">
        <v>506</v>
      </c>
    </row>
    <row r="193" spans="1:11" x14ac:dyDescent="0.2">
      <c r="A193" s="109"/>
      <c r="C193" s="205"/>
      <c r="D193" s="110"/>
      <c r="E193" s="147" t="s">
        <v>507</v>
      </c>
      <c r="G193" s="127"/>
      <c r="H193" s="127"/>
      <c r="I193" s="127"/>
      <c r="J193" s="127"/>
      <c r="K193" s="127"/>
    </row>
    <row r="194" spans="1:11" ht="26" x14ac:dyDescent="0.2">
      <c r="A194" s="109" t="s">
        <v>508</v>
      </c>
      <c r="C194" s="205"/>
      <c r="D194" s="110"/>
      <c r="E194" s="147" t="s">
        <v>509</v>
      </c>
      <c r="G194" s="95" t="s">
        <v>510</v>
      </c>
    </row>
    <row r="195" spans="1:11" ht="26" x14ac:dyDescent="0.2">
      <c r="A195" s="109" t="s">
        <v>511</v>
      </c>
      <c r="C195" s="205"/>
      <c r="D195" s="110"/>
      <c r="E195" s="147" t="s">
        <v>512</v>
      </c>
      <c r="G195" s="95" t="s">
        <v>477</v>
      </c>
    </row>
    <row r="196" spans="1:11" ht="26" x14ac:dyDescent="0.2">
      <c r="A196" s="109" t="s">
        <v>513</v>
      </c>
      <c r="C196" s="205"/>
      <c r="D196" s="110"/>
      <c r="E196" s="147" t="s">
        <v>514</v>
      </c>
      <c r="G196" s="95" t="s">
        <v>480</v>
      </c>
    </row>
    <row r="197" spans="1:11" ht="26" x14ac:dyDescent="0.2">
      <c r="A197" s="109" t="s">
        <v>515</v>
      </c>
      <c r="C197" s="205"/>
      <c r="D197" s="110"/>
      <c r="E197" s="147" t="s">
        <v>516</v>
      </c>
      <c r="G197" s="95" t="s">
        <v>517</v>
      </c>
    </row>
    <row r="198" spans="1:11" ht="26" x14ac:dyDescent="0.2">
      <c r="A198" s="109" t="s">
        <v>518</v>
      </c>
      <c r="C198" s="205"/>
      <c r="D198" s="110"/>
      <c r="E198" s="147" t="s">
        <v>519</v>
      </c>
      <c r="G198" s="95" t="s">
        <v>520</v>
      </c>
    </row>
    <row r="199" spans="1:11" ht="26" x14ac:dyDescent="0.2">
      <c r="A199" s="109" t="s">
        <v>521</v>
      </c>
      <c r="C199" s="205"/>
      <c r="D199" s="110"/>
      <c r="E199" s="147" t="s">
        <v>482</v>
      </c>
      <c r="G199" s="95" t="s">
        <v>483</v>
      </c>
    </row>
    <row r="200" spans="1:11" x14ac:dyDescent="0.2">
      <c r="A200" s="109" t="s">
        <v>522</v>
      </c>
      <c r="C200" s="205"/>
      <c r="D200" s="110"/>
      <c r="E200" s="147" t="s">
        <v>496</v>
      </c>
    </row>
    <row r="201" spans="1:11" x14ac:dyDescent="0.2">
      <c r="A201" s="109" t="s">
        <v>523</v>
      </c>
      <c r="C201" s="205"/>
      <c r="D201" s="110"/>
      <c r="E201" s="147" t="s">
        <v>498</v>
      </c>
    </row>
    <row r="202" spans="1:11" ht="308" x14ac:dyDescent="0.2">
      <c r="A202" s="109" t="s">
        <v>524</v>
      </c>
      <c r="C202" s="205"/>
      <c r="D202" s="110"/>
      <c r="E202" s="147" t="s">
        <v>525</v>
      </c>
      <c r="G202" s="177" t="s">
        <v>526</v>
      </c>
    </row>
    <row r="203" spans="1:11" x14ac:dyDescent="0.2">
      <c r="A203" s="109" t="s">
        <v>527</v>
      </c>
      <c r="C203" s="205"/>
      <c r="D203" s="110"/>
      <c r="E203" s="147" t="s">
        <v>506</v>
      </c>
      <c r="F203" s="154"/>
      <c r="H203" s="133"/>
    </row>
    <row r="204" spans="1:11" ht="52" x14ac:dyDescent="0.2">
      <c r="A204" s="109" t="s">
        <v>528</v>
      </c>
      <c r="C204" s="205"/>
      <c r="D204" s="110"/>
      <c r="E204" s="173" t="s">
        <v>529</v>
      </c>
      <c r="G204" s="128" t="s">
        <v>530</v>
      </c>
    </row>
    <row r="205" spans="1:11" ht="52" x14ac:dyDescent="0.2">
      <c r="A205" s="109" t="s">
        <v>531</v>
      </c>
      <c r="C205" s="205"/>
      <c r="D205" s="110"/>
      <c r="E205" s="173" t="s">
        <v>532</v>
      </c>
      <c r="G205" s="95" t="s">
        <v>530</v>
      </c>
    </row>
    <row r="206" spans="1:11" ht="26" x14ac:dyDescent="0.15">
      <c r="A206" s="109" t="s">
        <v>533</v>
      </c>
      <c r="C206" s="205"/>
      <c r="D206" s="110"/>
      <c r="E206" s="174" t="s">
        <v>534</v>
      </c>
      <c r="G206" s="95" t="s">
        <v>535</v>
      </c>
    </row>
    <row r="207" spans="1:11" ht="52" x14ac:dyDescent="0.2">
      <c r="A207" s="109" t="s">
        <v>536</v>
      </c>
      <c r="C207" s="205"/>
      <c r="D207" s="110"/>
      <c r="E207" s="175" t="s">
        <v>537</v>
      </c>
      <c r="G207" s="95" t="s">
        <v>530</v>
      </c>
    </row>
    <row r="208" spans="1:11" x14ac:dyDescent="0.2">
      <c r="A208" s="109" t="s">
        <v>538</v>
      </c>
      <c r="C208" s="205"/>
      <c r="D208" s="110"/>
      <c r="E208" s="176" t="s">
        <v>539</v>
      </c>
      <c r="G208" s="95" t="s">
        <v>540</v>
      </c>
    </row>
    <row r="209" spans="1:7" x14ac:dyDescent="0.2">
      <c r="A209" s="109" t="s">
        <v>541</v>
      </c>
      <c r="C209" s="205"/>
      <c r="D209" s="110"/>
      <c r="E209" s="176" t="s">
        <v>542</v>
      </c>
      <c r="G209" s="95" t="s">
        <v>543</v>
      </c>
    </row>
    <row r="210" spans="1:7" x14ac:dyDescent="0.2">
      <c r="A210" s="109" t="s">
        <v>544</v>
      </c>
      <c r="C210" s="205"/>
      <c r="D210" s="110"/>
      <c r="E210" s="147" t="s">
        <v>545</v>
      </c>
      <c r="G210" s="95" t="s">
        <v>546</v>
      </c>
    </row>
    <row r="211" spans="1:7" ht="26" x14ac:dyDescent="0.2">
      <c r="A211" s="109" t="s">
        <v>547</v>
      </c>
      <c r="C211" s="216"/>
      <c r="D211" s="110"/>
      <c r="E211" s="147" t="s">
        <v>548</v>
      </c>
      <c r="G211" s="95" t="s">
        <v>549</v>
      </c>
    </row>
    <row r="212" spans="1:7" ht="182" x14ac:dyDescent="0.2">
      <c r="A212" s="109" t="s">
        <v>550</v>
      </c>
      <c r="C212" s="146" t="s">
        <v>551</v>
      </c>
      <c r="D212" s="110"/>
      <c r="E212" s="147" t="s">
        <v>552</v>
      </c>
    </row>
    <row r="213" spans="1:7" ht="52" x14ac:dyDescent="0.2">
      <c r="A213" s="109" t="s">
        <v>553</v>
      </c>
      <c r="C213" s="164" t="s">
        <v>554</v>
      </c>
      <c r="D213" s="110"/>
      <c r="E213" s="147" t="s">
        <v>555</v>
      </c>
    </row>
    <row r="214" spans="1:7" ht="26" x14ac:dyDescent="0.2">
      <c r="A214" s="109" t="s">
        <v>556</v>
      </c>
      <c r="B214" s="144"/>
      <c r="C214" s="204" t="s">
        <v>557</v>
      </c>
      <c r="D214" s="110"/>
      <c r="E214" s="142" t="s">
        <v>558</v>
      </c>
      <c r="G214" s="141" t="s">
        <v>559</v>
      </c>
    </row>
    <row r="215" spans="1:7" ht="26" x14ac:dyDescent="0.2">
      <c r="A215" s="109" t="s">
        <v>560</v>
      </c>
      <c r="B215" s="144"/>
      <c r="C215" s="205"/>
      <c r="D215" s="110"/>
      <c r="E215" s="142" t="s">
        <v>561</v>
      </c>
      <c r="G215" s="141" t="s">
        <v>562</v>
      </c>
    </row>
    <row r="216" spans="1:7" ht="39" x14ac:dyDescent="0.2">
      <c r="A216" s="109" t="s">
        <v>563</v>
      </c>
      <c r="B216" s="144"/>
      <c r="C216" s="205"/>
      <c r="D216" s="110"/>
      <c r="E216" s="142" t="s">
        <v>564</v>
      </c>
      <c r="G216" s="141" t="s">
        <v>565</v>
      </c>
    </row>
    <row r="217" spans="1:7" ht="26" x14ac:dyDescent="0.2">
      <c r="A217" s="109" t="s">
        <v>566</v>
      </c>
      <c r="B217" s="144"/>
      <c r="C217" s="205"/>
      <c r="D217" s="110"/>
      <c r="E217" s="142" t="s">
        <v>567</v>
      </c>
      <c r="G217" s="141" t="s">
        <v>568</v>
      </c>
    </row>
    <row r="218" spans="1:7" ht="104" x14ac:dyDescent="0.2">
      <c r="A218" s="109" t="s">
        <v>569</v>
      </c>
      <c r="B218" s="144"/>
      <c r="C218" s="205"/>
      <c r="D218" s="110"/>
      <c r="E218" s="142" t="s">
        <v>570</v>
      </c>
      <c r="G218" s="141" t="s">
        <v>571</v>
      </c>
    </row>
    <row r="219" spans="1:7" x14ac:dyDescent="0.2">
      <c r="A219" s="109" t="s">
        <v>572</v>
      </c>
      <c r="B219" s="144"/>
      <c r="C219" s="205"/>
      <c r="D219" s="110"/>
    </row>
    <row r="220" spans="1:7" ht="91" x14ac:dyDescent="0.2">
      <c r="A220" s="109" t="s">
        <v>573</v>
      </c>
      <c r="C220" s="205" t="s">
        <v>574</v>
      </c>
      <c r="D220" s="110"/>
      <c r="E220" s="142" t="s">
        <v>575</v>
      </c>
      <c r="G220" s="141" t="s">
        <v>576</v>
      </c>
    </row>
    <row r="221" spans="1:7" ht="91" x14ac:dyDescent="0.2">
      <c r="A221" s="109" t="s">
        <v>577</v>
      </c>
      <c r="C221" s="216"/>
      <c r="D221" s="110"/>
      <c r="E221" s="142" t="s">
        <v>578</v>
      </c>
      <c r="G221" s="141" t="s">
        <v>576</v>
      </c>
    </row>
  </sheetData>
  <mergeCells count="49">
    <mergeCell ref="B76:B77"/>
    <mergeCell ref="B78:B103"/>
    <mergeCell ref="B45:B47"/>
    <mergeCell ref="B49:B52"/>
    <mergeCell ref="B53:B70"/>
    <mergeCell ref="C140:C145"/>
    <mergeCell ref="A146:K146"/>
    <mergeCell ref="C147:C155"/>
    <mergeCell ref="A126:K126"/>
    <mergeCell ref="C128:C129"/>
    <mergeCell ref="C132:C133"/>
    <mergeCell ref="C134:C138"/>
    <mergeCell ref="A139:K139"/>
    <mergeCell ref="C220:C221"/>
    <mergeCell ref="C214:C219"/>
    <mergeCell ref="C160:C211"/>
    <mergeCell ref="A156:K156"/>
    <mergeCell ref="C158:C159"/>
    <mergeCell ref="K1:K2"/>
    <mergeCell ref="A1:A2"/>
    <mergeCell ref="B1:B2"/>
    <mergeCell ref="C1:C2"/>
    <mergeCell ref="E1:E2"/>
    <mergeCell ref="F1:F2"/>
    <mergeCell ref="G1:G2"/>
    <mergeCell ref="H1:I1"/>
    <mergeCell ref="J1:J2"/>
    <mergeCell ref="C76:C77"/>
    <mergeCell ref="C110:C123"/>
    <mergeCell ref="C124:C125"/>
    <mergeCell ref="A3:K3"/>
    <mergeCell ref="A75:K75"/>
    <mergeCell ref="A108:K108"/>
    <mergeCell ref="A107:K107"/>
    <mergeCell ref="B4:B6"/>
    <mergeCell ref="F31:F34"/>
    <mergeCell ref="C53:C70"/>
    <mergeCell ref="C7:C27"/>
    <mergeCell ref="C78:C103"/>
    <mergeCell ref="C104:C106"/>
    <mergeCell ref="F35:F38"/>
    <mergeCell ref="F39:F42"/>
    <mergeCell ref="C48:C52"/>
    <mergeCell ref="C31:C42"/>
    <mergeCell ref="C45:C47"/>
    <mergeCell ref="B7:B26"/>
    <mergeCell ref="B31:B44"/>
    <mergeCell ref="D1:D2"/>
    <mergeCell ref="C4:C6"/>
  </mergeCells>
  <phoneticPr fontId="22" type="noConversion"/>
  <pageMargins left="0.7" right="0.7" top="0.75" bottom="0.75" header="0.3" footer="0.3"/>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060B1-1CF2-4E2A-84A2-A8E3EE662FEE}">
  <dimension ref="B1:P17"/>
  <sheetViews>
    <sheetView showGridLines="0" workbookViewId="0">
      <pane xSplit="8" ySplit="4" topLeftCell="I5" activePane="bottomRight" state="frozen"/>
      <selection pane="topRight" activeCell="I1" sqref="I1"/>
      <selection pane="bottomLeft" activeCell="A5" sqref="A5"/>
      <selection pane="bottomRight" activeCell="P5" sqref="P5"/>
    </sheetView>
  </sheetViews>
  <sheetFormatPr baseColWidth="10" defaultColWidth="8.83203125" defaultRowHeight="15" x14ac:dyDescent="0.2"/>
  <cols>
    <col min="1" max="1" width="1.83203125" customWidth="1"/>
    <col min="2" max="2" width="4.6640625" customWidth="1"/>
    <col min="5" max="5" width="12.33203125" customWidth="1"/>
    <col min="6" max="6" width="17.83203125" customWidth="1"/>
    <col min="8" max="8" width="16.83203125" customWidth="1"/>
    <col min="9" max="9" width="14.1640625" customWidth="1"/>
    <col min="10" max="10" width="37.83203125" customWidth="1"/>
    <col min="11" max="11" width="10" customWidth="1"/>
    <col min="12" max="12" width="22.5" customWidth="1"/>
    <col min="13" max="13" width="10.5" customWidth="1"/>
    <col min="14" max="15" width="15.1640625" customWidth="1"/>
    <col min="16" max="16" width="19.6640625" customWidth="1"/>
  </cols>
  <sheetData>
    <row r="1" spans="2:16" ht="16" thickBot="1" x14ac:dyDescent="0.25"/>
    <row r="2" spans="2:16" ht="26" thickBot="1" x14ac:dyDescent="0.3">
      <c r="B2" s="237" t="s">
        <v>579</v>
      </c>
      <c r="C2" s="238"/>
      <c r="D2" s="238"/>
      <c r="E2" s="238"/>
      <c r="F2" s="238"/>
      <c r="G2" s="238"/>
      <c r="H2" s="238"/>
      <c r="I2" s="238"/>
      <c r="J2" s="238"/>
      <c r="K2" s="238"/>
      <c r="L2" s="238"/>
      <c r="M2" s="238"/>
      <c r="N2" s="238"/>
      <c r="O2" s="238"/>
      <c r="P2" s="239"/>
    </row>
    <row r="3" spans="2:16" ht="23.25" customHeight="1" x14ac:dyDescent="0.2">
      <c r="B3" s="240" t="s">
        <v>580</v>
      </c>
      <c r="C3" s="241"/>
      <c r="D3" s="241"/>
      <c r="E3" s="241"/>
      <c r="F3" s="241"/>
      <c r="G3" s="241"/>
      <c r="H3" s="241"/>
      <c r="I3" s="241"/>
      <c r="J3" s="241"/>
      <c r="K3" s="241"/>
      <c r="L3" s="45"/>
      <c r="M3" s="241" t="s">
        <v>581</v>
      </c>
      <c r="N3" s="241"/>
      <c r="O3" s="241"/>
      <c r="P3" s="242"/>
    </row>
    <row r="4" spans="2:16" ht="71" thickBot="1" x14ac:dyDescent="0.25">
      <c r="B4" s="46" t="s">
        <v>6</v>
      </c>
      <c r="C4" s="47" t="s">
        <v>582</v>
      </c>
      <c r="D4" s="47" t="s">
        <v>583</v>
      </c>
      <c r="E4" s="47" t="s">
        <v>584</v>
      </c>
      <c r="F4" s="47" t="s">
        <v>585</v>
      </c>
      <c r="G4" s="47" t="s">
        <v>586</v>
      </c>
      <c r="H4" s="47" t="s">
        <v>587</v>
      </c>
      <c r="I4" s="47" t="s">
        <v>588</v>
      </c>
      <c r="J4" s="47" t="s">
        <v>589</v>
      </c>
      <c r="K4" s="47" t="s">
        <v>590</v>
      </c>
      <c r="L4" s="48" t="s">
        <v>591</v>
      </c>
      <c r="M4" s="46" t="s">
        <v>592</v>
      </c>
      <c r="N4" s="47" t="s">
        <v>593</v>
      </c>
      <c r="O4" s="47" t="s">
        <v>594</v>
      </c>
      <c r="P4" s="48" t="s">
        <v>595</v>
      </c>
    </row>
    <row r="5" spans="2:16" x14ac:dyDescent="0.2">
      <c r="B5" s="62">
        <v>1</v>
      </c>
      <c r="C5" s="1" t="s">
        <v>596</v>
      </c>
      <c r="D5" s="83">
        <v>1</v>
      </c>
      <c r="E5" s="74"/>
      <c r="F5" s="3" t="s">
        <v>14</v>
      </c>
      <c r="G5" s="65" t="s">
        <v>597</v>
      </c>
      <c r="H5" s="3" t="s">
        <v>598</v>
      </c>
      <c r="I5" s="65">
        <v>28</v>
      </c>
      <c r="J5" s="4" t="s">
        <v>599</v>
      </c>
      <c r="K5" s="4" t="s">
        <v>600</v>
      </c>
      <c r="L5" s="3" t="s">
        <v>601</v>
      </c>
      <c r="M5" s="3" t="s">
        <v>602</v>
      </c>
      <c r="N5" s="81">
        <v>45803</v>
      </c>
      <c r="O5" s="81">
        <v>45803</v>
      </c>
      <c r="P5" s="11"/>
    </row>
    <row r="6" spans="2:16" x14ac:dyDescent="0.2">
      <c r="B6" s="61"/>
      <c r="C6" s="1"/>
      <c r="D6" s="83"/>
      <c r="E6" s="74"/>
      <c r="F6" s="3"/>
      <c r="G6" s="65"/>
      <c r="H6" s="3"/>
      <c r="I6" s="65"/>
      <c r="J6" s="4"/>
      <c r="K6" s="4"/>
      <c r="L6" s="3"/>
      <c r="M6" s="3"/>
      <c r="N6" s="81"/>
      <c r="O6" s="81"/>
      <c r="P6" s="11"/>
    </row>
    <row r="7" spans="2:16" x14ac:dyDescent="0.2">
      <c r="B7" s="61"/>
      <c r="C7" s="1"/>
      <c r="D7" s="83"/>
      <c r="E7" s="74"/>
      <c r="F7" s="3"/>
      <c r="G7" s="65"/>
      <c r="H7" s="3"/>
      <c r="I7" s="65"/>
      <c r="J7" s="4"/>
      <c r="K7" s="4"/>
      <c r="L7" s="3"/>
      <c r="M7" s="3"/>
      <c r="N7" s="81"/>
      <c r="O7" s="81"/>
      <c r="P7" s="11"/>
    </row>
    <row r="8" spans="2:16" x14ac:dyDescent="0.2">
      <c r="B8" s="61"/>
      <c r="C8" s="1"/>
      <c r="D8" s="83"/>
      <c r="E8" s="74"/>
      <c r="F8" s="3"/>
      <c r="G8" s="65"/>
      <c r="H8" s="3"/>
      <c r="I8" s="65"/>
      <c r="J8" s="4"/>
      <c r="K8" s="4"/>
      <c r="L8" s="3"/>
      <c r="M8" s="3"/>
      <c r="N8" s="81"/>
      <c r="O8" s="81"/>
      <c r="P8" s="11"/>
    </row>
    <row r="9" spans="2:16" x14ac:dyDescent="0.2">
      <c r="B9" s="61"/>
      <c r="C9" s="1"/>
      <c r="D9" s="83"/>
      <c r="E9" s="74"/>
      <c r="F9" s="3"/>
      <c r="G9" s="65"/>
      <c r="H9" s="3"/>
      <c r="I9" s="65"/>
      <c r="J9" s="4"/>
      <c r="K9" s="4"/>
      <c r="L9" s="3"/>
      <c r="M9" s="3"/>
      <c r="N9" s="81"/>
      <c r="O9" s="81"/>
      <c r="P9" s="11"/>
    </row>
    <row r="10" spans="2:16" x14ac:dyDescent="0.2">
      <c r="B10" s="61"/>
      <c r="C10" s="1"/>
      <c r="D10" s="83"/>
      <c r="E10" s="74"/>
      <c r="F10" s="3"/>
      <c r="G10" s="65"/>
      <c r="H10" s="3"/>
      <c r="I10" s="65"/>
      <c r="J10" s="4" t="s">
        <v>603</v>
      </c>
      <c r="K10" s="4"/>
      <c r="L10" s="3"/>
      <c r="M10" s="3"/>
      <c r="N10" s="81"/>
      <c r="O10" s="81"/>
      <c r="P10" s="11"/>
    </row>
    <row r="11" spans="2:16" x14ac:dyDescent="0.2">
      <c r="B11" s="61"/>
      <c r="C11" s="1"/>
      <c r="D11" s="83"/>
      <c r="E11" s="74"/>
      <c r="F11" s="3"/>
      <c r="G11" s="65"/>
      <c r="H11" s="3"/>
      <c r="I11" s="65"/>
      <c r="J11" s="4" t="s">
        <v>604</v>
      </c>
      <c r="K11" s="4"/>
      <c r="L11" s="3"/>
      <c r="M11" s="3"/>
      <c r="N11" s="81"/>
      <c r="O11" s="81"/>
      <c r="P11" s="11"/>
    </row>
    <row r="12" spans="2:16" x14ac:dyDescent="0.2">
      <c r="B12" s="61"/>
      <c r="C12" s="5"/>
      <c r="D12" s="84"/>
      <c r="E12" s="75"/>
      <c r="F12" s="6"/>
      <c r="G12" s="78"/>
      <c r="H12" s="6"/>
      <c r="I12" s="78"/>
      <c r="J12" s="7"/>
      <c r="K12" s="4"/>
      <c r="L12" s="6"/>
      <c r="M12" s="3"/>
      <c r="N12" s="81"/>
      <c r="O12" s="81"/>
      <c r="P12" s="11"/>
    </row>
    <row r="13" spans="2:16" x14ac:dyDescent="0.2">
      <c r="B13" s="61"/>
      <c r="C13" s="8"/>
      <c r="D13" s="85"/>
      <c r="E13" s="76"/>
      <c r="F13" s="9"/>
      <c r="G13" s="79"/>
      <c r="H13" s="9"/>
      <c r="I13" s="79"/>
      <c r="J13" s="10"/>
      <c r="K13" s="4"/>
      <c r="L13" s="9"/>
      <c r="M13" s="3"/>
      <c r="N13" s="81"/>
      <c r="O13" s="81"/>
      <c r="P13" s="11"/>
    </row>
    <row r="14" spans="2:16" x14ac:dyDescent="0.2">
      <c r="B14" s="61"/>
      <c r="C14" s="8"/>
      <c r="D14" s="85"/>
      <c r="E14" s="76"/>
      <c r="F14" s="9"/>
      <c r="G14" s="79"/>
      <c r="H14" s="9"/>
      <c r="I14" s="79"/>
      <c r="J14" s="10"/>
      <c r="K14" s="4"/>
      <c r="L14" s="9"/>
      <c r="M14" s="3"/>
      <c r="N14" s="81"/>
      <c r="O14" s="81"/>
      <c r="P14" s="11"/>
    </row>
    <row r="15" spans="2:16" x14ac:dyDescent="0.2">
      <c r="B15" s="61"/>
      <c r="C15" s="8"/>
      <c r="D15" s="85"/>
      <c r="E15" s="76"/>
      <c r="F15" s="9"/>
      <c r="G15" s="79"/>
      <c r="H15" s="9"/>
      <c r="I15" s="79"/>
      <c r="J15" s="10"/>
      <c r="K15" s="4"/>
      <c r="L15" s="9"/>
      <c r="M15" s="3"/>
      <c r="N15" s="81"/>
      <c r="O15" s="81"/>
      <c r="P15" s="11"/>
    </row>
    <row r="16" spans="2:16" x14ac:dyDescent="0.2">
      <c r="B16" s="61"/>
      <c r="C16" s="8"/>
      <c r="D16" s="85"/>
      <c r="E16" s="76"/>
      <c r="F16" s="9"/>
      <c r="G16" s="79"/>
      <c r="H16" s="9"/>
      <c r="I16" s="79"/>
      <c r="J16" s="10"/>
      <c r="K16" s="4"/>
      <c r="L16" s="9"/>
      <c r="M16" s="3"/>
      <c r="N16" s="81"/>
      <c r="O16" s="81"/>
      <c r="P16" s="11"/>
    </row>
    <row r="17" spans="2:16" ht="16" thickBot="1" x14ac:dyDescent="0.25">
      <c r="B17" s="63"/>
      <c r="C17" s="12"/>
      <c r="D17" s="86"/>
      <c r="E17" s="77"/>
      <c r="F17" s="13"/>
      <c r="G17" s="80"/>
      <c r="H17" s="13"/>
      <c r="I17" s="80"/>
      <c r="J17" s="14"/>
      <c r="K17" s="15"/>
      <c r="L17" s="13"/>
      <c r="M17" s="16"/>
      <c r="N17" s="82"/>
      <c r="O17" s="82"/>
      <c r="P17" s="17"/>
    </row>
  </sheetData>
  <mergeCells count="3">
    <mergeCell ref="B2:P2"/>
    <mergeCell ref="B3:K3"/>
    <mergeCell ref="M3:P3"/>
  </mergeCells>
  <dataValidations count="3">
    <dataValidation type="list" allowBlank="1" showInputMessage="1" showErrorMessage="1" sqref="M5:M17" xr:uid="{3C021B5E-E2FB-4AD9-B677-9B8131F23BA1}">
      <formula1>"Open,Fixed, Closed, Deferred,Re-open, Rejected"</formula1>
    </dataValidation>
    <dataValidation type="list" allowBlank="1" showInputMessage="1" showErrorMessage="1" sqref="K5:K17" xr:uid="{946308D5-7896-4FDE-B576-014EEA646355}">
      <formula1>"High, Medium, Low"</formula1>
    </dataValidation>
    <dataValidation type="list" allowBlank="1" showInputMessage="1" showErrorMessage="1" sqref="C5:C17" xr:uid="{FC8F3F7E-77BF-468B-8D3A-C9242EF3B48F}">
      <formula1>"1st, 2nd, 3rd, 4th, 5th "</formula1>
    </dataValidation>
  </dataValidations>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DFD43-6D20-4EA4-8FD6-6A5B07984AAC}">
  <dimension ref="A1:M1"/>
  <sheetViews>
    <sheetView tabSelected="1" zoomScaleNormal="100" workbookViewId="0">
      <pane ySplit="1" topLeftCell="A2" activePane="bottomLeft" state="frozen"/>
      <selection pane="bottomLeft" activeCell="D40" sqref="D40"/>
    </sheetView>
  </sheetViews>
  <sheetFormatPr baseColWidth="10" defaultColWidth="9.1640625" defaultRowHeight="15" x14ac:dyDescent="0.2"/>
  <cols>
    <col min="1" max="1" width="14.5" style="131" customWidth="1"/>
    <col min="2" max="2" width="17.5" style="178" customWidth="1"/>
    <col min="3" max="3" width="20.33203125" customWidth="1"/>
    <col min="4" max="4" width="30.5" customWidth="1"/>
    <col min="5" max="5" width="24.5" style="187" customWidth="1"/>
    <col min="6" max="6" width="46.5" customWidth="1"/>
    <col min="7" max="7" width="35.5" customWidth="1"/>
    <col min="8" max="8" width="25.33203125" style="179" customWidth="1"/>
    <col min="9" max="9" width="41.5" customWidth="1"/>
    <col min="10" max="10" width="19.6640625" style="180" customWidth="1"/>
    <col min="11" max="11" width="37.33203125" customWidth="1"/>
    <col min="12" max="12" width="39.1640625" customWidth="1"/>
    <col min="13" max="13" width="38.5" style="178" customWidth="1"/>
  </cols>
  <sheetData>
    <row r="1" spans="1:13" ht="32.5" customHeight="1" x14ac:dyDescent="0.2">
      <c r="A1" s="188" t="s">
        <v>17</v>
      </c>
      <c r="B1" s="188" t="s">
        <v>18</v>
      </c>
      <c r="C1" s="188" t="s">
        <v>605</v>
      </c>
      <c r="D1" s="188" t="s">
        <v>19</v>
      </c>
      <c r="E1" s="188" t="s">
        <v>20</v>
      </c>
      <c r="F1" s="188" t="s">
        <v>21</v>
      </c>
      <c r="G1" s="188" t="s">
        <v>22</v>
      </c>
      <c r="H1" s="189" t="s">
        <v>606</v>
      </c>
      <c r="I1" s="188" t="s">
        <v>23</v>
      </c>
      <c r="J1" s="188" t="s">
        <v>24</v>
      </c>
      <c r="K1" s="188" t="s">
        <v>25</v>
      </c>
      <c r="L1" s="190" t="s">
        <v>26</v>
      </c>
      <c r="M1" s="188" t="s">
        <v>607</v>
      </c>
    </row>
  </sheetData>
  <autoFilter ref="A1:M1" xr:uid="{E83DFD43-6D20-4EA4-8FD6-6A5B07984AAC}"/>
  <phoneticPr fontId="2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6416B-95D3-4BD2-8FFB-7DA9193C6FDC}">
  <dimension ref="B1:G24"/>
  <sheetViews>
    <sheetView showGridLines="0" workbookViewId="0">
      <selection activeCell="F8" sqref="F8"/>
    </sheetView>
  </sheetViews>
  <sheetFormatPr baseColWidth="10" defaultColWidth="8.83203125" defaultRowHeight="15" x14ac:dyDescent="0.2"/>
  <cols>
    <col min="1" max="1" width="1.83203125" customWidth="1"/>
    <col min="2" max="2" width="6.1640625" customWidth="1"/>
    <col min="4" max="4" width="16.83203125" customWidth="1"/>
    <col min="5" max="5" width="14.1640625" customWidth="1"/>
    <col min="6" max="6" width="15.33203125" customWidth="1"/>
    <col min="7" max="7" width="31.5" customWidth="1"/>
  </cols>
  <sheetData>
    <row r="1" spans="2:7" ht="16" thickBot="1" x14ac:dyDescent="0.25"/>
    <row r="2" spans="2:7" ht="26" thickBot="1" x14ac:dyDescent="0.3">
      <c r="B2" s="237" t="s">
        <v>608</v>
      </c>
      <c r="C2" s="238"/>
      <c r="D2" s="238"/>
      <c r="E2" s="238"/>
      <c r="F2" s="238"/>
      <c r="G2" s="239"/>
    </row>
    <row r="3" spans="2:7" ht="23.25" customHeight="1" thickBot="1" x14ac:dyDescent="0.25">
      <c r="B3" s="243" t="s">
        <v>580</v>
      </c>
      <c r="C3" s="243"/>
      <c r="D3" s="243"/>
      <c r="E3" s="243"/>
      <c r="F3" s="243" t="s">
        <v>609</v>
      </c>
      <c r="G3" s="243"/>
    </row>
    <row r="4" spans="2:7" ht="56" x14ac:dyDescent="0.2">
      <c r="B4" s="49" t="s">
        <v>6</v>
      </c>
      <c r="C4" s="50" t="s">
        <v>582</v>
      </c>
      <c r="D4" s="50" t="s">
        <v>587</v>
      </c>
      <c r="E4" s="50" t="s">
        <v>610</v>
      </c>
      <c r="F4" s="50" t="s">
        <v>611</v>
      </c>
      <c r="G4" s="51" t="s">
        <v>595</v>
      </c>
    </row>
    <row r="5" spans="2:7" x14ac:dyDescent="0.2">
      <c r="B5" s="60">
        <v>1</v>
      </c>
      <c r="C5" s="18" t="s">
        <v>596</v>
      </c>
      <c r="D5" s="19" t="s">
        <v>598</v>
      </c>
      <c r="E5" s="94" t="s">
        <v>612</v>
      </c>
      <c r="F5" s="93" t="s">
        <v>612</v>
      </c>
      <c r="G5" s="20"/>
    </row>
    <row r="6" spans="2:7" x14ac:dyDescent="0.2">
      <c r="B6" s="61">
        <v>2</v>
      </c>
      <c r="C6" s="1"/>
      <c r="D6" s="2"/>
      <c r="E6" s="94"/>
      <c r="F6" s="65"/>
      <c r="G6" s="11"/>
    </row>
    <row r="7" spans="2:7" x14ac:dyDescent="0.2">
      <c r="B7" s="61"/>
      <c r="C7" s="1"/>
      <c r="D7" s="3"/>
      <c r="E7" s="64"/>
      <c r="F7" s="65"/>
      <c r="G7" s="11"/>
    </row>
    <row r="8" spans="2:7" x14ac:dyDescent="0.2">
      <c r="B8" s="61"/>
      <c r="C8" s="1"/>
      <c r="D8" s="3"/>
      <c r="E8" s="64"/>
      <c r="F8" s="65"/>
      <c r="G8" s="11"/>
    </row>
    <row r="9" spans="2:7" x14ac:dyDescent="0.2">
      <c r="B9" s="61"/>
      <c r="C9" s="1"/>
      <c r="D9" s="3"/>
      <c r="E9" s="64"/>
      <c r="F9" s="65"/>
      <c r="G9" s="11"/>
    </row>
    <row r="10" spans="2:7" x14ac:dyDescent="0.2">
      <c r="B10" s="61"/>
      <c r="C10" s="1"/>
      <c r="D10" s="3"/>
      <c r="E10" s="64"/>
      <c r="F10" s="65"/>
      <c r="G10" s="11"/>
    </row>
    <row r="11" spans="2:7" x14ac:dyDescent="0.2">
      <c r="B11" s="61"/>
      <c r="C11" s="1"/>
      <c r="D11" s="3"/>
      <c r="E11" s="64"/>
      <c r="F11" s="65"/>
      <c r="G11" s="11"/>
    </row>
    <row r="12" spans="2:7" x14ac:dyDescent="0.2">
      <c r="B12" s="62"/>
      <c r="C12" s="1"/>
      <c r="D12" s="3"/>
      <c r="E12" s="64"/>
      <c r="F12" s="65"/>
      <c r="G12" s="11"/>
    </row>
    <row r="13" spans="2:7" x14ac:dyDescent="0.2">
      <c r="B13" s="61"/>
      <c r="C13" s="1"/>
      <c r="D13" s="3"/>
      <c r="E13" s="64"/>
      <c r="F13" s="65"/>
      <c r="G13" s="11"/>
    </row>
    <row r="14" spans="2:7" x14ac:dyDescent="0.2">
      <c r="B14" s="61"/>
      <c r="C14" s="1"/>
      <c r="D14" s="3"/>
      <c r="E14" s="64"/>
      <c r="F14" s="65"/>
      <c r="G14" s="11"/>
    </row>
    <row r="15" spans="2:7" x14ac:dyDescent="0.2">
      <c r="B15" s="61"/>
      <c r="C15" s="1"/>
      <c r="D15" s="3"/>
      <c r="E15" s="64"/>
      <c r="F15" s="65"/>
      <c r="G15" s="11"/>
    </row>
    <row r="16" spans="2:7" x14ac:dyDescent="0.2">
      <c r="B16" s="61"/>
      <c r="C16" s="1"/>
      <c r="D16" s="3"/>
      <c r="E16" s="64"/>
      <c r="F16" s="65"/>
      <c r="G16" s="11"/>
    </row>
    <row r="17" spans="2:7" x14ac:dyDescent="0.2">
      <c r="B17" s="61"/>
      <c r="C17" s="1"/>
      <c r="D17" s="3"/>
      <c r="E17" s="64"/>
      <c r="F17" s="65"/>
      <c r="G17" s="11"/>
    </row>
    <row r="18" spans="2:7" x14ac:dyDescent="0.2">
      <c r="B18" s="61"/>
      <c r="C18" s="1"/>
      <c r="D18" s="3"/>
      <c r="E18" s="64"/>
      <c r="F18" s="65"/>
      <c r="G18" s="11"/>
    </row>
    <row r="19" spans="2:7" x14ac:dyDescent="0.2">
      <c r="B19" s="61"/>
      <c r="C19" s="5"/>
      <c r="D19" s="6"/>
      <c r="E19" s="64"/>
      <c r="F19" s="65"/>
      <c r="G19" s="11"/>
    </row>
    <row r="20" spans="2:7" x14ac:dyDescent="0.2">
      <c r="B20" s="61"/>
      <c r="C20" s="8"/>
      <c r="D20" s="9"/>
      <c r="E20" s="64"/>
      <c r="F20" s="65"/>
      <c r="G20" s="11"/>
    </row>
    <row r="21" spans="2:7" x14ac:dyDescent="0.2">
      <c r="B21" s="61"/>
      <c r="C21" s="8"/>
      <c r="D21" s="9"/>
      <c r="E21" s="64"/>
      <c r="F21" s="65"/>
      <c r="G21" s="11"/>
    </row>
    <row r="22" spans="2:7" x14ac:dyDescent="0.2">
      <c r="B22" s="61"/>
      <c r="C22" s="8"/>
      <c r="D22" s="9"/>
      <c r="E22" s="64"/>
      <c r="F22" s="65"/>
      <c r="G22" s="11"/>
    </row>
    <row r="23" spans="2:7" x14ac:dyDescent="0.2">
      <c r="B23" s="61"/>
      <c r="C23" s="8"/>
      <c r="D23" s="9"/>
      <c r="E23" s="64"/>
      <c r="F23" s="65"/>
      <c r="G23" s="11"/>
    </row>
    <row r="24" spans="2:7" ht="16" thickBot="1" x14ac:dyDescent="0.25">
      <c r="B24" s="63"/>
      <c r="C24" s="12"/>
      <c r="D24" s="13"/>
      <c r="E24" s="66"/>
      <c r="F24" s="67"/>
      <c r="G24" s="17"/>
    </row>
  </sheetData>
  <mergeCells count="3">
    <mergeCell ref="B2:G2"/>
    <mergeCell ref="B3:E3"/>
    <mergeCell ref="F3:G3"/>
  </mergeCells>
  <dataValidations count="1">
    <dataValidation type="list" allowBlank="1" showInputMessage="1" showErrorMessage="1" sqref="C5:C24" xr:uid="{DB3F6F4F-BFDE-478E-B451-3796038FFC34}">
      <formula1>"1st, 2nd, 3rd, 4th, 5th "</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F8BE2-62EB-4F7F-8A56-C5E317CBD7AA}">
  <sheetPr>
    <pageSetUpPr fitToPage="1"/>
  </sheetPr>
  <dimension ref="A1:K48"/>
  <sheetViews>
    <sheetView showGridLines="0" zoomScaleNormal="100" workbookViewId="0">
      <selection sqref="A1:XFD1048576"/>
    </sheetView>
  </sheetViews>
  <sheetFormatPr baseColWidth="10" defaultColWidth="8.83203125" defaultRowHeight="13" x14ac:dyDescent="0.15"/>
  <cols>
    <col min="1" max="1" width="7.83203125" style="23" customWidth="1"/>
    <col min="2" max="2" width="3.5" style="23" customWidth="1"/>
    <col min="3" max="3" width="24.6640625" style="23" customWidth="1"/>
    <col min="4" max="4" width="12.6640625" style="23" customWidth="1"/>
    <col min="5" max="5" width="15.6640625" style="23" customWidth="1"/>
    <col min="6" max="7" width="12.6640625" style="23" customWidth="1"/>
    <col min="8" max="8" width="3.5" style="23" customWidth="1"/>
    <col min="9" max="11" width="13.5" style="23" customWidth="1"/>
    <col min="12" max="256" width="9.1640625" style="23"/>
    <col min="257" max="257" width="7.83203125" style="23" customWidth="1"/>
    <col min="258" max="258" width="3.5" style="23" customWidth="1"/>
    <col min="259" max="259" width="24.6640625" style="23" customWidth="1"/>
    <col min="260" max="260" width="12.6640625" style="23" customWidth="1"/>
    <col min="261" max="261" width="15.6640625" style="23" customWidth="1"/>
    <col min="262" max="263" width="12.6640625" style="23" customWidth="1"/>
    <col min="264" max="264" width="3.5" style="23" customWidth="1"/>
    <col min="265" max="267" width="13.5" style="23" customWidth="1"/>
    <col min="268" max="512" width="9.1640625" style="23"/>
    <col min="513" max="513" width="7.83203125" style="23" customWidth="1"/>
    <col min="514" max="514" width="3.5" style="23" customWidth="1"/>
    <col min="515" max="515" width="24.6640625" style="23" customWidth="1"/>
    <col min="516" max="516" width="12.6640625" style="23" customWidth="1"/>
    <col min="517" max="517" width="15.6640625" style="23" customWidth="1"/>
    <col min="518" max="519" width="12.6640625" style="23" customWidth="1"/>
    <col min="520" max="520" width="3.5" style="23" customWidth="1"/>
    <col min="521" max="523" width="13.5" style="23" customWidth="1"/>
    <col min="524" max="768" width="9.1640625" style="23"/>
    <col min="769" max="769" width="7.83203125" style="23" customWidth="1"/>
    <col min="770" max="770" width="3.5" style="23" customWidth="1"/>
    <col min="771" max="771" width="24.6640625" style="23" customWidth="1"/>
    <col min="772" max="772" width="12.6640625" style="23" customWidth="1"/>
    <col min="773" max="773" width="15.6640625" style="23" customWidth="1"/>
    <col min="774" max="775" width="12.6640625" style="23" customWidth="1"/>
    <col min="776" max="776" width="3.5" style="23" customWidth="1"/>
    <col min="777" max="779" width="13.5" style="23" customWidth="1"/>
    <col min="780" max="1024" width="9.1640625" style="23"/>
    <col min="1025" max="1025" width="7.83203125" style="23" customWidth="1"/>
    <col min="1026" max="1026" width="3.5" style="23" customWidth="1"/>
    <col min="1027" max="1027" width="24.6640625" style="23" customWidth="1"/>
    <col min="1028" max="1028" width="12.6640625" style="23" customWidth="1"/>
    <col min="1029" max="1029" width="15.6640625" style="23" customWidth="1"/>
    <col min="1030" max="1031" width="12.6640625" style="23" customWidth="1"/>
    <col min="1032" max="1032" width="3.5" style="23" customWidth="1"/>
    <col min="1033" max="1035" width="13.5" style="23" customWidth="1"/>
    <col min="1036" max="1280" width="9.1640625" style="23"/>
    <col min="1281" max="1281" width="7.83203125" style="23" customWidth="1"/>
    <col min="1282" max="1282" width="3.5" style="23" customWidth="1"/>
    <col min="1283" max="1283" width="24.6640625" style="23" customWidth="1"/>
    <col min="1284" max="1284" width="12.6640625" style="23" customWidth="1"/>
    <col min="1285" max="1285" width="15.6640625" style="23" customWidth="1"/>
    <col min="1286" max="1287" width="12.6640625" style="23" customWidth="1"/>
    <col min="1288" max="1288" width="3.5" style="23" customWidth="1"/>
    <col min="1289" max="1291" width="13.5" style="23" customWidth="1"/>
    <col min="1292" max="1536" width="9.1640625" style="23"/>
    <col min="1537" max="1537" width="7.83203125" style="23" customWidth="1"/>
    <col min="1538" max="1538" width="3.5" style="23" customWidth="1"/>
    <col min="1539" max="1539" width="24.6640625" style="23" customWidth="1"/>
    <col min="1540" max="1540" width="12.6640625" style="23" customWidth="1"/>
    <col min="1541" max="1541" width="15.6640625" style="23" customWidth="1"/>
    <col min="1542" max="1543" width="12.6640625" style="23" customWidth="1"/>
    <col min="1544" max="1544" width="3.5" style="23" customWidth="1"/>
    <col min="1545" max="1547" width="13.5" style="23" customWidth="1"/>
    <col min="1548" max="1792" width="9.1640625" style="23"/>
    <col min="1793" max="1793" width="7.83203125" style="23" customWidth="1"/>
    <col min="1794" max="1794" width="3.5" style="23" customWidth="1"/>
    <col min="1795" max="1795" width="24.6640625" style="23" customWidth="1"/>
    <col min="1796" max="1796" width="12.6640625" style="23" customWidth="1"/>
    <col min="1797" max="1797" width="15.6640625" style="23" customWidth="1"/>
    <col min="1798" max="1799" width="12.6640625" style="23" customWidth="1"/>
    <col min="1800" max="1800" width="3.5" style="23" customWidth="1"/>
    <col min="1801" max="1803" width="13.5" style="23" customWidth="1"/>
    <col min="1804" max="2048" width="9.1640625" style="23"/>
    <col min="2049" max="2049" width="7.83203125" style="23" customWidth="1"/>
    <col min="2050" max="2050" width="3.5" style="23" customWidth="1"/>
    <col min="2051" max="2051" width="24.6640625" style="23" customWidth="1"/>
    <col min="2052" max="2052" width="12.6640625" style="23" customWidth="1"/>
    <col min="2053" max="2053" width="15.6640625" style="23" customWidth="1"/>
    <col min="2054" max="2055" width="12.6640625" style="23" customWidth="1"/>
    <col min="2056" max="2056" width="3.5" style="23" customWidth="1"/>
    <col min="2057" max="2059" width="13.5" style="23" customWidth="1"/>
    <col min="2060" max="2304" width="9.1640625" style="23"/>
    <col min="2305" max="2305" width="7.83203125" style="23" customWidth="1"/>
    <col min="2306" max="2306" width="3.5" style="23" customWidth="1"/>
    <col min="2307" max="2307" width="24.6640625" style="23" customWidth="1"/>
    <col min="2308" max="2308" width="12.6640625" style="23" customWidth="1"/>
    <col min="2309" max="2309" width="15.6640625" style="23" customWidth="1"/>
    <col min="2310" max="2311" width="12.6640625" style="23" customWidth="1"/>
    <col min="2312" max="2312" width="3.5" style="23" customWidth="1"/>
    <col min="2313" max="2315" width="13.5" style="23" customWidth="1"/>
    <col min="2316" max="2560" width="9.1640625" style="23"/>
    <col min="2561" max="2561" width="7.83203125" style="23" customWidth="1"/>
    <col min="2562" max="2562" width="3.5" style="23" customWidth="1"/>
    <col min="2563" max="2563" width="24.6640625" style="23" customWidth="1"/>
    <col min="2564" max="2564" width="12.6640625" style="23" customWidth="1"/>
    <col min="2565" max="2565" width="15.6640625" style="23" customWidth="1"/>
    <col min="2566" max="2567" width="12.6640625" style="23" customWidth="1"/>
    <col min="2568" max="2568" width="3.5" style="23" customWidth="1"/>
    <col min="2569" max="2571" width="13.5" style="23" customWidth="1"/>
    <col min="2572" max="2816" width="9.1640625" style="23"/>
    <col min="2817" max="2817" width="7.83203125" style="23" customWidth="1"/>
    <col min="2818" max="2818" width="3.5" style="23" customWidth="1"/>
    <col min="2819" max="2819" width="24.6640625" style="23" customWidth="1"/>
    <col min="2820" max="2820" width="12.6640625" style="23" customWidth="1"/>
    <col min="2821" max="2821" width="15.6640625" style="23" customWidth="1"/>
    <col min="2822" max="2823" width="12.6640625" style="23" customWidth="1"/>
    <col min="2824" max="2824" width="3.5" style="23" customWidth="1"/>
    <col min="2825" max="2827" width="13.5" style="23" customWidth="1"/>
    <col min="2828" max="3072" width="9.1640625" style="23"/>
    <col min="3073" max="3073" width="7.83203125" style="23" customWidth="1"/>
    <col min="3074" max="3074" width="3.5" style="23" customWidth="1"/>
    <col min="3075" max="3075" width="24.6640625" style="23" customWidth="1"/>
    <col min="3076" max="3076" width="12.6640625" style="23" customWidth="1"/>
    <col min="3077" max="3077" width="15.6640625" style="23" customWidth="1"/>
    <col min="3078" max="3079" width="12.6640625" style="23" customWidth="1"/>
    <col min="3080" max="3080" width="3.5" style="23" customWidth="1"/>
    <col min="3081" max="3083" width="13.5" style="23" customWidth="1"/>
    <col min="3084" max="3328" width="9.1640625" style="23"/>
    <col min="3329" max="3329" width="7.83203125" style="23" customWidth="1"/>
    <col min="3330" max="3330" width="3.5" style="23" customWidth="1"/>
    <col min="3331" max="3331" width="24.6640625" style="23" customWidth="1"/>
    <col min="3332" max="3332" width="12.6640625" style="23" customWidth="1"/>
    <col min="3333" max="3333" width="15.6640625" style="23" customWidth="1"/>
    <col min="3334" max="3335" width="12.6640625" style="23" customWidth="1"/>
    <col min="3336" max="3336" width="3.5" style="23" customWidth="1"/>
    <col min="3337" max="3339" width="13.5" style="23" customWidth="1"/>
    <col min="3340" max="3584" width="9.1640625" style="23"/>
    <col min="3585" max="3585" width="7.83203125" style="23" customWidth="1"/>
    <col min="3586" max="3586" width="3.5" style="23" customWidth="1"/>
    <col min="3587" max="3587" width="24.6640625" style="23" customWidth="1"/>
    <col min="3588" max="3588" width="12.6640625" style="23" customWidth="1"/>
    <col min="3589" max="3589" width="15.6640625" style="23" customWidth="1"/>
    <col min="3590" max="3591" width="12.6640625" style="23" customWidth="1"/>
    <col min="3592" max="3592" width="3.5" style="23" customWidth="1"/>
    <col min="3593" max="3595" width="13.5" style="23" customWidth="1"/>
    <col min="3596" max="3840" width="9.1640625" style="23"/>
    <col min="3841" max="3841" width="7.83203125" style="23" customWidth="1"/>
    <col min="3842" max="3842" width="3.5" style="23" customWidth="1"/>
    <col min="3843" max="3843" width="24.6640625" style="23" customWidth="1"/>
    <col min="3844" max="3844" width="12.6640625" style="23" customWidth="1"/>
    <col min="3845" max="3845" width="15.6640625" style="23" customWidth="1"/>
    <col min="3846" max="3847" width="12.6640625" style="23" customWidth="1"/>
    <col min="3848" max="3848" width="3.5" style="23" customWidth="1"/>
    <col min="3849" max="3851" width="13.5" style="23" customWidth="1"/>
    <col min="3852" max="4096" width="9.1640625" style="23"/>
    <col min="4097" max="4097" width="7.83203125" style="23" customWidth="1"/>
    <col min="4098" max="4098" width="3.5" style="23" customWidth="1"/>
    <col min="4099" max="4099" width="24.6640625" style="23" customWidth="1"/>
    <col min="4100" max="4100" width="12.6640625" style="23" customWidth="1"/>
    <col min="4101" max="4101" width="15.6640625" style="23" customWidth="1"/>
    <col min="4102" max="4103" width="12.6640625" style="23" customWidth="1"/>
    <col min="4104" max="4104" width="3.5" style="23" customWidth="1"/>
    <col min="4105" max="4107" width="13.5" style="23" customWidth="1"/>
    <col min="4108" max="4352" width="9.1640625" style="23"/>
    <col min="4353" max="4353" width="7.83203125" style="23" customWidth="1"/>
    <col min="4354" max="4354" width="3.5" style="23" customWidth="1"/>
    <col min="4355" max="4355" width="24.6640625" style="23" customWidth="1"/>
    <col min="4356" max="4356" width="12.6640625" style="23" customWidth="1"/>
    <col min="4357" max="4357" width="15.6640625" style="23" customWidth="1"/>
    <col min="4358" max="4359" width="12.6640625" style="23" customWidth="1"/>
    <col min="4360" max="4360" width="3.5" style="23" customWidth="1"/>
    <col min="4361" max="4363" width="13.5" style="23" customWidth="1"/>
    <col min="4364" max="4608" width="9.1640625" style="23"/>
    <col min="4609" max="4609" width="7.83203125" style="23" customWidth="1"/>
    <col min="4610" max="4610" width="3.5" style="23" customWidth="1"/>
    <col min="4611" max="4611" width="24.6640625" style="23" customWidth="1"/>
    <col min="4612" max="4612" width="12.6640625" style="23" customWidth="1"/>
    <col min="4613" max="4613" width="15.6640625" style="23" customWidth="1"/>
    <col min="4614" max="4615" width="12.6640625" style="23" customWidth="1"/>
    <col min="4616" max="4616" width="3.5" style="23" customWidth="1"/>
    <col min="4617" max="4619" width="13.5" style="23" customWidth="1"/>
    <col min="4620" max="4864" width="9.1640625" style="23"/>
    <col min="4865" max="4865" width="7.83203125" style="23" customWidth="1"/>
    <col min="4866" max="4866" width="3.5" style="23" customWidth="1"/>
    <col min="4867" max="4867" width="24.6640625" style="23" customWidth="1"/>
    <col min="4868" max="4868" width="12.6640625" style="23" customWidth="1"/>
    <col min="4869" max="4869" width="15.6640625" style="23" customWidth="1"/>
    <col min="4870" max="4871" width="12.6640625" style="23" customWidth="1"/>
    <col min="4872" max="4872" width="3.5" style="23" customWidth="1"/>
    <col min="4873" max="4875" width="13.5" style="23" customWidth="1"/>
    <col min="4876" max="5120" width="9.1640625" style="23"/>
    <col min="5121" max="5121" width="7.83203125" style="23" customWidth="1"/>
    <col min="5122" max="5122" width="3.5" style="23" customWidth="1"/>
    <col min="5123" max="5123" width="24.6640625" style="23" customWidth="1"/>
    <col min="5124" max="5124" width="12.6640625" style="23" customWidth="1"/>
    <col min="5125" max="5125" width="15.6640625" style="23" customWidth="1"/>
    <col min="5126" max="5127" width="12.6640625" style="23" customWidth="1"/>
    <col min="5128" max="5128" width="3.5" style="23" customWidth="1"/>
    <col min="5129" max="5131" width="13.5" style="23" customWidth="1"/>
    <col min="5132" max="5376" width="9.1640625" style="23"/>
    <col min="5377" max="5377" width="7.83203125" style="23" customWidth="1"/>
    <col min="5378" max="5378" width="3.5" style="23" customWidth="1"/>
    <col min="5379" max="5379" width="24.6640625" style="23" customWidth="1"/>
    <col min="5380" max="5380" width="12.6640625" style="23" customWidth="1"/>
    <col min="5381" max="5381" width="15.6640625" style="23" customWidth="1"/>
    <col min="5382" max="5383" width="12.6640625" style="23" customWidth="1"/>
    <col min="5384" max="5384" width="3.5" style="23" customWidth="1"/>
    <col min="5385" max="5387" width="13.5" style="23" customWidth="1"/>
    <col min="5388" max="5632" width="9.1640625" style="23"/>
    <col min="5633" max="5633" width="7.83203125" style="23" customWidth="1"/>
    <col min="5634" max="5634" width="3.5" style="23" customWidth="1"/>
    <col min="5635" max="5635" width="24.6640625" style="23" customWidth="1"/>
    <col min="5636" max="5636" width="12.6640625" style="23" customWidth="1"/>
    <col min="5637" max="5637" width="15.6640625" style="23" customWidth="1"/>
    <col min="5638" max="5639" width="12.6640625" style="23" customWidth="1"/>
    <col min="5640" max="5640" width="3.5" style="23" customWidth="1"/>
    <col min="5641" max="5643" width="13.5" style="23" customWidth="1"/>
    <col min="5644" max="5888" width="9.1640625" style="23"/>
    <col min="5889" max="5889" width="7.83203125" style="23" customWidth="1"/>
    <col min="5890" max="5890" width="3.5" style="23" customWidth="1"/>
    <col min="5891" max="5891" width="24.6640625" style="23" customWidth="1"/>
    <col min="5892" max="5892" width="12.6640625" style="23" customWidth="1"/>
    <col min="5893" max="5893" width="15.6640625" style="23" customWidth="1"/>
    <col min="5894" max="5895" width="12.6640625" style="23" customWidth="1"/>
    <col min="5896" max="5896" width="3.5" style="23" customWidth="1"/>
    <col min="5897" max="5899" width="13.5" style="23" customWidth="1"/>
    <col min="5900" max="6144" width="9.1640625" style="23"/>
    <col min="6145" max="6145" width="7.83203125" style="23" customWidth="1"/>
    <col min="6146" max="6146" width="3.5" style="23" customWidth="1"/>
    <col min="6147" max="6147" width="24.6640625" style="23" customWidth="1"/>
    <col min="6148" max="6148" width="12.6640625" style="23" customWidth="1"/>
    <col min="6149" max="6149" width="15.6640625" style="23" customWidth="1"/>
    <col min="6150" max="6151" width="12.6640625" style="23" customWidth="1"/>
    <col min="6152" max="6152" width="3.5" style="23" customWidth="1"/>
    <col min="6153" max="6155" width="13.5" style="23" customWidth="1"/>
    <col min="6156" max="6400" width="9.1640625" style="23"/>
    <col min="6401" max="6401" width="7.83203125" style="23" customWidth="1"/>
    <col min="6402" max="6402" width="3.5" style="23" customWidth="1"/>
    <col min="6403" max="6403" width="24.6640625" style="23" customWidth="1"/>
    <col min="6404" max="6404" width="12.6640625" style="23" customWidth="1"/>
    <col min="6405" max="6405" width="15.6640625" style="23" customWidth="1"/>
    <col min="6406" max="6407" width="12.6640625" style="23" customWidth="1"/>
    <col min="6408" max="6408" width="3.5" style="23" customWidth="1"/>
    <col min="6409" max="6411" width="13.5" style="23" customWidth="1"/>
    <col min="6412" max="6656" width="9.1640625" style="23"/>
    <col min="6657" max="6657" width="7.83203125" style="23" customWidth="1"/>
    <col min="6658" max="6658" width="3.5" style="23" customWidth="1"/>
    <col min="6659" max="6659" width="24.6640625" style="23" customWidth="1"/>
    <col min="6660" max="6660" width="12.6640625" style="23" customWidth="1"/>
    <col min="6661" max="6661" width="15.6640625" style="23" customWidth="1"/>
    <col min="6662" max="6663" width="12.6640625" style="23" customWidth="1"/>
    <col min="6664" max="6664" width="3.5" style="23" customWidth="1"/>
    <col min="6665" max="6667" width="13.5" style="23" customWidth="1"/>
    <col min="6668" max="6912" width="9.1640625" style="23"/>
    <col min="6913" max="6913" width="7.83203125" style="23" customWidth="1"/>
    <col min="6914" max="6914" width="3.5" style="23" customWidth="1"/>
    <col min="6915" max="6915" width="24.6640625" style="23" customWidth="1"/>
    <col min="6916" max="6916" width="12.6640625" style="23" customWidth="1"/>
    <col min="6917" max="6917" width="15.6640625" style="23" customWidth="1"/>
    <col min="6918" max="6919" width="12.6640625" style="23" customWidth="1"/>
    <col min="6920" max="6920" width="3.5" style="23" customWidth="1"/>
    <col min="6921" max="6923" width="13.5" style="23" customWidth="1"/>
    <col min="6924" max="7168" width="9.1640625" style="23"/>
    <col min="7169" max="7169" width="7.83203125" style="23" customWidth="1"/>
    <col min="7170" max="7170" width="3.5" style="23" customWidth="1"/>
    <col min="7171" max="7171" width="24.6640625" style="23" customWidth="1"/>
    <col min="7172" max="7172" width="12.6640625" style="23" customWidth="1"/>
    <col min="7173" max="7173" width="15.6640625" style="23" customWidth="1"/>
    <col min="7174" max="7175" width="12.6640625" style="23" customWidth="1"/>
    <col min="7176" max="7176" width="3.5" style="23" customWidth="1"/>
    <col min="7177" max="7179" width="13.5" style="23" customWidth="1"/>
    <col min="7180" max="7424" width="9.1640625" style="23"/>
    <col min="7425" max="7425" width="7.83203125" style="23" customWidth="1"/>
    <col min="7426" max="7426" width="3.5" style="23" customWidth="1"/>
    <col min="7427" max="7427" width="24.6640625" style="23" customWidth="1"/>
    <col min="7428" max="7428" width="12.6640625" style="23" customWidth="1"/>
    <col min="7429" max="7429" width="15.6640625" style="23" customWidth="1"/>
    <col min="7430" max="7431" width="12.6640625" style="23" customWidth="1"/>
    <col min="7432" max="7432" width="3.5" style="23" customWidth="1"/>
    <col min="7433" max="7435" width="13.5" style="23" customWidth="1"/>
    <col min="7436" max="7680" width="9.1640625" style="23"/>
    <col min="7681" max="7681" width="7.83203125" style="23" customWidth="1"/>
    <col min="7682" max="7682" width="3.5" style="23" customWidth="1"/>
    <col min="7683" max="7683" width="24.6640625" style="23" customWidth="1"/>
    <col min="7684" max="7684" width="12.6640625" style="23" customWidth="1"/>
    <col min="7685" max="7685" width="15.6640625" style="23" customWidth="1"/>
    <col min="7686" max="7687" width="12.6640625" style="23" customWidth="1"/>
    <col min="7688" max="7688" width="3.5" style="23" customWidth="1"/>
    <col min="7689" max="7691" width="13.5" style="23" customWidth="1"/>
    <col min="7692" max="7936" width="9.1640625" style="23"/>
    <col min="7937" max="7937" width="7.83203125" style="23" customWidth="1"/>
    <col min="7938" max="7938" width="3.5" style="23" customWidth="1"/>
    <col min="7939" max="7939" width="24.6640625" style="23" customWidth="1"/>
    <col min="7940" max="7940" width="12.6640625" style="23" customWidth="1"/>
    <col min="7941" max="7941" width="15.6640625" style="23" customWidth="1"/>
    <col min="7942" max="7943" width="12.6640625" style="23" customWidth="1"/>
    <col min="7944" max="7944" width="3.5" style="23" customWidth="1"/>
    <col min="7945" max="7947" width="13.5" style="23" customWidth="1"/>
    <col min="7948" max="8192" width="9.1640625" style="23"/>
    <col min="8193" max="8193" width="7.83203125" style="23" customWidth="1"/>
    <col min="8194" max="8194" width="3.5" style="23" customWidth="1"/>
    <col min="8195" max="8195" width="24.6640625" style="23" customWidth="1"/>
    <col min="8196" max="8196" width="12.6640625" style="23" customWidth="1"/>
    <col min="8197" max="8197" width="15.6640625" style="23" customWidth="1"/>
    <col min="8198" max="8199" width="12.6640625" style="23" customWidth="1"/>
    <col min="8200" max="8200" width="3.5" style="23" customWidth="1"/>
    <col min="8201" max="8203" width="13.5" style="23" customWidth="1"/>
    <col min="8204" max="8448" width="9.1640625" style="23"/>
    <col min="8449" max="8449" width="7.83203125" style="23" customWidth="1"/>
    <col min="8450" max="8450" width="3.5" style="23" customWidth="1"/>
    <col min="8451" max="8451" width="24.6640625" style="23" customWidth="1"/>
    <col min="8452" max="8452" width="12.6640625" style="23" customWidth="1"/>
    <col min="8453" max="8453" width="15.6640625" style="23" customWidth="1"/>
    <col min="8454" max="8455" width="12.6640625" style="23" customWidth="1"/>
    <col min="8456" max="8456" width="3.5" style="23" customWidth="1"/>
    <col min="8457" max="8459" width="13.5" style="23" customWidth="1"/>
    <col min="8460" max="8704" width="9.1640625" style="23"/>
    <col min="8705" max="8705" width="7.83203125" style="23" customWidth="1"/>
    <col min="8706" max="8706" width="3.5" style="23" customWidth="1"/>
    <col min="8707" max="8707" width="24.6640625" style="23" customWidth="1"/>
    <col min="8708" max="8708" width="12.6640625" style="23" customWidth="1"/>
    <col min="8709" max="8709" width="15.6640625" style="23" customWidth="1"/>
    <col min="8710" max="8711" width="12.6640625" style="23" customWidth="1"/>
    <col min="8712" max="8712" width="3.5" style="23" customWidth="1"/>
    <col min="8713" max="8715" width="13.5" style="23" customWidth="1"/>
    <col min="8716" max="8960" width="9.1640625" style="23"/>
    <col min="8961" max="8961" width="7.83203125" style="23" customWidth="1"/>
    <col min="8962" max="8962" width="3.5" style="23" customWidth="1"/>
    <col min="8963" max="8963" width="24.6640625" style="23" customWidth="1"/>
    <col min="8964" max="8964" width="12.6640625" style="23" customWidth="1"/>
    <col min="8965" max="8965" width="15.6640625" style="23" customWidth="1"/>
    <col min="8966" max="8967" width="12.6640625" style="23" customWidth="1"/>
    <col min="8968" max="8968" width="3.5" style="23" customWidth="1"/>
    <col min="8969" max="8971" width="13.5" style="23" customWidth="1"/>
    <col min="8972" max="9216" width="9.1640625" style="23"/>
    <col min="9217" max="9217" width="7.83203125" style="23" customWidth="1"/>
    <col min="9218" max="9218" width="3.5" style="23" customWidth="1"/>
    <col min="9219" max="9219" width="24.6640625" style="23" customWidth="1"/>
    <col min="9220" max="9220" width="12.6640625" style="23" customWidth="1"/>
    <col min="9221" max="9221" width="15.6640625" style="23" customWidth="1"/>
    <col min="9222" max="9223" width="12.6640625" style="23" customWidth="1"/>
    <col min="9224" max="9224" width="3.5" style="23" customWidth="1"/>
    <col min="9225" max="9227" width="13.5" style="23" customWidth="1"/>
    <col min="9228" max="9472" width="9.1640625" style="23"/>
    <col min="9473" max="9473" width="7.83203125" style="23" customWidth="1"/>
    <col min="9474" max="9474" width="3.5" style="23" customWidth="1"/>
    <col min="9475" max="9475" width="24.6640625" style="23" customWidth="1"/>
    <col min="9476" max="9476" width="12.6640625" style="23" customWidth="1"/>
    <col min="9477" max="9477" width="15.6640625" style="23" customWidth="1"/>
    <col min="9478" max="9479" width="12.6640625" style="23" customWidth="1"/>
    <col min="9480" max="9480" width="3.5" style="23" customWidth="1"/>
    <col min="9481" max="9483" width="13.5" style="23" customWidth="1"/>
    <col min="9484" max="9728" width="9.1640625" style="23"/>
    <col min="9729" max="9729" width="7.83203125" style="23" customWidth="1"/>
    <col min="9730" max="9730" width="3.5" style="23" customWidth="1"/>
    <col min="9731" max="9731" width="24.6640625" style="23" customWidth="1"/>
    <col min="9732" max="9732" width="12.6640625" style="23" customWidth="1"/>
    <col min="9733" max="9733" width="15.6640625" style="23" customWidth="1"/>
    <col min="9734" max="9735" width="12.6640625" style="23" customWidth="1"/>
    <col min="9736" max="9736" width="3.5" style="23" customWidth="1"/>
    <col min="9737" max="9739" width="13.5" style="23" customWidth="1"/>
    <col min="9740" max="9984" width="9.1640625" style="23"/>
    <col min="9985" max="9985" width="7.83203125" style="23" customWidth="1"/>
    <col min="9986" max="9986" width="3.5" style="23" customWidth="1"/>
    <col min="9987" max="9987" width="24.6640625" style="23" customWidth="1"/>
    <col min="9988" max="9988" width="12.6640625" style="23" customWidth="1"/>
    <col min="9989" max="9989" width="15.6640625" style="23" customWidth="1"/>
    <col min="9990" max="9991" width="12.6640625" style="23" customWidth="1"/>
    <col min="9992" max="9992" width="3.5" style="23" customWidth="1"/>
    <col min="9993" max="9995" width="13.5" style="23" customWidth="1"/>
    <col min="9996" max="10240" width="9.1640625" style="23"/>
    <col min="10241" max="10241" width="7.83203125" style="23" customWidth="1"/>
    <col min="10242" max="10242" width="3.5" style="23" customWidth="1"/>
    <col min="10243" max="10243" width="24.6640625" style="23" customWidth="1"/>
    <col min="10244" max="10244" width="12.6640625" style="23" customWidth="1"/>
    <col min="10245" max="10245" width="15.6640625" style="23" customWidth="1"/>
    <col min="10246" max="10247" width="12.6640625" style="23" customWidth="1"/>
    <col min="10248" max="10248" width="3.5" style="23" customWidth="1"/>
    <col min="10249" max="10251" width="13.5" style="23" customWidth="1"/>
    <col min="10252" max="10496" width="9.1640625" style="23"/>
    <col min="10497" max="10497" width="7.83203125" style="23" customWidth="1"/>
    <col min="10498" max="10498" width="3.5" style="23" customWidth="1"/>
    <col min="10499" max="10499" width="24.6640625" style="23" customWidth="1"/>
    <col min="10500" max="10500" width="12.6640625" style="23" customWidth="1"/>
    <col min="10501" max="10501" width="15.6640625" style="23" customWidth="1"/>
    <col min="10502" max="10503" width="12.6640625" style="23" customWidth="1"/>
    <col min="10504" max="10504" width="3.5" style="23" customWidth="1"/>
    <col min="10505" max="10507" width="13.5" style="23" customWidth="1"/>
    <col min="10508" max="10752" width="9.1640625" style="23"/>
    <col min="10753" max="10753" width="7.83203125" style="23" customWidth="1"/>
    <col min="10754" max="10754" width="3.5" style="23" customWidth="1"/>
    <col min="10755" max="10755" width="24.6640625" style="23" customWidth="1"/>
    <col min="10756" max="10756" width="12.6640625" style="23" customWidth="1"/>
    <col min="10757" max="10757" width="15.6640625" style="23" customWidth="1"/>
    <col min="10758" max="10759" width="12.6640625" style="23" customWidth="1"/>
    <col min="10760" max="10760" width="3.5" style="23" customWidth="1"/>
    <col min="10761" max="10763" width="13.5" style="23" customWidth="1"/>
    <col min="10764" max="11008" width="9.1640625" style="23"/>
    <col min="11009" max="11009" width="7.83203125" style="23" customWidth="1"/>
    <col min="11010" max="11010" width="3.5" style="23" customWidth="1"/>
    <col min="11011" max="11011" width="24.6640625" style="23" customWidth="1"/>
    <col min="11012" max="11012" width="12.6640625" style="23" customWidth="1"/>
    <col min="11013" max="11013" width="15.6640625" style="23" customWidth="1"/>
    <col min="11014" max="11015" width="12.6640625" style="23" customWidth="1"/>
    <col min="11016" max="11016" width="3.5" style="23" customWidth="1"/>
    <col min="11017" max="11019" width="13.5" style="23" customWidth="1"/>
    <col min="11020" max="11264" width="9.1640625" style="23"/>
    <col min="11265" max="11265" width="7.83203125" style="23" customWidth="1"/>
    <col min="11266" max="11266" width="3.5" style="23" customWidth="1"/>
    <col min="11267" max="11267" width="24.6640625" style="23" customWidth="1"/>
    <col min="11268" max="11268" width="12.6640625" style="23" customWidth="1"/>
    <col min="11269" max="11269" width="15.6640625" style="23" customWidth="1"/>
    <col min="11270" max="11271" width="12.6640625" style="23" customWidth="1"/>
    <col min="11272" max="11272" width="3.5" style="23" customWidth="1"/>
    <col min="11273" max="11275" width="13.5" style="23" customWidth="1"/>
    <col min="11276" max="11520" width="9.1640625" style="23"/>
    <col min="11521" max="11521" width="7.83203125" style="23" customWidth="1"/>
    <col min="11522" max="11522" width="3.5" style="23" customWidth="1"/>
    <col min="11523" max="11523" width="24.6640625" style="23" customWidth="1"/>
    <col min="11524" max="11524" width="12.6640625" style="23" customWidth="1"/>
    <col min="11525" max="11525" width="15.6640625" style="23" customWidth="1"/>
    <col min="11526" max="11527" width="12.6640625" style="23" customWidth="1"/>
    <col min="11528" max="11528" width="3.5" style="23" customWidth="1"/>
    <col min="11529" max="11531" width="13.5" style="23" customWidth="1"/>
    <col min="11532" max="11776" width="9.1640625" style="23"/>
    <col min="11777" max="11777" width="7.83203125" style="23" customWidth="1"/>
    <col min="11778" max="11778" width="3.5" style="23" customWidth="1"/>
    <col min="11779" max="11779" width="24.6640625" style="23" customWidth="1"/>
    <col min="11780" max="11780" width="12.6640625" style="23" customWidth="1"/>
    <col min="11781" max="11781" width="15.6640625" style="23" customWidth="1"/>
    <col min="11782" max="11783" width="12.6640625" style="23" customWidth="1"/>
    <col min="11784" max="11784" width="3.5" style="23" customWidth="1"/>
    <col min="11785" max="11787" width="13.5" style="23" customWidth="1"/>
    <col min="11788" max="12032" width="9.1640625" style="23"/>
    <col min="12033" max="12033" width="7.83203125" style="23" customWidth="1"/>
    <col min="12034" max="12034" width="3.5" style="23" customWidth="1"/>
    <col min="12035" max="12035" width="24.6640625" style="23" customWidth="1"/>
    <col min="12036" max="12036" width="12.6640625" style="23" customWidth="1"/>
    <col min="12037" max="12037" width="15.6640625" style="23" customWidth="1"/>
    <col min="12038" max="12039" width="12.6640625" style="23" customWidth="1"/>
    <col min="12040" max="12040" width="3.5" style="23" customWidth="1"/>
    <col min="12041" max="12043" width="13.5" style="23" customWidth="1"/>
    <col min="12044" max="12288" width="9.1640625" style="23"/>
    <col min="12289" max="12289" width="7.83203125" style="23" customWidth="1"/>
    <col min="12290" max="12290" width="3.5" style="23" customWidth="1"/>
    <col min="12291" max="12291" width="24.6640625" style="23" customWidth="1"/>
    <col min="12292" max="12292" width="12.6640625" style="23" customWidth="1"/>
    <col min="12293" max="12293" width="15.6640625" style="23" customWidth="1"/>
    <col min="12294" max="12295" width="12.6640625" style="23" customWidth="1"/>
    <col min="12296" max="12296" width="3.5" style="23" customWidth="1"/>
    <col min="12297" max="12299" width="13.5" style="23" customWidth="1"/>
    <col min="12300" max="12544" width="9.1640625" style="23"/>
    <col min="12545" max="12545" width="7.83203125" style="23" customWidth="1"/>
    <col min="12546" max="12546" width="3.5" style="23" customWidth="1"/>
    <col min="12547" max="12547" width="24.6640625" style="23" customWidth="1"/>
    <col min="12548" max="12548" width="12.6640625" style="23" customWidth="1"/>
    <col min="12549" max="12549" width="15.6640625" style="23" customWidth="1"/>
    <col min="12550" max="12551" width="12.6640625" style="23" customWidth="1"/>
    <col min="12552" max="12552" width="3.5" style="23" customWidth="1"/>
    <col min="12553" max="12555" width="13.5" style="23" customWidth="1"/>
    <col min="12556" max="12800" width="9.1640625" style="23"/>
    <col min="12801" max="12801" width="7.83203125" style="23" customWidth="1"/>
    <col min="12802" max="12802" width="3.5" style="23" customWidth="1"/>
    <col min="12803" max="12803" width="24.6640625" style="23" customWidth="1"/>
    <col min="12804" max="12804" width="12.6640625" style="23" customWidth="1"/>
    <col min="12805" max="12805" width="15.6640625" style="23" customWidth="1"/>
    <col min="12806" max="12807" width="12.6640625" style="23" customWidth="1"/>
    <col min="12808" max="12808" width="3.5" style="23" customWidth="1"/>
    <col min="12809" max="12811" width="13.5" style="23" customWidth="1"/>
    <col min="12812" max="13056" width="9.1640625" style="23"/>
    <col min="13057" max="13057" width="7.83203125" style="23" customWidth="1"/>
    <col min="13058" max="13058" width="3.5" style="23" customWidth="1"/>
    <col min="13059" max="13059" width="24.6640625" style="23" customWidth="1"/>
    <col min="13060" max="13060" width="12.6640625" style="23" customWidth="1"/>
    <col min="13061" max="13061" width="15.6640625" style="23" customWidth="1"/>
    <col min="13062" max="13063" width="12.6640625" style="23" customWidth="1"/>
    <col min="13064" max="13064" width="3.5" style="23" customWidth="1"/>
    <col min="13065" max="13067" width="13.5" style="23" customWidth="1"/>
    <col min="13068" max="13312" width="9.1640625" style="23"/>
    <col min="13313" max="13313" width="7.83203125" style="23" customWidth="1"/>
    <col min="13314" max="13314" width="3.5" style="23" customWidth="1"/>
    <col min="13315" max="13315" width="24.6640625" style="23" customWidth="1"/>
    <col min="13316" max="13316" width="12.6640625" style="23" customWidth="1"/>
    <col min="13317" max="13317" width="15.6640625" style="23" customWidth="1"/>
    <col min="13318" max="13319" width="12.6640625" style="23" customWidth="1"/>
    <col min="13320" max="13320" width="3.5" style="23" customWidth="1"/>
    <col min="13321" max="13323" width="13.5" style="23" customWidth="1"/>
    <col min="13324" max="13568" width="9.1640625" style="23"/>
    <col min="13569" max="13569" width="7.83203125" style="23" customWidth="1"/>
    <col min="13570" max="13570" width="3.5" style="23" customWidth="1"/>
    <col min="13571" max="13571" width="24.6640625" style="23" customWidth="1"/>
    <col min="13572" max="13572" width="12.6640625" style="23" customWidth="1"/>
    <col min="13573" max="13573" width="15.6640625" style="23" customWidth="1"/>
    <col min="13574" max="13575" width="12.6640625" style="23" customWidth="1"/>
    <col min="13576" max="13576" width="3.5" style="23" customWidth="1"/>
    <col min="13577" max="13579" width="13.5" style="23" customWidth="1"/>
    <col min="13580" max="13824" width="9.1640625" style="23"/>
    <col min="13825" max="13825" width="7.83203125" style="23" customWidth="1"/>
    <col min="13826" max="13826" width="3.5" style="23" customWidth="1"/>
    <col min="13827" max="13827" width="24.6640625" style="23" customWidth="1"/>
    <col min="13828" max="13828" width="12.6640625" style="23" customWidth="1"/>
    <col min="13829" max="13829" width="15.6640625" style="23" customWidth="1"/>
    <col min="13830" max="13831" width="12.6640625" style="23" customWidth="1"/>
    <col min="13832" max="13832" width="3.5" style="23" customWidth="1"/>
    <col min="13833" max="13835" width="13.5" style="23" customWidth="1"/>
    <col min="13836" max="14080" width="9.1640625" style="23"/>
    <col min="14081" max="14081" width="7.83203125" style="23" customWidth="1"/>
    <col min="14082" max="14082" width="3.5" style="23" customWidth="1"/>
    <col min="14083" max="14083" width="24.6640625" style="23" customWidth="1"/>
    <col min="14084" max="14084" width="12.6640625" style="23" customWidth="1"/>
    <col min="14085" max="14085" width="15.6640625" style="23" customWidth="1"/>
    <col min="14086" max="14087" width="12.6640625" style="23" customWidth="1"/>
    <col min="14088" max="14088" width="3.5" style="23" customWidth="1"/>
    <col min="14089" max="14091" width="13.5" style="23" customWidth="1"/>
    <col min="14092" max="14336" width="9.1640625" style="23"/>
    <col min="14337" max="14337" width="7.83203125" style="23" customWidth="1"/>
    <col min="14338" max="14338" width="3.5" style="23" customWidth="1"/>
    <col min="14339" max="14339" width="24.6640625" style="23" customWidth="1"/>
    <col min="14340" max="14340" width="12.6640625" style="23" customWidth="1"/>
    <col min="14341" max="14341" width="15.6640625" style="23" customWidth="1"/>
    <col min="14342" max="14343" width="12.6640625" style="23" customWidth="1"/>
    <col min="14344" max="14344" width="3.5" style="23" customWidth="1"/>
    <col min="14345" max="14347" width="13.5" style="23" customWidth="1"/>
    <col min="14348" max="14592" width="9.1640625" style="23"/>
    <col min="14593" max="14593" width="7.83203125" style="23" customWidth="1"/>
    <col min="14594" max="14594" width="3.5" style="23" customWidth="1"/>
    <col min="14595" max="14595" width="24.6640625" style="23" customWidth="1"/>
    <col min="14596" max="14596" width="12.6640625" style="23" customWidth="1"/>
    <col min="14597" max="14597" width="15.6640625" style="23" customWidth="1"/>
    <col min="14598" max="14599" width="12.6640625" style="23" customWidth="1"/>
    <col min="14600" max="14600" width="3.5" style="23" customWidth="1"/>
    <col min="14601" max="14603" width="13.5" style="23" customWidth="1"/>
    <col min="14604" max="14848" width="9.1640625" style="23"/>
    <col min="14849" max="14849" width="7.83203125" style="23" customWidth="1"/>
    <col min="14850" max="14850" width="3.5" style="23" customWidth="1"/>
    <col min="14851" max="14851" width="24.6640625" style="23" customWidth="1"/>
    <col min="14852" max="14852" width="12.6640625" style="23" customWidth="1"/>
    <col min="14853" max="14853" width="15.6640625" style="23" customWidth="1"/>
    <col min="14854" max="14855" width="12.6640625" style="23" customWidth="1"/>
    <col min="14856" max="14856" width="3.5" style="23" customWidth="1"/>
    <col min="14857" max="14859" width="13.5" style="23" customWidth="1"/>
    <col min="14860" max="15104" width="9.1640625" style="23"/>
    <col min="15105" max="15105" width="7.83203125" style="23" customWidth="1"/>
    <col min="15106" max="15106" width="3.5" style="23" customWidth="1"/>
    <col min="15107" max="15107" width="24.6640625" style="23" customWidth="1"/>
    <col min="15108" max="15108" width="12.6640625" style="23" customWidth="1"/>
    <col min="15109" max="15109" width="15.6640625" style="23" customWidth="1"/>
    <col min="15110" max="15111" width="12.6640625" style="23" customWidth="1"/>
    <col min="15112" max="15112" width="3.5" style="23" customWidth="1"/>
    <col min="15113" max="15115" width="13.5" style="23" customWidth="1"/>
    <col min="15116" max="15360" width="9.1640625" style="23"/>
    <col min="15361" max="15361" width="7.83203125" style="23" customWidth="1"/>
    <col min="15362" max="15362" width="3.5" style="23" customWidth="1"/>
    <col min="15363" max="15363" width="24.6640625" style="23" customWidth="1"/>
    <col min="15364" max="15364" width="12.6640625" style="23" customWidth="1"/>
    <col min="15365" max="15365" width="15.6640625" style="23" customWidth="1"/>
    <col min="15366" max="15367" width="12.6640625" style="23" customWidth="1"/>
    <col min="15368" max="15368" width="3.5" style="23" customWidth="1"/>
    <col min="15369" max="15371" width="13.5" style="23" customWidth="1"/>
    <col min="15372" max="15616" width="9.1640625" style="23"/>
    <col min="15617" max="15617" width="7.83203125" style="23" customWidth="1"/>
    <col min="15618" max="15618" width="3.5" style="23" customWidth="1"/>
    <col min="15619" max="15619" width="24.6640625" style="23" customWidth="1"/>
    <col min="15620" max="15620" width="12.6640625" style="23" customWidth="1"/>
    <col min="15621" max="15621" width="15.6640625" style="23" customWidth="1"/>
    <col min="15622" max="15623" width="12.6640625" style="23" customWidth="1"/>
    <col min="15624" max="15624" width="3.5" style="23" customWidth="1"/>
    <col min="15625" max="15627" width="13.5" style="23" customWidth="1"/>
    <col min="15628" max="15872" width="9.1640625" style="23"/>
    <col min="15873" max="15873" width="7.83203125" style="23" customWidth="1"/>
    <col min="15874" max="15874" width="3.5" style="23" customWidth="1"/>
    <col min="15875" max="15875" width="24.6640625" style="23" customWidth="1"/>
    <col min="15876" max="15876" width="12.6640625" style="23" customWidth="1"/>
    <col min="15877" max="15877" width="15.6640625" style="23" customWidth="1"/>
    <col min="15878" max="15879" width="12.6640625" style="23" customWidth="1"/>
    <col min="15880" max="15880" width="3.5" style="23" customWidth="1"/>
    <col min="15881" max="15883" width="13.5" style="23" customWidth="1"/>
    <col min="15884" max="16128" width="9.1640625" style="23"/>
    <col min="16129" max="16129" width="7.83203125" style="23" customWidth="1"/>
    <col min="16130" max="16130" width="3.5" style="23" customWidth="1"/>
    <col min="16131" max="16131" width="24.6640625" style="23" customWidth="1"/>
    <col min="16132" max="16132" width="12.6640625" style="23" customWidth="1"/>
    <col min="16133" max="16133" width="15.6640625" style="23" customWidth="1"/>
    <col min="16134" max="16135" width="12.6640625" style="23" customWidth="1"/>
    <col min="16136" max="16136" width="3.5" style="23" customWidth="1"/>
    <col min="16137" max="16139" width="13.5" style="23" customWidth="1"/>
    <col min="16140" max="16384" width="9.1640625" style="23"/>
  </cols>
  <sheetData>
    <row r="1" spans="1:9" ht="23" x14ac:dyDescent="0.25">
      <c r="A1" s="21" t="s">
        <v>613</v>
      </c>
      <c r="B1" s="22"/>
      <c r="C1" s="22"/>
      <c r="D1" s="22"/>
      <c r="E1" s="22"/>
      <c r="F1" s="22"/>
      <c r="G1" s="22"/>
      <c r="H1" s="96"/>
      <c r="I1" s="96"/>
    </row>
    <row r="2" spans="1:9" ht="16" x14ac:dyDescent="0.2">
      <c r="A2" s="24"/>
      <c r="B2" s="96"/>
      <c r="C2" s="96"/>
      <c r="D2" s="96"/>
      <c r="E2" s="96"/>
      <c r="F2" s="96"/>
      <c r="G2" s="96"/>
      <c r="H2" s="96"/>
      <c r="I2" s="96" t="s">
        <v>603</v>
      </c>
    </row>
    <row r="3" spans="1:9" ht="16" x14ac:dyDescent="0.2">
      <c r="A3" s="25"/>
      <c r="B3" s="96"/>
      <c r="C3" s="26"/>
      <c r="D3" s="97"/>
      <c r="E3" s="97"/>
      <c r="F3" s="97"/>
      <c r="G3" s="96"/>
      <c r="H3" s="96"/>
      <c r="I3" s="27"/>
    </row>
    <row r="4" spans="1:9" x14ac:dyDescent="0.15">
      <c r="A4" s="98"/>
      <c r="B4" s="96"/>
      <c r="C4" s="26"/>
      <c r="D4" s="97"/>
      <c r="E4" s="97"/>
      <c r="F4" s="97"/>
      <c r="G4" s="96"/>
      <c r="H4" s="96"/>
      <c r="I4" s="96"/>
    </row>
    <row r="5" spans="1:9" x14ac:dyDescent="0.15">
      <c r="A5" s="99"/>
      <c r="B5" s="96"/>
      <c r="C5" s="26"/>
      <c r="D5" s="97"/>
      <c r="E5" s="97"/>
      <c r="F5" s="97"/>
      <c r="G5" s="96"/>
      <c r="H5" s="96"/>
      <c r="I5" s="96"/>
    </row>
    <row r="23" spans="2:11" x14ac:dyDescent="0.15">
      <c r="B23" s="28" t="s">
        <v>614</v>
      </c>
      <c r="C23" s="96"/>
      <c r="D23" s="96"/>
      <c r="E23" s="96"/>
      <c r="F23" s="96"/>
      <c r="G23" s="96"/>
      <c r="H23" s="96"/>
      <c r="I23" s="96"/>
      <c r="J23" s="96"/>
      <c r="K23" s="96"/>
    </row>
    <row r="28" spans="2:11" ht="16" x14ac:dyDescent="0.2">
      <c r="B28" s="96"/>
      <c r="C28" s="96"/>
      <c r="D28" s="29" t="str">
        <f ca="1">"The first "&amp;COUNT(I33:I47)&amp;" "&amp;C32&amp;" cover "&amp;TEXT(OFFSET(E32,COUNT(I33:I47),0,1,1),"0.??%")&amp;" of the Total "&amp;D32</f>
        <v>The first 3 Causes cover 87.96% of the Total Defects</v>
      </c>
      <c r="E28" s="96"/>
      <c r="F28" s="96"/>
      <c r="G28" s="96"/>
      <c r="H28" s="96"/>
      <c r="I28" s="96"/>
      <c r="J28" s="96"/>
      <c r="K28" s="96"/>
    </row>
    <row r="31" spans="2:11" x14ac:dyDescent="0.15">
      <c r="B31" s="96"/>
      <c r="C31" s="96"/>
      <c r="D31" s="100" t="s">
        <v>615</v>
      </c>
      <c r="E31" s="101">
        <v>0.8</v>
      </c>
      <c r="F31" s="96"/>
      <c r="G31" s="96"/>
      <c r="H31" s="96"/>
      <c r="I31" s="96"/>
      <c r="J31" s="96"/>
      <c r="K31" s="96"/>
    </row>
    <row r="32" spans="2:11" ht="16" x14ac:dyDescent="0.2">
      <c r="B32" s="30" t="s">
        <v>616</v>
      </c>
      <c r="C32" s="31" t="s">
        <v>617</v>
      </c>
      <c r="D32" s="32" t="s">
        <v>618</v>
      </c>
      <c r="E32" s="30" t="s">
        <v>619</v>
      </c>
      <c r="F32" s="96"/>
      <c r="G32" s="96"/>
      <c r="H32" s="96"/>
      <c r="I32" s="33" t="s">
        <v>620</v>
      </c>
      <c r="J32" s="33" t="s">
        <v>621</v>
      </c>
      <c r="K32" s="33" t="s">
        <v>622</v>
      </c>
    </row>
    <row r="33" spans="2:11" x14ac:dyDescent="0.15">
      <c r="B33" s="102">
        <f t="shared" ref="B33:B47" si="0">ROW(B33)-ROW($B$32)</f>
        <v>1</v>
      </c>
      <c r="C33" s="103" t="s">
        <v>623</v>
      </c>
      <c r="D33" s="104">
        <v>50</v>
      </c>
      <c r="E33" s="105">
        <f>SUM(D33:D$33)/SUM($D$33:$D$47)</f>
        <v>0.46296296296296297</v>
      </c>
      <c r="F33" s="96"/>
      <c r="G33" s="96"/>
      <c r="H33" s="96"/>
      <c r="I33" s="34">
        <f t="shared" ref="I33:I47" ca="1" si="1">IF(OR(B33=1,OFFSET($E$32,B33-1,0,1,1)&lt;=$E$31),OFFSET($D$32,B33,0,1,1),"")</f>
        <v>50</v>
      </c>
      <c r="J33" s="35" t="str">
        <f t="shared" ref="J33:J47" ca="1" si="2">IF(I33="",OFFSET($D$32,B33,0,1,1),"")</f>
        <v/>
      </c>
      <c r="K33" s="36">
        <f t="shared" ref="K33:K47" si="3">$E$31</f>
        <v>0.8</v>
      </c>
    </row>
    <row r="34" spans="2:11" x14ac:dyDescent="0.15">
      <c r="B34" s="102">
        <f t="shared" si="0"/>
        <v>2</v>
      </c>
      <c r="C34" s="103" t="s">
        <v>624</v>
      </c>
      <c r="D34" s="104">
        <v>30</v>
      </c>
      <c r="E34" s="105">
        <f>SUM(D$33:D34)/SUM($D$33:$D$47)</f>
        <v>0.7407407407407407</v>
      </c>
      <c r="F34" s="96"/>
      <c r="G34" s="96"/>
      <c r="H34" s="96"/>
      <c r="I34" s="34">
        <f t="shared" ca="1" si="1"/>
        <v>30</v>
      </c>
      <c r="J34" s="35" t="str">
        <f t="shared" ca="1" si="2"/>
        <v/>
      </c>
      <c r="K34" s="36">
        <f t="shared" si="3"/>
        <v>0.8</v>
      </c>
    </row>
    <row r="35" spans="2:11" x14ac:dyDescent="0.15">
      <c r="B35" s="102">
        <f t="shared" si="0"/>
        <v>3</v>
      </c>
      <c r="C35" s="103" t="s">
        <v>625</v>
      </c>
      <c r="D35" s="104">
        <v>15</v>
      </c>
      <c r="E35" s="105">
        <f>SUM(D$33:D35)/SUM($D$33:$D$47)</f>
        <v>0.87962962962962965</v>
      </c>
      <c r="F35" s="96"/>
      <c r="G35" s="96"/>
      <c r="H35" s="96"/>
      <c r="I35" s="34">
        <f t="shared" ca="1" si="1"/>
        <v>15</v>
      </c>
      <c r="J35" s="35" t="str">
        <f t="shared" ca="1" si="2"/>
        <v/>
      </c>
      <c r="K35" s="36">
        <f t="shared" si="3"/>
        <v>0.8</v>
      </c>
    </row>
    <row r="36" spans="2:11" x14ac:dyDescent="0.15">
      <c r="B36" s="102">
        <f t="shared" si="0"/>
        <v>4</v>
      </c>
      <c r="C36" s="103" t="s">
        <v>626</v>
      </c>
      <c r="D36" s="104">
        <v>5</v>
      </c>
      <c r="E36" s="105">
        <f>SUM(D$33:D36)/SUM($D$33:$D$47)</f>
        <v>0.92592592592592593</v>
      </c>
      <c r="F36" s="96"/>
      <c r="G36" s="96"/>
      <c r="H36" s="96"/>
      <c r="I36" s="34" t="str">
        <f t="shared" ca="1" si="1"/>
        <v/>
      </c>
      <c r="J36" s="35">
        <f t="shared" ca="1" si="2"/>
        <v>5</v>
      </c>
      <c r="K36" s="36">
        <f t="shared" si="3"/>
        <v>0.8</v>
      </c>
    </row>
    <row r="37" spans="2:11" x14ac:dyDescent="0.15">
      <c r="B37" s="102">
        <f t="shared" si="0"/>
        <v>5</v>
      </c>
      <c r="C37" s="103" t="s">
        <v>627</v>
      </c>
      <c r="D37" s="104">
        <v>3</v>
      </c>
      <c r="E37" s="105">
        <f>SUM(D$33:D37)/SUM($D$33:$D$47)</f>
        <v>0.95370370370370372</v>
      </c>
      <c r="F37" s="96"/>
      <c r="G37" s="96"/>
      <c r="H37" s="96"/>
      <c r="I37" s="34" t="str">
        <f t="shared" ca="1" si="1"/>
        <v/>
      </c>
      <c r="J37" s="35">
        <f t="shared" ca="1" si="2"/>
        <v>3</v>
      </c>
      <c r="K37" s="36">
        <f t="shared" si="3"/>
        <v>0.8</v>
      </c>
    </row>
    <row r="38" spans="2:11" x14ac:dyDescent="0.15">
      <c r="B38" s="102">
        <f t="shared" si="0"/>
        <v>6</v>
      </c>
      <c r="C38" s="103" t="s">
        <v>628</v>
      </c>
      <c r="D38" s="104">
        <v>2</v>
      </c>
      <c r="E38" s="105">
        <f>SUM(D$33:D38)/SUM($D$33:$D$47)</f>
        <v>0.97222222222222221</v>
      </c>
      <c r="F38" s="96"/>
      <c r="G38" s="96"/>
      <c r="H38" s="96"/>
      <c r="I38" s="34" t="str">
        <f t="shared" ca="1" si="1"/>
        <v/>
      </c>
      <c r="J38" s="35">
        <f t="shared" ca="1" si="2"/>
        <v>2</v>
      </c>
      <c r="K38" s="36">
        <f t="shared" si="3"/>
        <v>0.8</v>
      </c>
    </row>
    <row r="39" spans="2:11" x14ac:dyDescent="0.15">
      <c r="B39" s="102">
        <f t="shared" si="0"/>
        <v>7</v>
      </c>
      <c r="C39" s="103" t="s">
        <v>629</v>
      </c>
      <c r="D39" s="104">
        <v>1</v>
      </c>
      <c r="E39" s="105">
        <f>SUM(D$33:D39)/SUM($D$33:$D$47)</f>
        <v>0.98148148148148151</v>
      </c>
      <c r="F39" s="96"/>
      <c r="G39" s="96"/>
      <c r="H39" s="96"/>
      <c r="I39" s="34" t="str">
        <f t="shared" ca="1" si="1"/>
        <v/>
      </c>
      <c r="J39" s="35">
        <f t="shared" ca="1" si="2"/>
        <v>1</v>
      </c>
      <c r="K39" s="36">
        <f t="shared" si="3"/>
        <v>0.8</v>
      </c>
    </row>
    <row r="40" spans="2:11" x14ac:dyDescent="0.15">
      <c r="B40" s="102">
        <f t="shared" si="0"/>
        <v>8</v>
      </c>
      <c r="C40" s="103" t="s">
        <v>630</v>
      </c>
      <c r="D40" s="104">
        <v>1</v>
      </c>
      <c r="E40" s="105">
        <f>SUM(D$33:D40)/SUM($D$33:$D$47)</f>
        <v>0.9907407407407407</v>
      </c>
      <c r="F40" s="96"/>
      <c r="G40" s="96"/>
      <c r="H40" s="96"/>
      <c r="I40" s="34" t="str">
        <f t="shared" ca="1" si="1"/>
        <v/>
      </c>
      <c r="J40" s="35">
        <f t="shared" ca="1" si="2"/>
        <v>1</v>
      </c>
      <c r="K40" s="36">
        <f t="shared" si="3"/>
        <v>0.8</v>
      </c>
    </row>
    <row r="41" spans="2:11" x14ac:dyDescent="0.15">
      <c r="B41" s="102">
        <f t="shared" si="0"/>
        <v>9</v>
      </c>
      <c r="C41" s="103" t="s">
        <v>631</v>
      </c>
      <c r="D41" s="104">
        <v>1</v>
      </c>
      <c r="E41" s="105">
        <f>SUM(D$33:D41)/SUM($D$33:$D$47)</f>
        <v>1</v>
      </c>
      <c r="F41" s="96"/>
      <c r="G41" s="96"/>
      <c r="H41" s="96"/>
      <c r="I41" s="34" t="str">
        <f t="shared" ca="1" si="1"/>
        <v/>
      </c>
      <c r="J41" s="35">
        <f t="shared" ca="1" si="2"/>
        <v>1</v>
      </c>
      <c r="K41" s="36">
        <f t="shared" si="3"/>
        <v>0.8</v>
      </c>
    </row>
    <row r="42" spans="2:11" x14ac:dyDescent="0.15">
      <c r="B42" s="102">
        <f t="shared" si="0"/>
        <v>10</v>
      </c>
      <c r="C42" s="103"/>
      <c r="D42" s="104"/>
      <c r="E42" s="105">
        <f>SUM(D$33:D42)/SUM($D$33:$D$47)</f>
        <v>1</v>
      </c>
      <c r="F42" s="96"/>
      <c r="G42" s="96"/>
      <c r="H42" s="96"/>
      <c r="I42" s="34" t="str">
        <f t="shared" ca="1" si="1"/>
        <v/>
      </c>
      <c r="J42" s="35">
        <f t="shared" ca="1" si="2"/>
        <v>0</v>
      </c>
      <c r="K42" s="36">
        <f t="shared" si="3"/>
        <v>0.8</v>
      </c>
    </row>
    <row r="43" spans="2:11" x14ac:dyDescent="0.15">
      <c r="B43" s="102">
        <f t="shared" si="0"/>
        <v>11</v>
      </c>
      <c r="C43" s="103"/>
      <c r="D43" s="104"/>
      <c r="E43" s="105">
        <f>SUM(D$33:D43)/SUM($D$33:$D$47)</f>
        <v>1</v>
      </c>
      <c r="F43" s="96"/>
      <c r="G43" s="96"/>
      <c r="H43" s="96"/>
      <c r="I43" s="34" t="str">
        <f t="shared" ca="1" si="1"/>
        <v/>
      </c>
      <c r="J43" s="35">
        <f t="shared" ca="1" si="2"/>
        <v>0</v>
      </c>
      <c r="K43" s="36">
        <f t="shared" si="3"/>
        <v>0.8</v>
      </c>
    </row>
    <row r="44" spans="2:11" x14ac:dyDescent="0.15">
      <c r="B44" s="102">
        <f t="shared" si="0"/>
        <v>12</v>
      </c>
      <c r="C44" s="103"/>
      <c r="D44" s="104"/>
      <c r="E44" s="105">
        <f>SUM(D$33:D44)/SUM($D$33:$D$47)</f>
        <v>1</v>
      </c>
      <c r="F44" s="96"/>
      <c r="G44" s="96"/>
      <c r="H44" s="96"/>
      <c r="I44" s="34" t="str">
        <f t="shared" ca="1" si="1"/>
        <v/>
      </c>
      <c r="J44" s="35">
        <f t="shared" ca="1" si="2"/>
        <v>0</v>
      </c>
      <c r="K44" s="36">
        <f t="shared" si="3"/>
        <v>0.8</v>
      </c>
    </row>
    <row r="45" spans="2:11" x14ac:dyDescent="0.15">
      <c r="B45" s="102">
        <f t="shared" si="0"/>
        <v>13</v>
      </c>
      <c r="C45" s="103"/>
      <c r="D45" s="104"/>
      <c r="E45" s="105">
        <f>SUM(D$33:D45)/SUM($D$33:$D$47)</f>
        <v>1</v>
      </c>
      <c r="F45" s="96"/>
      <c r="G45" s="96"/>
      <c r="H45" s="96"/>
      <c r="I45" s="34" t="str">
        <f t="shared" ca="1" si="1"/>
        <v/>
      </c>
      <c r="J45" s="35">
        <f t="shared" ca="1" si="2"/>
        <v>0</v>
      </c>
      <c r="K45" s="36">
        <f t="shared" si="3"/>
        <v>0.8</v>
      </c>
    </row>
    <row r="46" spans="2:11" x14ac:dyDescent="0.15">
      <c r="B46" s="102">
        <f t="shared" si="0"/>
        <v>14</v>
      </c>
      <c r="C46" s="103"/>
      <c r="D46" s="104"/>
      <c r="E46" s="105">
        <f>SUM(D$33:D46)/SUM($D$33:$D$47)</f>
        <v>1</v>
      </c>
      <c r="F46" s="96"/>
      <c r="G46" s="96"/>
      <c r="H46" s="96"/>
      <c r="I46" s="34" t="str">
        <f t="shared" ca="1" si="1"/>
        <v/>
      </c>
      <c r="J46" s="35">
        <f t="shared" ca="1" si="2"/>
        <v>0</v>
      </c>
      <c r="K46" s="36">
        <f t="shared" si="3"/>
        <v>0.8</v>
      </c>
    </row>
    <row r="47" spans="2:11" x14ac:dyDescent="0.15">
      <c r="B47" s="102">
        <f t="shared" si="0"/>
        <v>15</v>
      </c>
      <c r="C47" s="103"/>
      <c r="D47" s="104"/>
      <c r="E47" s="105">
        <f>SUM(D$33:D47)/SUM($D$33:$D$47)</f>
        <v>1</v>
      </c>
      <c r="F47" s="96"/>
      <c r="G47" s="96"/>
      <c r="H47" s="96"/>
      <c r="I47" s="34" t="str">
        <f t="shared" ca="1" si="1"/>
        <v/>
      </c>
      <c r="J47" s="35">
        <f t="shared" ca="1" si="2"/>
        <v>0</v>
      </c>
      <c r="K47" s="36">
        <f t="shared" si="3"/>
        <v>0.8</v>
      </c>
    </row>
    <row r="48" spans="2:11" x14ac:dyDescent="0.15">
      <c r="B48" s="37" t="s">
        <v>632</v>
      </c>
      <c r="C48" s="22"/>
      <c r="D48" s="22"/>
      <c r="E48" s="22"/>
      <c r="F48" s="96"/>
      <c r="G48" s="96"/>
      <c r="H48" s="96"/>
      <c r="I48" s="22"/>
      <c r="J48" s="22"/>
      <c r="K48" s="22"/>
    </row>
  </sheetData>
  <sheetProtection formatCells="0" formatColumns="0" formatRows="0" insertColumns="0" insertRows="0" insertHyperlinks="0" deleteColumns="0" deleteRows="0" sort="0"/>
  <printOptions horizontalCentered="1"/>
  <pageMargins left="0.75" right="0.75" top="0.5" bottom="0.5" header="0.5" footer="0.25"/>
  <pageSetup fitToHeight="0" orientation="portrait" r:id="rId1"/>
  <headerFooter alignWithMargins="0">
    <oddFooter>&amp;L&amp;8© 2009 Vertex42 LLC&amp;R&amp;8Templates by Vertex42.com</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81BFF-6C88-41B3-ABFD-111550758599}">
  <dimension ref="B1:G11"/>
  <sheetViews>
    <sheetView showGridLines="0" workbookViewId="0">
      <selection sqref="A1:XFD1048576"/>
    </sheetView>
  </sheetViews>
  <sheetFormatPr baseColWidth="10" defaultColWidth="9.1640625" defaultRowHeight="15" x14ac:dyDescent="0.2"/>
  <cols>
    <col min="1" max="1" width="4.5" style="40" customWidth="1"/>
    <col min="2" max="2" width="5.83203125" style="40" customWidth="1"/>
    <col min="3" max="3" width="24.5" style="40" customWidth="1"/>
    <col min="4" max="5" width="31.1640625" style="40" customWidth="1"/>
    <col min="6" max="6" width="12.83203125" style="40" customWidth="1"/>
    <col min="7" max="7" width="16" style="40" customWidth="1"/>
    <col min="8" max="16384" width="9.1640625" style="40"/>
  </cols>
  <sheetData>
    <row r="1" spans="2:7" ht="16" thickBot="1" x14ac:dyDescent="0.25"/>
    <row r="2" spans="2:7" ht="19" thickBot="1" x14ac:dyDescent="0.25">
      <c r="B2" s="244" t="s">
        <v>633</v>
      </c>
      <c r="C2" s="245"/>
      <c r="D2" s="245"/>
      <c r="E2" s="245"/>
      <c r="F2" s="245"/>
      <c r="G2" s="246"/>
    </row>
    <row r="3" spans="2:7" ht="28" x14ac:dyDescent="0.2">
      <c r="B3" s="52" t="s">
        <v>6</v>
      </c>
      <c r="C3" s="53" t="s">
        <v>634</v>
      </c>
      <c r="D3" s="53" t="s">
        <v>635</v>
      </c>
      <c r="E3" s="53" t="s">
        <v>636</v>
      </c>
      <c r="F3" s="53" t="s">
        <v>637</v>
      </c>
      <c r="G3" s="54" t="s">
        <v>638</v>
      </c>
    </row>
    <row r="4" spans="2:7" x14ac:dyDescent="0.2">
      <c r="B4" s="68"/>
      <c r="C4" s="38"/>
      <c r="D4" s="38"/>
      <c r="E4" s="38"/>
      <c r="F4" s="87"/>
      <c r="G4" s="88"/>
    </row>
    <row r="5" spans="2:7" x14ac:dyDescent="0.2">
      <c r="B5" s="69"/>
      <c r="C5" s="39"/>
      <c r="D5" s="39"/>
      <c r="E5" s="39"/>
      <c r="F5" s="89"/>
      <c r="G5" s="90"/>
    </row>
    <row r="6" spans="2:7" x14ac:dyDescent="0.2">
      <c r="B6" s="69"/>
      <c r="C6" s="39"/>
      <c r="D6" s="39"/>
      <c r="E6" s="39"/>
      <c r="F6" s="89"/>
      <c r="G6" s="90"/>
    </row>
    <row r="7" spans="2:7" x14ac:dyDescent="0.2">
      <c r="B7" s="69"/>
      <c r="C7" s="39"/>
      <c r="D7" s="39"/>
      <c r="E7" s="39"/>
      <c r="F7" s="89"/>
      <c r="G7" s="90"/>
    </row>
    <row r="8" spans="2:7" x14ac:dyDescent="0.2">
      <c r="B8" s="69"/>
      <c r="C8" s="39"/>
      <c r="D8" s="39"/>
      <c r="E8" s="39"/>
      <c r="F8" s="89"/>
      <c r="G8" s="90"/>
    </row>
    <row r="9" spans="2:7" x14ac:dyDescent="0.2">
      <c r="B9" s="69"/>
      <c r="C9" s="39"/>
      <c r="D9" s="39"/>
      <c r="E9" s="39"/>
      <c r="F9" s="89"/>
      <c r="G9" s="90"/>
    </row>
    <row r="10" spans="2:7" x14ac:dyDescent="0.2">
      <c r="B10" s="69"/>
      <c r="C10" s="39"/>
      <c r="D10" s="39"/>
      <c r="E10" s="39"/>
      <c r="F10" s="89"/>
      <c r="G10" s="90"/>
    </row>
    <row r="11" spans="2:7" ht="16" thickBot="1" x14ac:dyDescent="0.25">
      <c r="B11" s="70"/>
      <c r="C11" s="55"/>
      <c r="D11" s="55"/>
      <c r="E11" s="55"/>
      <c r="F11" s="91"/>
      <c r="G11" s="92"/>
    </row>
  </sheetData>
  <mergeCells count="1">
    <mergeCell ref="B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14bdffc1-a38a-4965-b8c7-6b995394fa38">
      <UserInfo>
        <DisplayName>WAN HALIMATON SAADIAH BINTI WAN ISMAIL</DisplayName>
        <AccountId>65</AccountId>
        <AccountType/>
      </UserInfo>
    </SharedWithUsers>
    <lcf76f155ced4ddcb4097134ff3c332f xmlns="fa6523cc-f9d2-4d22-b899-9712b14156b8">
      <Terms xmlns="http://schemas.microsoft.com/office/infopath/2007/PartnerControls"/>
    </lcf76f155ced4ddcb4097134ff3c332f>
    <TaxCatchAll xmlns="14bdffc1-a38a-4965-b8c7-6b995394fa3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5AB0CD1DD65FF45ACCBA0C60D1867E8" ma:contentTypeVersion="17" ma:contentTypeDescription="Create a new document." ma:contentTypeScope="" ma:versionID="9b8b9fc55244cc43035c853b0fde500e">
  <xsd:schema xmlns:xsd="http://www.w3.org/2001/XMLSchema" xmlns:xs="http://www.w3.org/2001/XMLSchema" xmlns:p="http://schemas.microsoft.com/office/2006/metadata/properties" xmlns:ns2="fa6523cc-f9d2-4d22-b899-9712b14156b8" xmlns:ns3="14bdffc1-a38a-4965-b8c7-6b995394fa38" targetNamespace="http://schemas.microsoft.com/office/2006/metadata/properties" ma:root="true" ma:fieldsID="965d4105b9913476a602caf9f8528410" ns2:_="" ns3:_="">
    <xsd:import namespace="fa6523cc-f9d2-4d22-b899-9712b14156b8"/>
    <xsd:import namespace="14bdffc1-a38a-4965-b8c7-6b995394fa3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6523cc-f9d2-4d22-b899-9712b14156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ac5745c-5c93-4373-b075-94cdddb6883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bdffc1-a38a-4965-b8c7-6b995394fa3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5adecdc-87ea-4187-aeab-fa79453d2e31}" ma:internalName="TaxCatchAll" ma:showField="CatchAllData" ma:web="14bdffc1-a38a-4965-b8c7-6b995394fa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51A3DA-DA6E-456D-B998-BFDFBC6A10B1}">
  <ds:schemaRefs>
    <ds:schemaRef ds:uri="http://schemas.microsoft.com/office/2006/metadata/properties"/>
    <ds:schemaRef ds:uri="http://schemas.microsoft.com/office/infopath/2007/PartnerControls"/>
    <ds:schemaRef ds:uri="14bdffc1-a38a-4965-b8c7-6b995394fa38"/>
    <ds:schemaRef ds:uri="fa6523cc-f9d2-4d22-b899-9712b14156b8"/>
  </ds:schemaRefs>
</ds:datastoreItem>
</file>

<file path=customXml/itemProps2.xml><?xml version="1.0" encoding="utf-8"?>
<ds:datastoreItem xmlns:ds="http://schemas.openxmlformats.org/officeDocument/2006/customXml" ds:itemID="{D67D0D37-95F9-4E9C-81FC-9A68C94FD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6523cc-f9d2-4d22-b899-9712b14156b8"/>
    <ds:schemaRef ds:uri="14bdffc1-a38a-4965-b8c7-6b995394fa3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7577A6-6A39-4FD8-B789-F26250D68B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Doc Info</vt:lpstr>
      <vt:lpstr>#21362</vt:lpstr>
      <vt:lpstr>Review Log</vt:lpstr>
      <vt:lpstr>Test Step</vt:lpstr>
      <vt:lpstr>Review &amp; Rework Effort</vt:lpstr>
      <vt:lpstr>Pareto Analysis</vt:lpstr>
      <vt:lpstr>CAPA</vt:lpstr>
      <vt:lpstr>'Pareto Analysis'!Print_Area</vt:lpstr>
      <vt:lpstr>'Pareto Analysis'!Print_Titles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bestinet</dc:creator>
  <cp:keywords/>
  <dc:description/>
  <cp:lastModifiedBy>SYAMIL BIN ABDUL SAMAT</cp:lastModifiedBy>
  <cp:revision/>
  <dcterms:created xsi:type="dcterms:W3CDTF">2017-10-31T03:53:43Z</dcterms:created>
  <dcterms:modified xsi:type="dcterms:W3CDTF">2026-06-11T15:09:22Z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0x010100D5AB0CD1DD65FF45ACCBA0C60D1867E8</vt:lpwstr>
  </property>
  <property fmtid="{D5CDD505-2E9C-101B-9397-08002B2CF9AE}" pid="3" name="MediaServiceImageTags">
    <vt:lpwstr/>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ies>
</file>