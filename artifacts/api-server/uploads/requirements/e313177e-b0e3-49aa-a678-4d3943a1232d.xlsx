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amilabdulsamat/Desktop/QAPulse/QAPulse/artifacts/api-server/assets/"/>
    </mc:Choice>
  </mc:AlternateContent>
  <xr:revisionPtr revIDLastSave="0" documentId="13_ncr:1_{7B63A017-5137-5F46-95FC-2D36C247A9C0}" xr6:coauthVersionLast="47" xr6:coauthVersionMax="47" xr10:uidLastSave="{00000000-0000-0000-0000-000000000000}"/>
  <bookViews>
    <workbookView xWindow="4420" yWindow="880" windowWidth="31580" windowHeight="21120" tabRatio="713" xr2:uid="{01A690A9-14C5-40FC-A7C5-3CCF81F623E0}" activeTab="0"/>
  </bookViews>
  <sheets>
    <sheet name="Doc Info" sheetId="5" r:id="rId1"/>
    <sheet name="Review Log" sheetId="1" r:id="rId2"/>
    <sheet name="Test Step" sheetId="44" r:id="rId3"/>
    <sheet name="Review &amp; Rework Effort" sheetId="2" r:id="rId4"/>
    <sheet name="Pareto Analysis" sheetId="3" r:id="rId5"/>
    <sheet name="CAPA" sheetId="4" r:id="rId6"/>
  </sheets>
  <definedNames>
    <definedName name="_xlnm._FilterDatabase" localSheetId="2" hidden="1">'Test Step'!$A$1:$M$1</definedName>
    <definedName name="_xlnm.Print_Area" localSheetId="4">'Pareto Analysis'!$A$1:$G$47</definedName>
    <definedName name="_xlnm.Print_Titles" localSheetId="4">'Pareto Analysis'!$1:$2</definedName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bestinet</author>
  </authors>
  <commentList>
    <comment ref="C4" authorId="0" shapeId="0" xr:uid="{1A769D5A-E0C1-45E4-A000-8CC955D4EA5E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Mention as number "1st, 2nd or 3rd" review cycle, depending on the number of times document OR code/module was reviewed</t>
        </r>
      </text>
    </comment>
    <comment ref="D4" authorId="0" shapeId="0" xr:uid="{6D490DE3-B8FE-49AE-9C1B-A15074127D72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Version number of the document OR code/module reviewed</t>
        </r>
      </text>
    </comment>
    <comment ref="E4" authorId="0" shapeId="0" xr:uid="{AF427048-C2C1-47AA-A239-1BA492319759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Comment entry date</t>
        </r>
      </text>
    </comment>
    <comment ref="F4" authorId="0" shapeId="0" xr:uid="{0DC84F15-5108-4527-9516-E8AB10404A12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If more than one reviewer but review comment is same by both/multiple reviewers then mention one comment and mention name of reviewers together </t>
        </r>
      </text>
    </comment>
    <comment ref="G4" authorId="0" shapeId="0" xr:uid="{F79F8E80-0CA1-4605-8CE7-B97264C022CE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Total number of pages or code lines reviewed</t>
        </r>
      </text>
    </comment>
    <comment ref="I4" authorId="0" shapeId="0" xr:uid="{265C4F03-2E1E-4255-B77A-F6C05FE3CEF7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Mention page, section number, line number where the comment was found</t>
        </r>
      </text>
    </comment>
    <comment ref="K4" authorId="0" shapeId="0" xr:uid="{4E0BD462-EE55-4FE5-B767-3CD79511EB0B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Select severity of the comment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bestinet</author>
  </authors>
  <commentList>
    <comment ref="C4" authorId="0" shapeId="0" xr:uid="{E8AF6F9B-04A8-4AEC-B274-2D5FB7BC5B41}">
      <text>
        <r>
          <rPr>
            <b/>
            <sz val="9"/>
            <color rgb="FF000000"/>
            <rFont val="Tahoma"/>
            <family val="2"/>
          </rPr>
          <t>bestinet: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Mention as number "1st, 2nd or 3rd" review cycle, depending on the number of times document OR code/module was reviewed</t>
        </r>
      </text>
    </comment>
    <comment ref="E4" authorId="0" shapeId="0" xr:uid="{D48F8829-41A4-4B66-86DC-9738BDE8AE2F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Time taken by the reviewers (if multiple reviewers sum all reviewers effort) to review the document / code in each review cycle</t>
        </r>
      </text>
    </comment>
    <comment ref="F4" authorId="0" shapeId="0" xr:uid="{71B31A3C-AE75-4B90-BB44-455983F271B8}">
      <text>
        <r>
          <rPr>
            <b/>
            <sz val="9"/>
            <color indexed="81"/>
            <rFont val="Tahoma"/>
            <family val="2"/>
          </rPr>
          <t>bestinet:</t>
        </r>
        <r>
          <rPr>
            <sz val="9"/>
            <color indexed="81"/>
            <rFont val="Tahoma"/>
            <family val="2"/>
          </rPr>
          <t xml:space="preserve">
Time taken by the authors (if multiple authors sum all authors effort) to close/fix the review comments on the document / code in each review cycle</t>
        </r>
      </text>
    </comment>
  </commentList>
</comments>
</file>

<file path=xl/sharedStrings.xml><?xml version="1.0" encoding="utf-8"?>
<sst xmlns="http://schemas.openxmlformats.org/spreadsheetml/2006/main">
  <si>
    <t>Review</t>
  </si>
  <si>
    <t>Review Log</t>
  </si>
  <si>
    <t>Ref. No.: BSB-QA-FWCMS-153-CRD-V1.0</t>
  </si>
  <si>
    <t>Project Name</t>
  </si>
  <si>
    <t>FWCMS IDM - #32484 - IDM - Audit Finding</t>
  </si>
  <si>
    <t>Document Information</t>
  </si>
  <si>
    <t>Sl #</t>
  </si>
  <si>
    <t>Date</t>
  </si>
  <si>
    <t>Updated By</t>
  </si>
  <si>
    <t xml:space="preserve">Update Summary </t>
  </si>
  <si>
    <t>Reviewed By</t>
  </si>
  <si>
    <t>Reviewed Date</t>
  </si>
  <si>
    <t>Taqinah</t>
  </si>
  <si>
    <t>Draft TC</t>
  </si>
  <si>
    <t>Syamil</t>
  </si>
  <si>
    <t>Case ID</t>
  </si>
  <si>
    <t>Redmine User Story</t>
  </si>
  <si>
    <t>Scenario</t>
  </si>
  <si>
    <t>Pre Condition</t>
  </si>
  <si>
    <t>Case</t>
  </si>
  <si>
    <t>Steps</t>
  </si>
  <si>
    <t>Expected Result</t>
  </si>
  <si>
    <t>Result</t>
  </si>
  <si>
    <t>Redmine Defect</t>
  </si>
  <si>
    <t>Additional/Comments/Issues</t>
  </si>
  <si>
    <t xml:space="preserve">Review Log </t>
  </si>
  <si>
    <t>To be filled by Reviewer</t>
  </si>
  <si>
    <t>To be filled by Author &amp; Reviewer</t>
  </si>
  <si>
    <t xml:space="preserve">Review Cycle </t>
  </si>
  <si>
    <t>Version
Number</t>
  </si>
  <si>
    <t xml:space="preserve">Posted Date
</t>
  </si>
  <si>
    <t>Reviewer Name</t>
  </si>
  <si>
    <t>Size of Work Product (LOC, Pages )</t>
  </si>
  <si>
    <t>Document Name / 
Code, Module Name</t>
  </si>
  <si>
    <t xml:space="preserve"> Section ID, Line OR
Page Number</t>
  </si>
  <si>
    <t>Comment Description</t>
  </si>
  <si>
    <t>Severity</t>
  </si>
  <si>
    <t>Action required for comment resolution</t>
  </si>
  <si>
    <t>Comment Status</t>
  </si>
  <si>
    <t>Comment Target Closure Date</t>
  </si>
  <si>
    <t>Comment Actual Closure Date</t>
  </si>
  <si>
    <t>Remarks</t>
  </si>
  <si>
    <t>1st</t>
  </si>
  <si>
    <t>Small</t>
  </si>
  <si>
    <t>FWCMS</t>
  </si>
  <si>
    <t>add more tc to cover scenario</t>
  </si>
  <si>
    <t>Low</t>
  </si>
  <si>
    <t>Add new test case</t>
  </si>
  <si>
    <t>Closed</t>
  </si>
  <si>
    <t xml:space="preserve"> </t>
  </si>
  <si>
    <t xml:space="preserve">   </t>
  </si>
  <si>
    <t>Tracker</t>
  </si>
  <si>
    <t>Test Data</t>
  </si>
  <si>
    <t>QA PIC</t>
  </si>
  <si>
    <t xml:space="preserve"> Review &amp; Rework Effort </t>
  </si>
  <si>
    <t>To be filled by Author</t>
  </si>
  <si>
    <t>Total Time taken for Review 
(Hrs or Mins)</t>
  </si>
  <si>
    <t>Re-Work effort (Hrs or Mins)</t>
  </si>
  <si>
    <t>1hrs</t>
  </si>
  <si>
    <t>Pareto Analysis</t>
  </si>
  <si>
    <t>[42]</t>
  </si>
  <si>
    <t>Cumulative Percentage Cutoff:</t>
  </si>
  <si>
    <t>#</t>
  </si>
  <si>
    <t>Causes</t>
  </si>
  <si>
    <t>Defects</t>
  </si>
  <si>
    <t>Cumulative%</t>
  </si>
  <si>
    <t>Vital Few</t>
  </si>
  <si>
    <t>Useful Many</t>
  </si>
  <si>
    <t>Cut Off %</t>
  </si>
  <si>
    <t>Glue</t>
  </si>
  <si>
    <t>Binding</t>
  </si>
  <si>
    <t>Button</t>
  </si>
  <si>
    <t>Pressure Applied</t>
  </si>
  <si>
    <t>Cause # 5</t>
  </si>
  <si>
    <t>Cause # 6</t>
  </si>
  <si>
    <t>Cause # 7</t>
  </si>
  <si>
    <t>Cause # 8</t>
  </si>
  <si>
    <t>Cause # 9</t>
  </si>
  <si>
    <t>Insert new rows above this line</t>
  </si>
  <si>
    <t>CORRECTIVE &amp; PREVENTIVE ACTION PLAN (CAPA)</t>
  </si>
  <si>
    <t>Analysis Points Observed</t>
  </si>
  <si>
    <t xml:space="preserve">Corrective Action Identified </t>
  </si>
  <si>
    <t xml:space="preserve">Preventive Action Identified </t>
  </si>
  <si>
    <t>Planned Closure Date</t>
  </si>
  <si>
    <t xml:space="preserve">Actual Closure Date </t>
  </si>
  <si>
    <t xml:space="preserve">21 Sept 2026</t>
  </si>
  <si>
    <t xml:space="preserve">Raimi Rosman</t>
  </si>
  <si>
    <t xml:space="preserve">Generated test case report</t>
  </si>
  <si>
    <t xml:space="preserve"/>
  </si>
  <si>
    <t xml:space="preserve">—</t>
  </si>
  <si>
    <t xml:space="preserve">Evidence</t>
  </si>
  <si>
    <t xml:space="preserve">TC-828</t>
  </si>
  <si>
    <t xml:space="preserve">Change Request</t>
  </si>
  <si>
    <t xml:space="preserve">A user uploads a standard JPEG file (e.g., 2MB) as their profile picture.</t>
  </si>
  <si>
    <t xml:space="preserve">User account exists and is logged in. IDM Profile section is accessible. A valid JPEG file (2MB) is available for upload.</t>
  </si>
  <si>
    <t xml:space="preserve">Verify IDM profile displays a valid JPEG within size limits</t>
  </si>
  <si>
    <t xml:space="preserve">Login to the IDM system.
Navigate to the 'Profile' section.
Click on the 'Upload Picture' or 'Change Picture' option.
Select a JPEG file (e.g., 'profile_small.jpeg') with a size of 2MB from local storage.
Confirm the upload and save changes.
View the IDM profile.</t>
  </si>
  <si>
    <t xml:space="preserve">File: profile_small.jpeg, Type: image/jpeg, Size: 2MB</t>
  </si>
  <si>
    <t xml:space="preserve">The uploaded JPEG profile picture displays correctly on the IDM profile.</t>
  </si>
  <si>
    <t xml:space="preserve">Raihan</t>
  </si>
  <si>
    <t xml:space="preserve">TC-833</t>
  </si>
  <si>
    <t xml:space="preserve">A user uploads a JPEG file with a non-square aspect ratio (e.g., rectangular) as their profile picture.</t>
  </si>
  <si>
    <t xml:space="preserve">User account exists and is logged in. IDM Profile section is accessible. A valid rectangular JPEG file (4MB) is available for upload.</t>
  </si>
  <si>
    <t xml:space="preserve">Verify display of a JPEG profile picture with different aspect ratios</t>
  </si>
  <si>
    <t xml:space="preserve">Login to the IDM system.
Navigate to the 'Profile' section.
Click on the 'Upload Picture' or 'Change Picture' option.
Select a rectangular JPEG file (e.g., 'profile_rect.jpeg', 1920x1080) with a size of 4MB.
Confirm the upload and save changes.
View the IDM profile.</t>
  </si>
  <si>
    <t xml:space="preserve">File: profile_rect.jpeg, Type: image/jpeg, Size: 4MB, Dimensions: 1920x1080</t>
  </si>
  <si>
    <t xml:space="preserve">The rectangular JPEG profile picture uploads successfully and displays correctly, potentially scaled or cropped appropriately without distortion.</t>
  </si>
  <si>
    <t xml:space="preserve">TC-832</t>
  </si>
  <si>
    <t xml:space="preserve">A user uploads a JPEG profile picture, logs out, and then logs back in to verify it is still displayed.</t>
  </si>
  <si>
    <t xml:space="preserve">User account exists and is logged in. IDM Profile section is accessible. A valid JPEG file (1MB) is available for upload.</t>
  </si>
  <si>
    <t xml:space="preserve">Verify persistence of the JPEG profile picture after re-login</t>
  </si>
  <si>
    <t xml:space="preserve">Login to the IDM system.
Navigate to the 'Profile' section.
Click on the 'Upload Picture' or 'Change Picture' option.
Select a JPEG file (e.g., 'profile_persist.jpeg') with a size of 1MB from local storage.
Confirm the upload and save changes.
Log out of the IDM system.
Log back into the IDM system.
Navigate to the 'Profile' section.</t>
  </si>
  <si>
    <t xml:space="preserve">File: profile_persist.jpeg, Type: image/jpeg, Size: 1MB</t>
  </si>
  <si>
    <t xml:space="preserve">The previously uploaded JPEG profile picture is still displayed correctly on the IDM profile after re-login.</t>
  </si>
  <si>
    <t xml:space="preserve">TC-831</t>
  </si>
  <si>
    <t xml:space="preserve">A user changes their existing profile picture with a new valid JPEG file.</t>
  </si>
  <si>
    <t xml:space="preserve">User account exists and is logged in. IDM Profile section is accessible. An existing profile picture is present. A new valid JPEG file (3MB) is available for upload.</t>
  </si>
  <si>
    <t xml:space="preserve">Verify updating an existing profile picture with a new JPEG</t>
  </si>
  <si>
    <t xml:space="preserve">Login to the IDM system.
Navigate to the 'Profile' section.
Ensure a profile picture is already set (if not, upload one first).
Click on the 'Upload Picture' or 'Change Picture' option.
Select a new JPEG file (e.g., 'profile_new.jpeg') with a size of 3MB from local storage.
Confirm the upload and save changes.
View the IDM profile.</t>
  </si>
  <si>
    <t xml:space="preserve">File: profile_new.jpeg, Type: image/jpeg, Size: 3MB</t>
  </si>
  <si>
    <t xml:space="preserve">The new JPEG profile picture replaces the old one and displays correctly on the IDM profile.</t>
  </si>
  <si>
    <t xml:space="preserve">TC-830</t>
  </si>
  <si>
    <t xml:space="preserve">A user uploads a very small JPEG file (e.g., 50KB) as their profile picture.</t>
  </si>
  <si>
    <t xml:space="preserve">User account exists and is logged in. IDM Profile section is accessible. A valid JPEG file (50KB) is available for upload.</t>
  </si>
  <si>
    <t xml:space="preserve">Verify IDM profile displays a JPEG at a very small size (e.g., 50KB)</t>
  </si>
  <si>
    <t xml:space="preserve">Login to the IDM system.
Navigate to the 'Profile' section.
Click on the 'Upload Picture' or 'Change Picture' option.
Select a JPEG file (e.g., 'profile_min.jpeg') with a size of 50KB from local storage.
Confirm the upload and save changes.
View the IDM profile.</t>
  </si>
  <si>
    <t xml:space="preserve">File: profile_min.jpeg, Type: image/jpeg, Size: 50KB</t>
  </si>
  <si>
    <t xml:space="preserve">The 50KB JPEG profile picture uploads successfully and displays correctly (possibly scaled) on the IDM profile.</t>
  </si>
  <si>
    <t xml:space="preserve">TC-829</t>
  </si>
  <si>
    <t xml:space="preserve">A user uploads a JPEG file exactly 10MB in size as their profile picture.</t>
  </si>
  <si>
    <t xml:space="preserve">User account exists and is logged in. IDM Profile section is accessible. A valid JPEG file (10MB) is available for upload.</t>
  </si>
  <si>
    <t xml:space="preserve">Verify IDM profile displays a JPEG at the maximum allowed size (10MB)</t>
  </si>
  <si>
    <t xml:space="preserve">Login to the IDM system.
Navigate to the 'Profile' section.
Click on the 'Upload Picture' or 'Change Picture' option.
Select a JPEG file (e.g., 'profile_max.jpeg') with a size of 10MB from local storage.
Confirm the upload and save changes.
View the IDM profile.</t>
  </si>
  <si>
    <t xml:space="preserve">File: profile_max.jpeg, Type: image/jpeg, Size: 10MB</t>
  </si>
  <si>
    <t xml:space="preserve">The 10MB JPEG profile picture uploads successfully and displays correctly on the IDM profile.</t>
  </si>
  <si>
    <t xml:space="preserve">TC-834</t>
  </si>
  <si>
    <t xml:space="preserve">A user uploads a JPEG file that includes EXIF metadata (e.g., from a camera).</t>
  </si>
  <si>
    <t xml:space="preserve">User account exists and is logged in. IDM Profile section is accessible. A valid JPEG file (5MB) with EXIF data is available for upload.</t>
  </si>
  <si>
    <t xml:space="preserve">Verify display of a JPEG profile picture containing EXIF metadata</t>
  </si>
  <si>
    <t xml:space="preserve">Login to the IDM system.
Navigate to the 'Profile' section.
Click on the 'Upload Picture' or 'Change Picture' option.
Select a JPEG file (e.g., 'profile_exif.jpeg') with EXIF data and a size of 5MB.
Confirm the upload and save changes.
View the IDM profile.</t>
  </si>
  <si>
    <t xml:space="preserve">File: profile_exif.jpeg, Type: image/jpeg, Size: 5MB (contains EXIF metadata)</t>
  </si>
  <si>
    <t xml:space="preserve">The JPEG profile picture with EXIF data uploads successfully and displays correctly on the IDM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</si>
</sst>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%"/>
    <numFmt numFmtId="165" formatCode="[$-409]d\-mmm\-yy;@"/>
    <numFmt numFmtId="166" formatCode="0.0"/>
    <numFmt numFmtId="167" formatCode="[$-409]d\-mmm;@"/>
  </numFmts>
  <fonts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134"/>
    </font>
    <font>
      <sz val="10"/>
      <name val="Arial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8"/>
      <color indexed="5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color indexed="9"/>
      <name val="Arial"/>
      <family val="2"/>
    </font>
    <font>
      <b/>
      <sz val="12"/>
      <color indexed="53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sz val="12"/>
      <color indexed="23"/>
      <name val="Arial"/>
      <family val="2"/>
    </font>
    <font>
      <sz val="10"/>
      <color indexed="55"/>
      <name val="Arial"/>
      <family val="2"/>
    </font>
    <font>
      <sz val="8"/>
      <color indexed="23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2"/>
      <color indexed="8"/>
      <name val="Arial"/>
      <family val="2"/>
      <charset val="134"/>
    </font>
    <font>
      <b/>
      <sz val="20"/>
      <color indexed="8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FFFFFF"/>
      <name val="Calibri"/>
      <family val="2"/>
    </font>
    <font>
      <b/>
      <color rgb="FFFFFFFF"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</patternFill>
    </fill>
  </fills>
  <borders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9" fillId="0" borderId="26" applyFill="0" applyBorder="0"/>
    <xf numFmtId="0" fontId="5" fillId="0" borderId="0" applyFill="0" applyBorder="0">
      <alignment vertical="center"/>
    </xf>
    <xf numFmtId="0" fontId="5" fillId="0" borderId="0" applyFont="0" applyFill="0" applyBorder="0" applyAlignment="0" applyProtection="0"/>
  </cellStyleXfs>
  <cellXfs>
    <xf numFmtId="0" fontId="0" fillId="0" borderId="0" xfId="0"/>
    <xf numFmtId="0" fontId="2" fillId="0" borderId="3" xfId="1" applyBorder="1" applyAlignment="1" applyProtection="1">
      <alignment horizontal="center" vertical="center"/>
      <protection locked="0"/>
    </xf>
    <xf numFmtId="15" fontId="2" fillId="0" borderId="3" xfId="1" applyNumberFormat="1" applyBorder="1" applyAlignment="1" applyProtection="1">
      <alignment horizontal="left" vertical="top"/>
      <protection locked="0"/>
    </xf>
    <xf numFmtId="0" fontId="2" fillId="0" borderId="3" xfId="1" applyBorder="1" applyAlignment="1" applyProtection="1">
      <alignment horizontal="left" vertical="top"/>
      <protection locked="0"/>
    </xf>
    <xf numFmtId="0" fontId="2" fillId="0" borderId="3" xfId="1" applyBorder="1" applyAlignment="1" applyProtection="1">
      <alignment horizontal="left" vertical="top" wrapText="1"/>
      <protection locked="0"/>
    </xf>
    <xf numFmtId="0" fontId="2" fillId="0" borderId="4" xfId="1" applyBorder="1" applyAlignment="1" applyProtection="1">
      <alignment horizontal="center" vertical="center"/>
      <protection locked="0"/>
    </xf>
    <xf numFmtId="0" fontId="2" fillId="0" borderId="4" xfId="1" applyBorder="1" applyAlignment="1" applyProtection="1">
      <alignment horizontal="left" vertical="top"/>
      <protection locked="0"/>
    </xf>
    <xf numFmtId="0" fontId="2" fillId="0" borderId="4" xfId="1" applyBorder="1" applyAlignment="1" applyProtection="1">
      <alignment horizontal="left" vertical="top" wrapText="1"/>
      <protection locked="0"/>
    </xf>
    <xf numFmtId="0" fontId="2" fillId="0" borderId="5" xfId="1" applyBorder="1" applyAlignment="1" applyProtection="1">
      <alignment horizontal="center" vertical="center"/>
      <protection locked="0"/>
    </xf>
    <xf numFmtId="0" fontId="2" fillId="0" borderId="5" xfId="1" applyBorder="1" applyAlignment="1" applyProtection="1">
      <alignment horizontal="left" vertical="top"/>
      <protection locked="0"/>
    </xf>
    <xf numFmtId="0" fontId="2" fillId="0" borderId="5" xfId="1" applyBorder="1" applyAlignment="1" applyProtection="1">
      <alignment horizontal="left" vertical="top" wrapText="1"/>
      <protection locked="0"/>
    </xf>
    <xf numFmtId="0" fontId="2" fillId="0" borderId="14" xfId="1" applyBorder="1" applyAlignment="1" applyProtection="1">
      <alignment horizontal="left" vertical="top"/>
      <protection locked="0"/>
    </xf>
    <xf numFmtId="0" fontId="2" fillId="0" borderId="16" xfId="1" applyBorder="1" applyAlignment="1" applyProtection="1">
      <alignment horizontal="center" vertical="center"/>
      <protection locked="0"/>
    </xf>
    <xf numFmtId="0" fontId="2" fillId="0" borderId="16" xfId="1" applyBorder="1" applyAlignment="1" applyProtection="1">
      <alignment horizontal="left" vertical="top"/>
      <protection locked="0"/>
    </xf>
    <xf numFmtId="0" fontId="2" fillId="0" borderId="16" xfId="1" applyBorder="1" applyAlignment="1" applyProtection="1">
      <alignment horizontal="left" vertical="top" wrapText="1"/>
      <protection locked="0"/>
    </xf>
    <xf numFmtId="0" fontId="2" fillId="0" borderId="17" xfId="1" applyBorder="1" applyAlignment="1" applyProtection="1">
      <alignment horizontal="left" vertical="top" wrapText="1"/>
      <protection locked="0"/>
    </xf>
    <xf numFmtId="0" fontId="2" fillId="0" borderId="17" xfId="1" applyBorder="1" applyAlignment="1" applyProtection="1">
      <alignment horizontal="left" vertical="top"/>
      <protection locked="0"/>
    </xf>
    <xf numFmtId="0" fontId="2" fillId="0" borderId="18" xfId="1" applyBorder="1" applyAlignment="1" applyProtection="1">
      <alignment horizontal="left" vertical="top"/>
      <protection locked="0"/>
    </xf>
    <xf numFmtId="0" fontId="2" fillId="0" borderId="20" xfId="1" applyBorder="1" applyAlignment="1" applyProtection="1">
      <alignment horizontal="center" vertical="center"/>
      <protection locked="0"/>
    </xf>
    <xf numFmtId="15" fontId="2" fillId="0" borderId="20" xfId="1" applyNumberFormat="1" applyBorder="1" applyAlignment="1" applyProtection="1">
      <alignment horizontal="left" vertical="top"/>
      <protection locked="0"/>
    </xf>
    <xf numFmtId="0" fontId="2" fillId="0" borderId="21" xfId="1" applyBorder="1" applyAlignment="1" applyProtection="1">
      <alignment horizontal="left" vertical="top"/>
      <protection locked="0"/>
    </xf>
    <xf numFmtId="0" fontId="6" fillId="2" borderId="0" xfId="2" applyFont="1" applyFill="1" applyAlignment="1">
      <alignment horizontal="left"/>
    </xf>
    <xf numFmtId="0" fontId="5" fillId="2" borderId="0" xfId="2" applyFill="1"/>
    <xf numFmtId="0" fontId="7" fillId="0" borderId="0" xfId="2" applyFont="1"/>
    <xf numFmtId="0" fontId="8" fillId="0" borderId="0" xfId="2" applyFont="1" applyAlignment="1">
      <alignment horizontal="left"/>
    </xf>
    <xf numFmtId="0" fontId="8" fillId="0" borderId="0" xfId="2" applyFont="1" applyProtection="1">
      <protection locked="0"/>
    </xf>
    <xf numFmtId="0" fontId="9" fillId="0" borderId="0" xfId="2" applyFont="1" applyAlignment="1">
      <alignment horizontal="right"/>
    </xf>
    <xf numFmtId="0" fontId="10" fillId="0" borderId="0" xfId="3" applyAlignment="1" applyProtection="1"/>
    <xf numFmtId="0" fontId="11" fillId="0" borderId="0" xfId="2" applyFont="1"/>
    <xf numFmtId="0" fontId="12" fillId="0" borderId="0" xfId="2" applyFont="1" applyAlignment="1">
      <alignment horizontal="center"/>
    </xf>
    <xf numFmtId="0" fontId="13" fillId="4" borderId="23" xfId="2" applyFont="1" applyFill="1" applyBorder="1" applyAlignment="1">
      <alignment horizontal="center"/>
    </xf>
    <xf numFmtId="0" fontId="14" fillId="4" borderId="23" xfId="2" applyFont="1" applyFill="1" applyBorder="1" applyProtection="1">
      <protection locked="0"/>
    </xf>
    <xf numFmtId="0" fontId="14" fillId="4" borderId="23" xfId="2" applyFont="1" applyFill="1" applyBorder="1" applyAlignment="1" applyProtection="1">
      <alignment horizontal="center"/>
      <protection locked="0"/>
    </xf>
    <xf numFmtId="0" fontId="15" fillId="0" borderId="0" xfId="2" applyFont="1" applyAlignment="1">
      <alignment horizontal="center"/>
    </xf>
    <xf numFmtId="0" fontId="16" fillId="0" borderId="24" xfId="4" applyNumberFormat="1" applyFont="1" applyBorder="1" applyAlignment="1" applyProtection="1">
      <alignment horizontal="center"/>
    </xf>
    <xf numFmtId="0" fontId="16" fillId="0" borderId="0" xfId="4" applyNumberFormat="1" applyFont="1" applyBorder="1" applyAlignment="1" applyProtection="1">
      <alignment horizontal="center"/>
    </xf>
    <xf numFmtId="9" fontId="16" fillId="0" borderId="25" xfId="2" applyNumberFormat="1" applyFont="1" applyBorder="1" applyAlignment="1">
      <alignment horizontal="center"/>
    </xf>
    <xf numFmtId="0" fontId="17" fillId="2" borderId="0" xfId="2" applyFont="1" applyFill="1"/>
    <xf numFmtId="0" fontId="0" fillId="0" borderId="2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6" borderId="0" xfId="0" applyFill="1"/>
    <xf numFmtId="0" fontId="5" fillId="0" borderId="3" xfId="0" applyFont="1" applyBorder="1" applyAlignment="1">
      <alignment horizontal="left" vertical="top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center" wrapText="1"/>
    </xf>
    <xf numFmtId="1" fontId="5" fillId="0" borderId="3" xfId="7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1" fontId="5" fillId="0" borderId="3" xfId="7" applyNumberFormat="1" applyFont="1" applyBorder="1" applyAlignment="1">
      <alignment horizontal="center" vertical="center"/>
    </xf>
    <xf numFmtId="1" fontId="2" fillId="0" borderId="19" xfId="1" applyNumberFormat="1" applyBorder="1" applyAlignment="1" applyProtection="1">
      <alignment horizontal="center" vertical="center" wrapText="1"/>
      <protection locked="0"/>
    </xf>
    <xf numFmtId="1" fontId="2" fillId="0" borderId="13" xfId="1" applyNumberFormat="1" applyBorder="1" applyAlignment="1" applyProtection="1">
      <alignment horizontal="center" vertical="center" wrapText="1"/>
      <protection locked="0"/>
    </xf>
    <xf numFmtId="1" fontId="2" fillId="0" borderId="1" xfId="1" applyNumberFormat="1" applyBorder="1" applyAlignment="1" applyProtection="1">
      <alignment horizontal="center" vertical="center" wrapText="1"/>
      <protection locked="0"/>
    </xf>
    <xf numFmtId="1" fontId="2" fillId="0" borderId="15" xfId="1" applyNumberFormat="1" applyBorder="1" applyAlignment="1" applyProtection="1">
      <alignment horizontal="center" vertical="center" wrapText="1"/>
      <protection locked="0"/>
    </xf>
    <xf numFmtId="1" fontId="2" fillId="0" borderId="3" xfId="1" applyNumberFormat="1" applyBorder="1" applyAlignment="1" applyProtection="1">
      <alignment horizontal="left" vertical="top" wrapText="1"/>
      <protection locked="0"/>
    </xf>
    <xf numFmtId="1" fontId="2" fillId="0" borderId="3" xfId="1" applyNumberFormat="1" applyBorder="1" applyAlignment="1" applyProtection="1">
      <alignment horizontal="left" vertical="top"/>
      <protection locked="0"/>
    </xf>
    <xf numFmtId="1" fontId="0" fillId="0" borderId="19" xfId="0" applyNumberFormat="1" applyBorder="1" applyAlignment="1">
      <alignment horizontal="left" vertical="top" wrapText="1"/>
    </xf>
    <xf numFmtId="1" fontId="0" fillId="0" borderId="13" xfId="0" applyNumberFormat="1" applyBorder="1" applyAlignment="1">
      <alignment horizontal="left" vertical="top" wrapText="1"/>
    </xf>
    <xf numFmtId="1" fontId="0" fillId="0" borderId="15" xfId="0" applyNumberFormat="1" applyBorder="1" applyAlignment="1">
      <alignment horizontal="left" vertical="top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3" xfId="7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/>
    </xf>
    <xf numFmtId="165" fontId="2" fillId="0" borderId="3" xfId="1" applyNumberFormat="1" applyBorder="1" applyAlignment="1" applyProtection="1">
      <alignment horizontal="center" vertical="center"/>
      <protection locked="0"/>
    </xf>
    <xf numFmtId="165" fontId="2" fillId="0" borderId="4" xfId="1" applyNumberFormat="1" applyBorder="1" applyAlignment="1" applyProtection="1">
      <alignment horizontal="center" vertical="center"/>
      <protection locked="0"/>
    </xf>
    <xf numFmtId="165" fontId="2" fillId="0" borderId="5" xfId="1" applyNumberFormat="1" applyBorder="1" applyAlignment="1" applyProtection="1">
      <alignment horizontal="center" vertical="center"/>
      <protection locked="0"/>
    </xf>
    <xf numFmtId="165" fontId="2" fillId="0" borderId="16" xfId="1" applyNumberFormat="1" applyBorder="1" applyAlignment="1" applyProtection="1">
      <alignment horizontal="center" vertical="center"/>
      <protection locked="0"/>
    </xf>
    <xf numFmtId="1" fontId="2" fillId="0" borderId="4" xfId="1" applyNumberFormat="1" applyBorder="1" applyAlignment="1" applyProtection="1">
      <alignment horizontal="left" vertical="top"/>
      <protection locked="0"/>
    </xf>
    <xf numFmtId="1" fontId="2" fillId="0" borderId="5" xfId="1" applyNumberFormat="1" applyBorder="1" applyAlignment="1" applyProtection="1">
      <alignment horizontal="left" vertical="top"/>
      <protection locked="0"/>
    </xf>
    <xf numFmtId="1" fontId="2" fillId="0" borderId="16" xfId="1" applyNumberFormat="1" applyBorder="1" applyAlignment="1" applyProtection="1">
      <alignment horizontal="left" vertical="top"/>
      <protection locked="0"/>
    </xf>
    <xf numFmtId="165" fontId="2" fillId="0" borderId="2" xfId="1" applyNumberFormat="1" applyBorder="1" applyAlignment="1" applyProtection="1">
      <alignment horizontal="left" vertical="top"/>
      <protection locked="0"/>
    </xf>
    <xf numFmtId="165" fontId="2" fillId="0" borderId="22" xfId="1" applyNumberFormat="1" applyBorder="1" applyAlignment="1" applyProtection="1">
      <alignment horizontal="left" vertical="top"/>
      <protection locked="0"/>
    </xf>
    <xf numFmtId="166" fontId="2" fillId="0" borderId="3" xfId="1" applyNumberFormat="1" applyBorder="1" applyAlignment="1" applyProtection="1">
      <alignment horizontal="center" vertical="center"/>
      <protection locked="0"/>
    </xf>
    <xf numFmtId="166" fontId="2" fillId="0" borderId="4" xfId="1" applyNumberFormat="1" applyBorder="1" applyAlignment="1" applyProtection="1">
      <alignment horizontal="center" vertical="center"/>
      <protection locked="0"/>
    </xf>
    <xf numFmtId="166" fontId="2" fillId="0" borderId="5" xfId="1" applyNumberFormat="1" applyBorder="1" applyAlignment="1" applyProtection="1">
      <alignment horizontal="center" vertical="center"/>
      <protection locked="0"/>
    </xf>
    <xf numFmtId="166" fontId="2" fillId="0" borderId="16" xfId="1" applyNumberFormat="1" applyBorder="1" applyAlignment="1" applyProtection="1">
      <alignment horizontal="center" vertical="center"/>
      <protection locked="0"/>
    </xf>
    <xf numFmtId="167" fontId="0" fillId="0" borderId="20" xfId="0" applyNumberFormat="1" applyBorder="1" applyAlignment="1">
      <alignment horizontal="left" vertical="top" wrapText="1"/>
    </xf>
    <xf numFmtId="167" fontId="0" fillId="0" borderId="21" xfId="0" applyNumberFormat="1" applyBorder="1" applyAlignment="1">
      <alignment horizontal="left" vertical="top" wrapText="1"/>
    </xf>
    <xf numFmtId="167" fontId="0" fillId="0" borderId="3" xfId="0" applyNumberFormat="1" applyBorder="1" applyAlignment="1">
      <alignment horizontal="left" vertical="top" wrapText="1"/>
    </xf>
    <xf numFmtId="167" fontId="0" fillId="0" borderId="14" xfId="0" applyNumberFormat="1" applyBorder="1" applyAlignment="1">
      <alignment horizontal="left" vertical="top" wrapText="1"/>
    </xf>
    <xf numFmtId="167" fontId="0" fillId="0" borderId="17" xfId="0" applyNumberFormat="1" applyBorder="1" applyAlignment="1">
      <alignment horizontal="left" vertical="top" wrapText="1"/>
    </xf>
    <xf numFmtId="167" fontId="0" fillId="0" borderId="18" xfId="0" applyNumberFormat="1" applyBorder="1" applyAlignment="1">
      <alignment horizontal="left" vertical="top" wrapText="1"/>
    </xf>
    <xf numFmtId="1" fontId="2" fillId="0" borderId="20" xfId="1" applyNumberFormat="1" applyBorder="1" applyAlignment="1" applyProtection="1">
      <alignment horizontal="center" vertical="top"/>
      <protection locked="0"/>
    </xf>
    <xf numFmtId="1" fontId="2" fillId="0" borderId="20" xfId="1" applyNumberFormat="1" applyBorder="1" applyAlignment="1" applyProtection="1">
      <alignment horizontal="center" vertical="top" wrapText="1"/>
      <protection locked="0"/>
    </xf>
    <xf numFmtId="0" fontId="5" fillId="0" borderId="0" xfId="2"/>
    <xf numFmtId="0" fontId="5" fillId="0" borderId="0" xfId="2" applyAlignment="1">
      <alignment horizontal="left"/>
    </xf>
    <xf numFmtId="0" fontId="5" fillId="0" borderId="0" xfId="2" applyProtection="1">
      <protection locked="0"/>
    </xf>
    <xf numFmtId="0" fontId="5" fillId="0" borderId="0" xfId="2" applyAlignment="1" applyProtection="1">
      <alignment horizontal="left"/>
      <protection locked="0"/>
    </xf>
    <xf numFmtId="0" fontId="5" fillId="0" borderId="0" xfId="2" applyAlignment="1">
      <alignment horizontal="right"/>
    </xf>
    <xf numFmtId="9" fontId="5" fillId="3" borderId="0" xfId="2" applyNumberFormat="1" applyFill="1" applyAlignment="1" applyProtection="1">
      <alignment horizontal="center"/>
      <protection locked="0"/>
    </xf>
    <xf numFmtId="0" fontId="5" fillId="0" borderId="0" xfId="2" applyAlignment="1">
      <alignment horizontal="center"/>
    </xf>
    <xf numFmtId="0" fontId="5" fillId="3" borderId="0" xfId="2" applyFill="1" applyProtection="1">
      <protection locked="0"/>
    </xf>
    <xf numFmtId="0" fontId="5" fillId="3" borderId="0" xfId="2" applyFill="1" applyAlignment="1" applyProtection="1">
      <alignment horizontal="center"/>
      <protection locked="0"/>
    </xf>
    <xf numFmtId="164" fontId="5" fillId="0" borderId="0" xfId="4" applyNumberFormat="1" applyFont="1" applyAlignment="1" applyProtection="1">
      <alignment horizontal="center"/>
    </xf>
    <xf numFmtId="0" fontId="5" fillId="0" borderId="3" xfId="0" applyFont="1" applyBorder="1" applyAlignment="1">
      <alignment horizontal="center" vertical="top" wrapText="1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0" fontId="24" fillId="0" borderId="0" xfId="0" applyFont="1"/>
    <xf numFmtId="0" fontId="0" fillId="0" borderId="32" xfId="0" applyBorder="1" applyAlignment="1">
      <alignment horizontal="left"/>
    </xf>
    <xf numFmtId="0" fontId="0" fillId="0" borderId="36" xfId="0" applyBorder="1"/>
    <xf numFmtId="0" fontId="19" fillId="6" borderId="34" xfId="0" applyFont="1" applyFill="1" applyBorder="1" applyAlignment="1">
      <alignment horizontal="right"/>
    </xf>
    <xf numFmtId="0" fontId="9" fillId="6" borderId="33" xfId="2" applyFont="1" applyFill="1" applyBorder="1"/>
    <xf numFmtId="0" fontId="0" fillId="6" borderId="35" xfId="0" applyFill="1" applyBorder="1"/>
    <xf numFmtId="0" fontId="0" fillId="0" borderId="37" xfId="0" applyBorder="1"/>
    <xf numFmtId="0" fontId="0" fillId="0" borderId="0" xfId="0" applyAlignment="1">
      <alignment wrapText="1"/>
    </xf>
    <xf numFmtId="0" fontId="23" fillId="8" borderId="32" xfId="0" applyFont="1" applyFill="1" applyBorder="1" applyAlignment="1">
      <alignment horizontal="center" vertical="center" wrapText="1"/>
    </xf>
    <xf numFmtId="1" fontId="23" fillId="8" borderId="32" xfId="0" applyNumberFormat="1" applyFont="1" applyFill="1" applyBorder="1" applyAlignment="1">
      <alignment horizontal="left" vertical="center" wrapText="1"/>
    </xf>
    <xf numFmtId="0" fontId="23" fillId="8" borderId="32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center" vertical="center" wrapText="1"/>
    </xf>
    <xf numFmtId="1" fontId="2" fillId="0" borderId="39" xfId="1" applyNumberFormat="1" applyBorder="1" applyAlignment="1" applyProtection="1">
      <alignment horizontal="center" vertical="center" wrapText="1"/>
      <protection locked="0"/>
    </xf>
    <xf numFmtId="0" fontId="2" fillId="0" borderId="40" xfId="1" applyBorder="1" applyAlignment="1" applyProtection="1">
      <alignment horizontal="center" vertical="center"/>
      <protection locked="0"/>
    </xf>
    <xf numFmtId="0" fontId="2" fillId="0" borderId="40" xfId="1" applyBorder="1" applyAlignment="1" applyProtection="1">
      <alignment horizontal="left" vertical="top"/>
      <protection locked="0"/>
    </xf>
    <xf numFmtId="1" fontId="2" fillId="0" borderId="41" xfId="1" applyNumberFormat="1" applyBorder="1" applyAlignment="1" applyProtection="1">
      <alignment horizontal="left" vertical="top" wrapText="1"/>
      <protection locked="0"/>
    </xf>
    <xf numFmtId="1" fontId="2" fillId="0" borderId="41" xfId="1" applyNumberFormat="1" applyBorder="1" applyAlignment="1" applyProtection="1">
      <alignment horizontal="left" vertical="top"/>
      <protection locked="0"/>
    </xf>
    <xf numFmtId="0" fontId="2" fillId="0" borderId="42" xfId="1" applyBorder="1" applyAlignment="1" applyProtection="1">
      <alignment horizontal="left" vertical="top"/>
      <protection locked="0"/>
    </xf>
    <xf numFmtId="1" fontId="2" fillId="0" borderId="43" xfId="1" applyNumberFormat="1" applyBorder="1" applyAlignment="1" applyProtection="1">
      <alignment horizontal="center" vertical="center" wrapText="1"/>
      <protection locked="0"/>
    </xf>
    <xf numFmtId="0" fontId="2" fillId="0" borderId="44" xfId="1" applyBorder="1" applyAlignment="1" applyProtection="1">
      <alignment horizontal="center" vertical="center"/>
      <protection locked="0"/>
    </xf>
    <xf numFmtId="0" fontId="2" fillId="0" borderId="44" xfId="1" applyBorder="1" applyAlignment="1" applyProtection="1">
      <alignment horizontal="left" vertical="top"/>
      <protection locked="0"/>
    </xf>
    <xf numFmtId="1" fontId="2" fillId="0" borderId="45" xfId="1" applyNumberFormat="1" applyBorder="1" applyAlignment="1" applyProtection="1">
      <alignment horizontal="left" vertical="top" wrapText="1"/>
      <protection locked="0"/>
    </xf>
    <xf numFmtId="1" fontId="2" fillId="0" borderId="45" xfId="1" applyNumberFormat="1" applyBorder="1" applyAlignment="1" applyProtection="1">
      <alignment horizontal="left" vertical="top"/>
      <protection locked="0"/>
    </xf>
    <xf numFmtId="0" fontId="2" fillId="0" borderId="46" xfId="1" applyBorder="1" applyAlignment="1" applyProtection="1">
      <alignment horizontal="left" vertical="top"/>
      <protection locked="0"/>
    </xf>
    <xf numFmtId="0" fontId="9" fillId="5" borderId="7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 wrapText="1"/>
    </xf>
    <xf numFmtId="0" fontId="18" fillId="5" borderId="2" xfId="2" applyFont="1" applyFill="1" applyBorder="1"/>
    <xf numFmtId="0" fontId="0" fillId="5" borderId="27" xfId="0" applyFill="1" applyBorder="1"/>
    <xf numFmtId="0" fontId="0" fillId="5" borderId="23" xfId="0" applyFill="1" applyBorder="1"/>
    <xf numFmtId="0" fontId="0" fillId="5" borderId="31" xfId="0" applyFill="1" applyBorder="1"/>
    <xf numFmtId="0" fontId="18" fillId="5" borderId="2" xfId="5" applyFont="1" applyFill="1" applyBorder="1" applyAlignment="1">
      <alignment horizontal="left" vertical="center"/>
    </xf>
    <xf numFmtId="0" fontId="18" fillId="5" borderId="27" xfId="5" applyFont="1" applyFill="1" applyBorder="1" applyAlignment="1">
      <alignment horizontal="left" vertical="center"/>
    </xf>
    <xf numFmtId="0" fontId="18" fillId="5" borderId="28" xfId="5" applyFont="1" applyFill="1" applyBorder="1" applyAlignment="1">
      <alignment horizontal="left" vertical="center"/>
    </xf>
    <xf numFmtId="0" fontId="5" fillId="6" borderId="29" xfId="6" applyFill="1" applyBorder="1" applyAlignment="1">
      <alignment horizontal="center"/>
    </xf>
    <xf numFmtId="0" fontId="5" fillId="6" borderId="30" xfId="6" applyFill="1" applyBorder="1" applyAlignment="1">
      <alignment horizontal="center"/>
    </xf>
    <xf numFmtId="0" fontId="9" fillId="5" borderId="2" xfId="2" applyFont="1" applyFill="1" applyBorder="1" applyAlignment="1">
      <alignment horizontal="left" vertical="center"/>
    </xf>
    <xf numFmtId="0" fontId="9" fillId="5" borderId="27" xfId="2" applyFont="1" applyFill="1" applyBorder="1" applyAlignment="1">
      <alignment horizontal="left" vertical="center"/>
    </xf>
    <xf numFmtId="0" fontId="5" fillId="6" borderId="35" xfId="2" applyFill="1" applyBorder="1" applyAlignment="1">
      <alignment horizontal="left" vertical="top"/>
    </xf>
    <xf numFmtId="0" fontId="5" fillId="6" borderId="38" xfId="2" applyFill="1" applyBorder="1" applyAlignment="1">
      <alignment horizontal="left" vertical="top"/>
    </xf>
    <xf numFmtId="0" fontId="20" fillId="7" borderId="10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27" fillId="9" borderId="47" xfId="0" applyFont="1" applyFill="1" applyBorder="1" applyAlignment="1">
      <alignment horizontal="center" vertical="center" wrapText="1"/>
    </xf>
    <xf fontId="28" fillId="10" borderId="48" applyFont="1" applyFill="1" applyBorder="1">
      <alignment horizontal="center" vertical="center"/>
    </xf>
  </cellXfs>
  <cellStyles count="8">
    <cellStyle name="Comma_UM HPC Pricing Summary" xfId="7" xr:uid="{8F9F9C9B-3955-4FC9-A989-D8F9B65F8DBE}"/>
    <cellStyle name="Header 1" xfId="5" xr:uid="{FA23B439-D594-416D-895E-A5507EFD6F03}"/>
    <cellStyle name="Hyperlink" xfId="3" builtinId="8"/>
    <cellStyle name="Normal" xfId="0" builtinId="0"/>
    <cellStyle name="Normal 2" xfId="2" xr:uid="{7FEBE9C5-2BB7-4C29-BD1F-E7FC14986491}"/>
    <cellStyle name="Normal 2 2" xfId="1" xr:uid="{7130A277-61ED-46C2-9513-4A9CD53359D6}"/>
    <cellStyle name="Normal_Doc. Info 2" xfId="6" xr:uid="{EB731C97-00D7-4D2C-B847-2A7CE3B004C9}"/>
    <cellStyle name="Percent 2" xfId="4" xr:uid="{470057DD-23FF-4743-B1B1-F594ED9868BD}"/>
  </cellStyles>
  <dxfs count="0"/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c:rich>
      </c:tx>
      <c:layout>
        <c:manualLayout>
          <c:xMode val="edge"/>
          <c:yMode val="edge"/>
          <c:x val="0.39712985637560855"/>
          <c:y val="1.35501355013550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124536054214093E-2"/>
          <c:y val="0.1029813023514311"/>
          <c:w val="0.80701880080430244"/>
          <c:h val="0.745259424911672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'Pareto Analysis'!$I$32</c:f>
              <c:strCache>
                <c:ptCount val="1"/>
                <c:pt idx="0">
                  <c:v>Vital Few</c:v>
                </c:pt>
              </c:strCache>
            </c:strRef>
          </c:tx>
          <c:spPr>
            <a:solidFill>
              <a:srgbClr val="8394C9"/>
            </a:solidFill>
            <a:ln w="25400">
              <a:noFill/>
            </a:ln>
          </c:spPr>
          <c:invertIfNegative val="0"/>
          <c:cat>
            <c:strRef>
              <c:f>'Pareto Analysis'!$C$33:$C$48</c:f>
              <c:strCache>
                <c:ptCount val="9"/>
                <c:pt idx="0">
                  <c:v>Glue</c:v>
                </c:pt>
                <c:pt idx="1">
                  <c:v>Binding</c:v>
                </c:pt>
                <c:pt idx="2">
                  <c:v>Button</c:v>
                </c:pt>
                <c:pt idx="3">
                  <c:v>Pressure Applied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'Pareto Analysis'!$I$33:$I$48</c:f>
              <c:numCache>
                <c:formatCode>General</c:formatCode>
                <c:ptCount val="16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9-44AC-812D-11AF93FACCB0}"/>
            </c:ext>
          </c:extLst>
        </c:ser>
        <c:ser>
          <c:idx val="0"/>
          <c:order val="1"/>
          <c:tx>
            <c:strRef>
              <c:f>'Pareto Analysis'!$J$32</c:f>
              <c:strCache>
                <c:ptCount val="1"/>
                <c:pt idx="0">
                  <c:v>Useful Many</c:v>
                </c:pt>
              </c:strCache>
            </c:strRef>
          </c:tx>
          <c:spPr>
            <a:solidFill>
              <a:srgbClr val="BCC5E1"/>
            </a:solidFill>
            <a:ln w="25400">
              <a:noFill/>
            </a:ln>
          </c:spPr>
          <c:invertIfNegative val="0"/>
          <c:cat>
            <c:strRef>
              <c:f>'Pareto Analysis'!$C$33:$C$48</c:f>
              <c:strCache>
                <c:ptCount val="9"/>
                <c:pt idx="0">
                  <c:v>Glue</c:v>
                </c:pt>
                <c:pt idx="1">
                  <c:v>Binding</c:v>
                </c:pt>
                <c:pt idx="2">
                  <c:v>Button</c:v>
                </c:pt>
                <c:pt idx="3">
                  <c:v>Pressure Applied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'Pareto Analysis'!$J$33:$J$48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9-44AC-812D-11AF93FACCB0}"/>
            </c:ext>
          </c:extLst>
        </c:ser>
        <c:ser>
          <c:idx val="4"/>
          <c:order val="4"/>
          <c:tx>
            <c:v>Labels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Analysis'!$C$33:$C$48</c:f>
              <c:strCache>
                <c:ptCount val="9"/>
                <c:pt idx="0">
                  <c:v>Glue</c:v>
                </c:pt>
                <c:pt idx="1">
                  <c:v>Binding</c:v>
                </c:pt>
                <c:pt idx="2">
                  <c:v>Button</c:v>
                </c:pt>
                <c:pt idx="3">
                  <c:v>Pressure Applied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'Pareto Analysis'!$C$33:$C$48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E9-44AC-812D-11AF93FA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00295535"/>
        <c:axId val="1"/>
      </c:barChart>
      <c:lineChart>
        <c:grouping val="standard"/>
        <c:varyColors val="0"/>
        <c:ser>
          <c:idx val="2"/>
          <c:order val="2"/>
          <c:tx>
            <c:strRef>
              <c:f>'Pareto Analysis'!$E$32</c:f>
              <c:strCache>
                <c:ptCount val="1"/>
                <c:pt idx="0">
                  <c:v>Cumulative%</c:v>
                </c:pt>
              </c:strCache>
            </c:strRef>
          </c:tx>
          <c:spPr>
            <a:ln w="25400">
              <a:solidFill>
                <a:srgbClr val="6B0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6B0C00"/>
              </a:solidFill>
              <a:ln>
                <a:solidFill>
                  <a:srgbClr val="6B0C00"/>
                </a:solidFill>
                <a:prstDash val="solid"/>
              </a:ln>
            </c:spPr>
          </c:marker>
          <c:val>
            <c:numRef>
              <c:f>'Pareto Analysis'!$E$33:$E$48</c:f>
              <c:numCache>
                <c:formatCode>0.0%</c:formatCode>
                <c:ptCount val="16"/>
                <c:pt idx="0">
                  <c:v>0.46296296296296297</c:v>
                </c:pt>
                <c:pt idx="1">
                  <c:v>0.7407407407407407</c:v>
                </c:pt>
                <c:pt idx="2">
                  <c:v>0.87962962962962965</c:v>
                </c:pt>
                <c:pt idx="3">
                  <c:v>0.92592592592592593</c:v>
                </c:pt>
                <c:pt idx="4">
                  <c:v>0.95370370370370372</c:v>
                </c:pt>
                <c:pt idx="5">
                  <c:v>0.97222222222222221</c:v>
                </c:pt>
                <c:pt idx="6">
                  <c:v>0.98148148148148151</c:v>
                </c:pt>
                <c:pt idx="7">
                  <c:v>0.9907407407407407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E9-44AC-812D-11AF93FACCB0}"/>
            </c:ext>
          </c:extLst>
        </c:ser>
        <c:ser>
          <c:idx val="3"/>
          <c:order val="3"/>
          <c:tx>
            <c:strRef>
              <c:f>'Pareto Analysis'!$K$32</c:f>
              <c:strCache>
                <c:ptCount val="1"/>
                <c:pt idx="0">
                  <c:v>Cut Off %</c:v>
                </c:pt>
              </c:strCache>
            </c:strRef>
          </c:tx>
          <c:spPr>
            <a:ln w="12700">
              <a:solidFill>
                <a:srgbClr val="6B0C00"/>
              </a:solidFill>
              <a:prstDash val="sysDash"/>
            </a:ln>
          </c:spPr>
          <c:marker>
            <c:symbol val="none"/>
          </c:marker>
          <c:val>
            <c:numRef>
              <c:f>'Pareto Analysis'!$K$33:$K$48</c:f>
              <c:numCache>
                <c:formatCode>0%</c:formatCode>
                <c:ptCount val="1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E9-44AC-812D-11AF93FA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00295535"/>
        <c:scaling>
          <c:orientation val="minMax"/>
        </c:scaling>
        <c:delete val="0"/>
        <c:axPos val="b"/>
        <c:title>
          <c:tx>
            <c:strRef>
              <c:f>'Pareto Analysis'!$C$32</c:f>
              <c:strCache>
                <c:ptCount val="1"/>
                <c:pt idx="0">
                  <c:v>Causes</c:v>
                </c:pt>
              </c:strCache>
            </c:strRef>
          </c:tx>
          <c:layout>
            <c:manualLayout>
              <c:xMode val="edge"/>
              <c:yMode val="edge"/>
              <c:x val="0.43221757567385416"/>
              <c:y val="0.86179089402442577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strRef>
              <c:f>'Pareto Analysis'!$D$32</c:f>
              <c:strCache>
                <c:ptCount val="1"/>
                <c:pt idx="0">
                  <c:v>Defects</c:v>
                </c:pt>
              </c:strCache>
            </c:strRef>
          </c:tx>
          <c:layout>
            <c:manualLayout>
              <c:xMode val="edge"/>
              <c:yMode val="edge"/>
              <c:x val="6.379585326953748E-3"/>
              <c:y val="0.38482498630760587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29553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c:rich>
          </c:tx>
          <c:layout>
            <c:manualLayout>
              <c:xMode val="edge"/>
              <c:yMode val="edge"/>
              <c:x val="0.95534440969998369"/>
              <c:y val="0.3523043765870729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  <c:majorUnit val="0.2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6.8580709707937212E-2"/>
          <c:y val="0.93225188314875274"/>
          <c:w val="0.84051170637163175"/>
          <c:h val="5.962088072324289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38100</xdr:rowOff>
    </xdr:from>
    <xdr:to>
      <xdr:col>6</xdr:col>
      <xdr:colOff>1543050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738D9-D54C-4F00-BA0A-4E317B7AC7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15125" y="38100"/>
          <a:ext cx="1485900" cy="809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47625</xdr:rowOff>
    </xdr:from>
    <xdr:to>
      <xdr:col>6</xdr:col>
      <xdr:colOff>828675</xdr:colOff>
      <xdr:row>27</xdr:row>
      <xdr:rowOff>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34C9FCD-71E3-413D-8623-9FE869596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absolute">
    <xdr:from>
      <xdr:col>8</xdr:col>
      <xdr:colOff>219075</xdr:colOff>
      <xdr:row>4</xdr:row>
      <xdr:rowOff>0</xdr:rowOff>
    </xdr:from>
    <xdr:to>
      <xdr:col>11</xdr:col>
      <xdr:colOff>219075</xdr:colOff>
      <xdr:row>27</xdr:row>
      <xdr:rowOff>171450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FE348E55-329B-48BB-B391-81A84FDF7639}"/>
            </a:ext>
          </a:extLst>
        </xdr:cNvPr>
        <xdr:cNvSpPr>
          <a:spLocks noChangeArrowheads="1"/>
        </xdr:cNvSpPr>
      </xdr:nvSpPr>
      <xdr:spPr bwMode="auto">
        <a:xfrm>
          <a:off x="6438900" y="857250"/>
          <a:ext cx="2686050" cy="3895725"/>
        </a:xfrm>
        <a:prstGeom prst="roundRect">
          <a:avLst>
            <a:gd name="adj" fmla="val 6995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Instructions: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Enter the causes and the number of defects in descending order. You can enter the values and then use the Data &gt; Sort feature to place the values in descending order.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You can change the value for the Cumulative Percentage Cutoff.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The axis labels in the chart are linked to the column headers in the table below the chart.  Change the column headings in the table as needed (e.g. "Problems"/"Frequency" or "Products"/"Sales" instead of "Causes"/"Defects").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</a:t>
          </a: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Deleting Rows: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delete rows without messing up the formulas.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</a:t>
          </a: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Adding Rows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: To add additional items to the table and chart, copy an existing row (columns A-K or the entire row) and INSERT it somewhere BELOW the first line in the table (position #2) or ABOVE the last row in the table (position #14) so that the ranges stretch appropriately.</a:t>
          </a:r>
        </a:p>
      </xdr:txBody>
    </xdr:sp>
    <xdr:clientData fPrintsWithSheet="0"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0.95231</cdr:x>
      <cdr:y>0.94586</cdr:y>
    </cdr:from>
    <cdr:to>
      <cdr:x>0.97688</cdr:x>
      <cdr:y>0.97627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87362" y="3324438"/>
          <a:ext cx="146707" cy="10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[42]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7E4C-6B7C-431B-AD01-A9F1CD922E08}">
  <sheetPr/>
  <sheetViews>
    <sheetView showGridLines="0" tabSelected="1" topLeftCell="A4" workbookViewId="0">
      <selection activeCell="K34" sqref="K34"/>
    </sheetView>
  </sheetViews>
  <sheetFormatPr baseColWidth="10" defaultColWidth="8.83203125" defaultRowHeight="15" x14ac:dyDescent="0.2"/>
  <cols>
    <col min="1" max="1" width="2.5" customWidth="1"/>
    <col min="2" max="2" width="6" customWidth="1"/>
    <col min="3" max="3" width="12.6640625" customWidth="1"/>
    <col min="4" max="4" width="16.33203125" style="99" customWidth="1"/>
    <col min="5" max="5" width="53.6640625" customWidth="1"/>
    <col min="6" max="6" width="16.33203125" customWidth="1"/>
    <col min="7" max="7" width="24" customWidth="1"/>
  </cols>
  <sheetData>
    <row r="1" spans="2:7" ht="28.5" customHeight="1" x14ac:dyDescent="0.2">
      <c r="B1" t="s" s="137">
        <v>0</v>
      </c>
      <c r="C1" s="138"/>
      <c r="D1" s="138"/>
      <c r="E1" s="138"/>
      <c r="F1" s="139"/>
      <c r="G1" s="140"/>
    </row>
    <row r="2" spans="2:7" x14ac:dyDescent="0.2">
      <c r="B2" s="41"/>
      <c r="C2" s="41"/>
      <c r="D2" s="98"/>
      <c r="E2" s="41"/>
      <c r="F2" s="41"/>
      <c r="G2" s="141"/>
    </row>
    <row r="3" spans="2:7" ht="26.25" customHeight="1" x14ac:dyDescent="0.2">
      <c r="B3" t="s" s="137">
        <v>1</v>
      </c>
      <c r="C3" s="138"/>
      <c r="D3" s="138"/>
      <c r="E3" s="138"/>
      <c r="F3" s="139"/>
      <c r="G3" s="141"/>
    </row>
    <row r="4" spans="2:7" x14ac:dyDescent="0.2">
      <c r="B4" s="41"/>
      <c r="C4" s="41"/>
      <c r="D4" s="98"/>
      <c r="E4" s="41"/>
      <c r="F4" s="41"/>
      <c r="G4" t="s" s="105">
        <v>2</v>
      </c>
    </row>
    <row r="5" spans="2:7" x14ac:dyDescent="0.2">
      <c r="B5" t="s" s="142">
        <v>3</v>
      </c>
      <c r="C5" s="143"/>
      <c r="D5" t="s" s="103">
        <v>4</v>
      </c>
      <c r="E5" s="104"/>
      <c r="F5" s="108"/>
      <c r="G5" s="106"/>
    </row>
    <row r="6" spans="2:7" x14ac:dyDescent="0.2">
      <c r="B6" s="41"/>
      <c r="C6" s="41"/>
      <c r="D6" s="144"/>
      <c r="E6" s="144"/>
      <c r="F6" s="145"/>
      <c r="G6" s="107"/>
    </row>
    <row r="7" spans="2:7" ht="18" x14ac:dyDescent="0.2">
      <c r="B7" t="s" s="133">
        <v>5</v>
      </c>
      <c r="C7" s="134"/>
      <c r="D7" s="135"/>
      <c r="E7" s="135"/>
      <c r="F7" s="135"/>
      <c r="G7" s="136"/>
    </row>
    <row r="8" spans="2:7" x14ac:dyDescent="0.2">
      <c r="B8" t="s" s="43">
        <v>6</v>
      </c>
      <c r="C8" t="s" s="44">
        <v>7</v>
      </c>
      <c r="D8" t="s" s="43">
        <v>8</v>
      </c>
      <c r="E8" t="s" s="43">
        <v>9</v>
      </c>
      <c r="F8" t="s" s="44">
        <v>10</v>
      </c>
      <c r="G8" t="s" s="44">
        <v>11</v>
      </c>
    </row>
    <row r="9" spans="2:7" x14ac:dyDescent="0.2">
      <c r="B9" s="50">
        <v>1</v>
      </c>
      <c r="C9" t="s" s="63">
        <v>85</v>
      </c>
      <c r="D9" t="s" s="97">
        <v>86</v>
      </c>
      <c r="E9" t="s" s="42">
        <v>87</v>
      </c>
      <c r="F9" t="s" s="42">
        <v>88</v>
      </c>
      <c r="G9" t="s" s="63">
        <v>88</v>
      </c>
    </row>
    <row r="10" spans="2:7" x14ac:dyDescent="0.2">
      <c r="B10" s="51">
        <v>2</v>
      </c>
      <c r="C10" s="64"/>
      <c r="D10" s="97"/>
      <c r="E10" s="42"/>
      <c r="F10" s="42"/>
      <c r="G10" s="64"/>
    </row>
    <row r="11" spans="2:7" x14ac:dyDescent="0.2">
      <c r="B11" s="52">
        <v>3</v>
      </c>
      <c r="C11" s="64"/>
      <c r="D11" s="97"/>
      <c r="E11" s="42"/>
      <c r="F11" s="42"/>
      <c r="G11" s="65"/>
    </row>
    <row r="12" spans="2:7" x14ac:dyDescent="0.2">
      <c r="B12" s="53">
        <v>4</v>
      </c>
      <c r="C12" s="64"/>
      <c r="D12" s="97"/>
      <c r="E12" s="42"/>
      <c r="F12" s="42"/>
      <c r="G12" s="64"/>
    </row>
    <row r="13" spans="2:7" x14ac:dyDescent="0.2">
      <c r="B13" s="53">
        <v>5</v>
      </c>
      <c r="C13" s="64"/>
      <c r="D13" s="97"/>
      <c r="E13" s="42"/>
      <c r="F13" s="42"/>
      <c r="G13" s="64"/>
    </row>
    <row r="14" spans="2:7" x14ac:dyDescent="0.2">
      <c r="B14" s="50">
        <v>6</v>
      </c>
      <c r="C14" s="63"/>
      <c r="D14" s="97"/>
      <c r="E14" s="42"/>
      <c r="F14" s="42"/>
      <c r="G14" s="63"/>
    </row>
    <row r="15" spans="2:7" x14ac:dyDescent="0.2">
      <c r="B15" s="51">
        <v>7</v>
      </c>
      <c r="C15" s="64"/>
      <c r="D15" s="97"/>
      <c r="E15" s="42"/>
      <c r="F15" s="42"/>
      <c r="G15" s="64"/>
    </row>
    <row r="16" spans="2:7" x14ac:dyDescent="0.2">
      <c r="B16" s="52">
        <v>8</v>
      </c>
      <c r="C16" s="64"/>
      <c r="D16" s="97"/>
      <c r="E16" s="42"/>
      <c r="F16" s="42"/>
      <c r="G16" s="65"/>
    </row>
    <row r="17" spans="2:7" x14ac:dyDescent="0.2">
      <c r="B17" s="53">
        <v>9</v>
      </c>
      <c r="C17" s="64"/>
      <c r="D17" s="97"/>
      <c r="E17" s="42"/>
      <c r="F17" s="42"/>
      <c r="G17" s="64"/>
    </row>
    <row r="18" spans="2:7" x14ac:dyDescent="0.2">
      <c r="B18" s="53">
        <v>10</v>
      </c>
      <c r="C18" s="64"/>
      <c r="D18" s="97"/>
      <c r="E18" s="42"/>
      <c r="F18" s="42"/>
      <c r="G18" s="64"/>
    </row>
    <row r="19" spans="2:7" x14ac:dyDescent="0.2">
      <c r="B19" s="50">
        <v>11</v>
      </c>
      <c r="C19" s="63"/>
      <c r="D19" s="97"/>
      <c r="E19" s="42"/>
      <c r="F19" s="42"/>
      <c r="G19" s="63"/>
    </row>
    <row r="20" spans="2:7" x14ac:dyDescent="0.2">
      <c r="B20" s="51">
        <v>12</v>
      </c>
      <c r="C20" s="64"/>
      <c r="D20" s="97"/>
      <c r="E20" s="42"/>
      <c r="F20" s="42"/>
      <c r="G20" s="64"/>
    </row>
    <row r="21" spans="2:7" x14ac:dyDescent="0.2">
      <c r="B21" s="52">
        <v>13</v>
      </c>
      <c r="C21" s="64"/>
      <c r="D21" s="97"/>
      <c r="E21" s="42"/>
      <c r="F21" s="42"/>
      <c r="G21" s="65"/>
    </row>
    <row r="22" spans="2:7" x14ac:dyDescent="0.2">
      <c r="B22" s="53">
        <v>14</v>
      </c>
      <c r="C22" s="64"/>
      <c r="D22" s="97"/>
      <c r="E22" s="42"/>
      <c r="F22" s="42"/>
      <c r="G22" s="64"/>
    </row>
    <row r="23" spans="2:7" x14ac:dyDescent="0.2">
      <c r="B23" s="53">
        <v>15</v>
      </c>
      <c r="C23" s="64"/>
      <c r="D23" s="97"/>
      <c r="E23" s="42"/>
      <c r="F23" s="42"/>
      <c r="G23" s="64"/>
    </row>
    <row r="24" spans="2:7" x14ac:dyDescent="0.2">
      <c r="B24" s="50">
        <v>16</v>
      </c>
      <c r="C24" s="63"/>
      <c r="D24" s="97"/>
      <c r="E24" s="42"/>
      <c r="F24" s="42"/>
      <c r="G24" s="63"/>
    </row>
    <row r="25" spans="2:7" x14ac:dyDescent="0.2">
      <c r="B25" s="51">
        <v>17</v>
      </c>
      <c r="C25" s="64"/>
      <c r="D25" s="97"/>
      <c r="E25" s="42"/>
      <c r="F25" s="42"/>
      <c r="G25" s="64"/>
    </row>
    <row r="26" spans="2:7" x14ac:dyDescent="0.2">
      <c r="B26" s="52">
        <v>18</v>
      </c>
      <c r="C26" s="64"/>
      <c r="D26" s="97"/>
      <c r="E26" s="42"/>
      <c r="F26" s="42"/>
      <c r="G26" s="65"/>
    </row>
    <row r="27" spans="2:7" x14ac:dyDescent="0.2">
      <c r="B27" s="53">
        <v>19</v>
      </c>
      <c r="C27" s="64"/>
      <c r="D27" s="97"/>
      <c r="E27" s="42"/>
      <c r="F27" s="42"/>
      <c r="G27" s="64"/>
    </row>
    <row r="28" spans="2:7" x14ac:dyDescent="0.2">
      <c r="B28" s="53">
        <v>20</v>
      </c>
      <c r="C28" s="64"/>
      <c r="D28" s="97"/>
      <c r="E28" s="42"/>
      <c r="F28" s="42"/>
      <c r="G28" s="64"/>
    </row>
    <row r="29" spans="2:7" x14ac:dyDescent="0.2">
      <c r="B29" s="50">
        <v>21</v>
      </c>
      <c r="C29" s="63"/>
      <c r="D29" s="97"/>
      <c r="E29" s="42"/>
      <c r="F29" s="42"/>
      <c r="G29" s="63"/>
    </row>
    <row r="30" spans="2:7" x14ac:dyDescent="0.2">
      <c r="B30" s="51">
        <v>22</v>
      </c>
      <c r="C30" s="64"/>
      <c r="D30" s="97"/>
      <c r="E30" s="42"/>
      <c r="F30" s="42"/>
      <c r="G30" s="64"/>
    </row>
    <row r="31" spans="2:7" x14ac:dyDescent="0.2">
      <c r="B31" s="52">
        <v>23</v>
      </c>
      <c r="C31" s="64"/>
      <c r="D31" s="97"/>
      <c r="E31" s="42"/>
      <c r="F31" s="42"/>
      <c r="G31" s="65"/>
    </row>
    <row r="32" spans="2:7" x14ac:dyDescent="0.2">
      <c r="B32" s="53">
        <v>24</v>
      </c>
      <c r="C32" s="64"/>
      <c r="D32" s="97"/>
      <c r="E32" s="42"/>
      <c r="F32" s="42"/>
      <c r="G32" s="64"/>
    </row>
    <row r="33" spans="2:7" x14ac:dyDescent="0.2">
      <c r="B33" s="53">
        <v>25</v>
      </c>
      <c r="C33" s="64"/>
      <c r="D33" s="97"/>
      <c r="E33" s="42"/>
      <c r="F33" s="42"/>
      <c r="G33" s="64"/>
    </row>
    <row r="34" spans="2:7" x14ac:dyDescent="0.2">
      <c r="B34" s="50">
        <v>26</v>
      </c>
      <c r="C34" s="63"/>
      <c r="D34" s="97"/>
      <c r="E34" s="42"/>
      <c r="F34" s="42"/>
      <c r="G34" s="63"/>
    </row>
    <row r="35" spans="2:7" x14ac:dyDescent="0.2">
      <c r="B35" s="51">
        <v>27</v>
      </c>
      <c r="C35" s="64"/>
      <c r="D35" s="97"/>
      <c r="E35" s="42"/>
      <c r="F35" s="42"/>
      <c r="G35" s="64"/>
    </row>
    <row r="36" spans="2:7" x14ac:dyDescent="0.2">
      <c r="B36" s="52">
        <v>28</v>
      </c>
      <c r="C36" s="64"/>
      <c r="D36" s="97"/>
      <c r="E36" s="42"/>
      <c r="F36" s="42"/>
      <c r="G36" s="65"/>
    </row>
    <row r="37" spans="2:7" x14ac:dyDescent="0.2">
      <c r="B37" s="53">
        <v>29</v>
      </c>
      <c r="C37" s="64"/>
      <c r="D37" s="97"/>
      <c r="E37" s="42"/>
      <c r="F37" s="42"/>
      <c r="G37" s="64"/>
    </row>
    <row r="38" spans="2:7" x14ac:dyDescent="0.2">
      <c r="B38" s="53">
        <v>30</v>
      </c>
      <c r="C38" s="64"/>
      <c r="D38" s="97"/>
      <c r="E38" s="42"/>
      <c r="F38" s="42"/>
      <c r="G38" s="64"/>
    </row>
    <row r="39" spans="2:7" x14ac:dyDescent="0.2">
      <c r="B39" s="50">
        <v>31</v>
      </c>
      <c r="C39" s="63"/>
      <c r="D39" s="97"/>
      <c r="E39" s="42"/>
      <c r="F39" s="42"/>
      <c r="G39" s="63"/>
    </row>
    <row r="40" spans="2:7" x14ac:dyDescent="0.2">
      <c r="B40" s="51">
        <v>32</v>
      </c>
      <c r="C40" s="64"/>
      <c r="D40" s="97"/>
      <c r="E40" s="42"/>
      <c r="F40" s="42"/>
      <c r="G40" s="64"/>
    </row>
    <row r="41" spans="2:7" x14ac:dyDescent="0.2">
      <c r="B41" s="52">
        <v>33</v>
      </c>
      <c r="C41" s="64"/>
      <c r="D41" s="97"/>
      <c r="E41" s="42"/>
      <c r="F41" s="42"/>
      <c r="G41" s="65"/>
    </row>
    <row r="42" spans="2:7" x14ac:dyDescent="0.2">
      <c r="B42" s="53">
        <v>34</v>
      </c>
      <c r="C42" s="64"/>
      <c r="D42" s="97"/>
      <c r="E42" s="42"/>
      <c r="F42" s="42"/>
      <c r="G42" s="64"/>
    </row>
    <row r="43" spans="2:7" x14ac:dyDescent="0.2">
      <c r="B43" s="53">
        <v>35</v>
      </c>
      <c r="C43" s="64"/>
      <c r="D43" s="97"/>
      <c r="E43" s="42"/>
      <c r="F43" s="42"/>
      <c r="G43" s="64"/>
    </row>
    <row r="44" spans="2:7" x14ac:dyDescent="0.2">
      <c r="B44" s="50">
        <v>36</v>
      </c>
      <c r="C44" s="63"/>
      <c r="D44" s="97"/>
      <c r="E44" s="42"/>
      <c r="F44" s="42"/>
      <c r="G44" s="63"/>
    </row>
    <row r="45" spans="2:7" x14ac:dyDescent="0.2">
      <c r="B45" s="51">
        <v>37</v>
      </c>
      <c r="C45" s="64"/>
      <c r="D45" s="97"/>
      <c r="E45" s="42"/>
      <c r="F45" s="42"/>
      <c r="G45" s="64"/>
    </row>
    <row r="46" spans="2:7" x14ac:dyDescent="0.2">
      <c r="B46" s="52">
        <v>38</v>
      </c>
      <c r="C46" s="64"/>
      <c r="D46" s="97"/>
      <c r="E46" s="42"/>
      <c r="F46" s="42"/>
      <c r="G46" s="65"/>
    </row>
    <row r="47" spans="2:7" x14ac:dyDescent="0.2">
      <c r="B47" s="53">
        <v>39</v>
      </c>
      <c r="C47" s="64"/>
      <c r="D47" s="97"/>
      <c r="E47" s="42"/>
      <c r="F47" s="42"/>
      <c r="G47" s="64"/>
    </row>
    <row r="48" spans="2:7" x14ac:dyDescent="0.2">
      <c r="B48" s="53">
        <v>40</v>
      </c>
      <c r="C48" s="64"/>
      <c r="D48" s="97"/>
      <c r="E48" s="42"/>
      <c r="F48" s="42"/>
      <c r="G48" s="64"/>
    </row>
  </sheetData>
  <mergeCells count="6">
    <mergeCell ref="B7:G7"/>
    <mergeCell ref="B1:F1"/>
    <mergeCell ref="G1:G3"/>
    <mergeCell ref="B3:F3"/>
    <mergeCell ref="B5:C5"/>
    <mergeCell ref="D6:F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60B1-1CF2-4E2A-84A2-A8E3EE662FEE}">
  <sheetPr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 x14ac:dyDescent="0.2"/>
  <cols>
    <col min="1" max="1" width="1.83203125" customWidth="1"/>
    <col min="2" max="2" width="4.6640625" customWidth="1"/>
    <col min="5" max="5" width="12.33203125" customWidth="1"/>
    <col min="6" max="6" width="17.83203125" customWidth="1"/>
    <col min="8" max="8" width="16.83203125" customWidth="1"/>
    <col min="9" max="9" width="14.1640625" customWidth="1"/>
    <col min="10" max="10" width="37.83203125" customWidth="1"/>
    <col min="11" max="11" width="10" customWidth="1"/>
    <col min="12" max="12" width="22.5" customWidth="1"/>
    <col min="13" max="13" width="10.5" customWidth="1"/>
    <col min="14" max="15" width="15.1640625" customWidth="1"/>
    <col min="16" max="16" width="19.6640625" customWidth="1"/>
  </cols>
  <sheetData>
    <row r="1" spans="2:16" ht="16" thickBot="1" x14ac:dyDescent="0.25"/>
    <row r="2" spans="2:16" ht="26" thickBot="1" x14ac:dyDescent="0.3">
      <c r="B2" t="s" s="129">
        <v>25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1"/>
    </row>
    <row r="3" spans="2:16" ht="23.25" customHeight="1" x14ac:dyDescent="0.2">
      <c r="B3" t="s" s="146">
        <v>26</v>
      </c>
      <c r="C3" s="147"/>
      <c r="D3" s="147"/>
      <c r="E3" s="147"/>
      <c r="F3" s="147"/>
      <c r="G3" s="147"/>
      <c r="H3" s="147"/>
      <c r="I3" s="147"/>
      <c r="J3" s="147"/>
      <c r="K3" s="147"/>
      <c r="L3" s="45"/>
      <c r="M3" t="s" s="147">
        <v>27</v>
      </c>
      <c r="N3" s="147"/>
      <c r="O3" s="147"/>
      <c r="P3" s="148"/>
    </row>
    <row r="4" spans="2:16" ht="71" thickBot="1" x14ac:dyDescent="0.25">
      <c r="B4" t="s" s="46">
        <v>6</v>
      </c>
      <c r="C4" t="s" s="47">
        <v>28</v>
      </c>
      <c r="D4" t="s" s="47">
        <v>29</v>
      </c>
      <c r="E4" t="s" s="47">
        <v>30</v>
      </c>
      <c r="F4" t="s" s="47">
        <v>31</v>
      </c>
      <c r="G4" t="s" s="47">
        <v>32</v>
      </c>
      <c r="H4" t="s" s="47">
        <v>33</v>
      </c>
      <c r="I4" t="s" s="47">
        <v>34</v>
      </c>
      <c r="J4" t="s" s="47">
        <v>35</v>
      </c>
      <c r="K4" t="s" s="47">
        <v>36</v>
      </c>
      <c r="L4" t="s" s="48">
        <v>37</v>
      </c>
      <c r="M4" t="s" s="46">
        <v>38</v>
      </c>
      <c r="N4" t="s" s="47">
        <v>39</v>
      </c>
      <c r="O4" t="s" s="47">
        <v>40</v>
      </c>
      <c r="P4" t="s" s="48">
        <v>41</v>
      </c>
    </row>
    <row r="5" spans="2:16" x14ac:dyDescent="0.2">
      <c r="B5" s="56">
        <v>1</v>
      </c>
      <c r="C5" t="s" s="1">
        <v>42</v>
      </c>
      <c r="D5" s="75">
        <v>1</v>
      </c>
      <c r="E5" t="s" s="66">
        <v>85</v>
      </c>
      <c r="F5" t="s" s="3">
        <v>86</v>
      </c>
      <c r="G5" t="s" s="59">
        <v>89</v>
      </c>
      <c r="H5" t="s" s="3">
        <v>88</v>
      </c>
      <c r="I5" s="59">
        <v>28</v>
      </c>
      <c r="J5" t="s" s="4">
        <v>45</v>
      </c>
      <c r="K5" t="s" s="4">
        <v>46</v>
      </c>
      <c r="L5" t="s" s="3">
        <v>47</v>
      </c>
      <c r="M5" t="s" s="3">
        <v>48</v>
      </c>
      <c r="N5" s="73">
        <v>45803</v>
      </c>
      <c r="O5" s="73">
        <v>45803</v>
      </c>
      <c r="P5" s="11"/>
    </row>
    <row r="6" spans="2:16" x14ac:dyDescent="0.2">
      <c r="B6" s="55"/>
      <c r="C6" s="1"/>
      <c r="D6" s="75"/>
      <c r="E6" s="66"/>
      <c r="F6" s="3"/>
      <c r="G6" s="59"/>
      <c r="H6" s="3"/>
      <c r="I6" s="59"/>
      <c r="J6" s="4"/>
      <c r="K6" s="4"/>
      <c r="L6" s="3"/>
      <c r="M6" s="3"/>
      <c r="N6" s="73"/>
      <c r="O6" s="73"/>
      <c r="P6" s="11"/>
    </row>
    <row r="7" spans="2:16" x14ac:dyDescent="0.2">
      <c r="B7" s="55"/>
      <c r="C7" s="1"/>
      <c r="D7" s="75"/>
      <c r="E7" s="66"/>
      <c r="F7" s="3"/>
      <c r="G7" s="59"/>
      <c r="H7" s="3"/>
      <c r="I7" s="59"/>
      <c r="J7" s="4"/>
      <c r="K7" s="4"/>
      <c r="L7" s="3"/>
      <c r="M7" s="3"/>
      <c r="N7" s="73"/>
      <c r="O7" s="73"/>
      <c r="P7" s="11"/>
    </row>
    <row r="8" spans="2:16" x14ac:dyDescent="0.2">
      <c r="B8" s="55"/>
      <c r="C8" s="1"/>
      <c r="D8" s="75"/>
      <c r="E8" s="66"/>
      <c r="F8" s="3"/>
      <c r="G8" s="59"/>
      <c r="H8" s="3"/>
      <c r="I8" s="59"/>
      <c r="J8" s="4"/>
      <c r="K8" s="4"/>
      <c r="L8" s="3"/>
      <c r="M8" s="3"/>
      <c r="N8" s="73"/>
      <c r="O8" s="73"/>
      <c r="P8" s="11"/>
    </row>
    <row r="9" spans="2:16" x14ac:dyDescent="0.2">
      <c r="B9" s="55"/>
      <c r="C9" s="1"/>
      <c r="D9" s="75"/>
      <c r="E9" s="66"/>
      <c r="F9" s="3"/>
      <c r="G9" s="59"/>
      <c r="H9" s="3"/>
      <c r="I9" s="59"/>
      <c r="J9" s="4"/>
      <c r="K9" s="4"/>
      <c r="L9" s="3"/>
      <c r="M9" s="3"/>
      <c r="N9" s="73"/>
      <c r="O9" s="73"/>
      <c r="P9" s="11"/>
    </row>
    <row r="10" spans="2:16" x14ac:dyDescent="0.2">
      <c r="B10" s="55"/>
      <c r="C10" s="1"/>
      <c r="D10" s="75"/>
      <c r="E10" s="66"/>
      <c r="F10" s="3"/>
      <c r="G10" s="59"/>
      <c r="H10" s="3"/>
      <c r="I10" s="59"/>
      <c r="J10" t="s" s="4">
        <v>49</v>
      </c>
      <c r="K10" s="4"/>
      <c r="L10" s="3"/>
      <c r="M10" s="3"/>
      <c r="N10" s="73"/>
      <c r="O10" s="73"/>
      <c r="P10" s="11"/>
    </row>
    <row r="11" spans="2:16" x14ac:dyDescent="0.2">
      <c r="B11" s="55"/>
      <c r="C11" s="1"/>
      <c r="D11" s="75"/>
      <c r="E11" s="66"/>
      <c r="F11" s="3"/>
      <c r="G11" s="59"/>
      <c r="H11" s="3"/>
      <c r="I11" s="59"/>
      <c r="J11" t="s" s="4">
        <v>50</v>
      </c>
      <c r="K11" s="4"/>
      <c r="L11" s="3"/>
      <c r="M11" s="3"/>
      <c r="N11" s="73"/>
      <c r="O11" s="73"/>
      <c r="P11" s="11"/>
    </row>
    <row r="12" spans="2:16" x14ac:dyDescent="0.2">
      <c r="B12" s="55"/>
      <c r="C12" s="5"/>
      <c r="D12" s="76"/>
      <c r="E12" s="67"/>
      <c r="F12" s="6"/>
      <c r="G12" s="70"/>
      <c r="H12" s="6"/>
      <c r="I12" s="70"/>
      <c r="J12" s="7"/>
      <c r="K12" s="4"/>
      <c r="L12" s="6"/>
      <c r="M12" s="3"/>
      <c r="N12" s="73"/>
      <c r="O12" s="73"/>
      <c r="P12" s="11"/>
    </row>
    <row r="13" spans="2:16" x14ac:dyDescent="0.2">
      <c r="B13" s="55"/>
      <c r="C13" s="8"/>
      <c r="D13" s="77"/>
      <c r="E13" s="68"/>
      <c r="F13" s="9"/>
      <c r="G13" s="71"/>
      <c r="H13" s="9"/>
      <c r="I13" s="71"/>
      <c r="J13" s="10"/>
      <c r="K13" s="4"/>
      <c r="L13" s="9"/>
      <c r="M13" s="3"/>
      <c r="N13" s="73"/>
      <c r="O13" s="73"/>
      <c r="P13" s="11"/>
    </row>
    <row r="14" spans="2:16" x14ac:dyDescent="0.2">
      <c r="B14" s="55"/>
      <c r="C14" s="8"/>
      <c r="D14" s="77"/>
      <c r="E14" s="68"/>
      <c r="F14" s="9"/>
      <c r="G14" s="71"/>
      <c r="H14" s="9"/>
      <c r="I14" s="71"/>
      <c r="J14" s="10"/>
      <c r="K14" s="4"/>
      <c r="L14" s="9"/>
      <c r="M14" s="3"/>
      <c r="N14" s="73"/>
      <c r="O14" s="73"/>
      <c r="P14" s="11"/>
    </row>
    <row r="15" spans="2:16" x14ac:dyDescent="0.2">
      <c r="B15" s="55"/>
      <c r="C15" s="8"/>
      <c r="D15" s="77"/>
      <c r="E15" s="68"/>
      <c r="F15" s="9"/>
      <c r="G15" s="71"/>
      <c r="H15" s="9"/>
      <c r="I15" s="71"/>
      <c r="J15" s="10"/>
      <c r="K15" s="4"/>
      <c r="L15" s="9"/>
      <c r="M15" s="3"/>
      <c r="N15" s="73"/>
      <c r="O15" s="73"/>
      <c r="P15" s="11"/>
    </row>
    <row r="16" spans="2:16" x14ac:dyDescent="0.2">
      <c r="B16" s="55"/>
      <c r="C16" s="8"/>
      <c r="D16" s="77"/>
      <c r="E16" s="68"/>
      <c r="F16" s="9"/>
      <c r="G16" s="71"/>
      <c r="H16" s="9"/>
      <c r="I16" s="71"/>
      <c r="J16" s="10"/>
      <c r="K16" s="4"/>
      <c r="L16" s="9"/>
      <c r="M16" s="3"/>
      <c r="N16" s="73"/>
      <c r="O16" s="73"/>
      <c r="P16" s="11"/>
    </row>
    <row r="17" spans="2:16" ht="16" thickBot="1" x14ac:dyDescent="0.25">
      <c r="B17" s="57"/>
      <c r="C17" s="12"/>
      <c r="D17" s="78"/>
      <c r="E17" s="69"/>
      <c r="F17" s="13"/>
      <c r="G17" s="72"/>
      <c r="H17" s="13"/>
      <c r="I17" s="72"/>
      <c r="J17" s="14"/>
      <c r="K17" s="15"/>
      <c r="L17" s="13"/>
      <c r="M17" s="16"/>
      <c r="N17" s="74"/>
      <c r="O17" s="74"/>
      <c r="P17" s="17"/>
    </row>
  </sheetData>
  <mergeCells count="3">
    <mergeCell ref="B2:P2"/>
    <mergeCell ref="B3:K3"/>
    <mergeCell ref="M3:P3"/>
  </mergeCells>
  <dataValidations count="3">
    <dataValidation type="list" allowBlank="1" showInputMessage="1" showErrorMessage="1" sqref="M5:M17" xr:uid="{3C021B5E-E2FB-4AD9-B677-9B8131F23BA1}">
      <formula1>"Open,Fixed, Closed, Deferred,Re-open, Rejected"</formula1>
    </dataValidation>
    <dataValidation type="list" allowBlank="1" showInputMessage="1" showErrorMessage="1" sqref="K5:K17" xr:uid="{946308D5-7896-4FDE-B576-014EEA646355}">
      <formula1>"High, Medium, Low"</formula1>
    </dataValidation>
    <dataValidation type="list" allowBlank="1" showInputMessage="1" showErrorMessage="1" sqref="C5:C17" xr:uid="{FC8F3F7E-77BF-468B-8D3A-C9242EF3B48F}">
      <formula1>"1st, 2nd, 3rd, 4th, 5th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FD43-6D20-4EA4-8FD6-6A5B07984AAC}">
  <sheetPr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 x14ac:dyDescent="0.2"/>
  <cols>
    <col min="1" max="1" width="14.5" style="99" customWidth="1"/>
    <col min="2" max="2" width="17.5" style="100" customWidth="1"/>
    <col min="3" max="3" width="20.33203125" customWidth="1"/>
    <col min="4" max="4" width="30.5" customWidth="1"/>
    <col min="5" max="5" width="24.5" style="109" customWidth="1"/>
    <col min="6" max="6" width="46.5" customWidth="1"/>
    <col min="7" max="7" width="35.5" customWidth="1"/>
    <col min="8" max="8" width="25.33203125" style="101" customWidth="1"/>
    <col min="9" max="9" width="41.5" customWidth="1"/>
    <col min="10" max="10" width="19.6640625" style="102" customWidth="1"/>
    <col min="11" max="11" width="37.33203125" customWidth="1"/>
    <col min="12" max="12" width="39.1640625" customWidth="1"/>
    <col min="13" max="13" width="38.5" style="100" customWidth="1"/>
    <col min="14" max="14" width="32" customWidth="1"/>
  </cols>
  <sheetData>
    <row r="1" spans="1:13" ht="32.5" customHeight="1" x14ac:dyDescent="0.2">
      <c r="A1" t="s" s="110">
        <v>15</v>
      </c>
      <c r="B1" t="s" s="110">
        <v>16</v>
      </c>
      <c r="C1" t="s" s="110">
        <v>51</v>
      </c>
      <c r="D1" t="s" s="110">
        <v>17</v>
      </c>
      <c r="E1" t="s" s="110">
        <v>18</v>
      </c>
      <c r="F1" t="s" s="110">
        <v>19</v>
      </c>
      <c r="G1" t="s" s="110">
        <v>20</v>
      </c>
      <c r="H1" t="s" s="111">
        <v>52</v>
      </c>
      <c r="I1" t="s" s="110">
        <v>21</v>
      </c>
      <c r="J1" t="s" s="110">
        <v>22</v>
      </c>
      <c r="K1" t="s" s="110">
        <v>23</v>
      </c>
      <c r="L1" t="s" s="112">
        <v>24</v>
      </c>
      <c r="M1" t="s" s="152">
        <v>53</v>
      </c>
      <c r="N1" t="s" s="153">
        <v>90</v>
      </c>
    </row>
    <row r="2">
      <c r="A2" t="s" s="99">
        <v>91</v>
      </c>
      <c r="C2" t="s">
        <v>92</v>
      </c>
      <c r="D2" t="s">
        <v>93</v>
      </c>
      <c r="E2" t="s" s="109">
        <v>94</v>
      </c>
      <c r="F2" t="s">
        <v>95</v>
      </c>
      <c r="G2" t="s">
        <v>96</v>
      </c>
      <c r="H2" t="s" s="101">
        <v>97</v>
      </c>
      <c r="I2" t="s">
        <v>98</v>
      </c>
      <c r="M2" t="s" s="100">
        <v>99</v>
      </c>
    </row>
    <row r="3">
      <c r="A3" t="s" s="99">
        <v>100</v>
      </c>
      <c r="C3" t="s">
        <v>92</v>
      </c>
      <c r="D3" t="s">
        <v>101</v>
      </c>
      <c r="E3" t="s" s="109">
        <v>102</v>
      </c>
      <c r="F3" t="s">
        <v>103</v>
      </c>
      <c r="G3" t="s">
        <v>104</v>
      </c>
      <c r="H3" t="s" s="101">
        <v>105</v>
      </c>
      <c r="I3" t="s">
        <v>106</v>
      </c>
      <c r="M3" t="s" s="100">
        <v>99</v>
      </c>
    </row>
    <row r="4">
      <c r="A4" t="s" s="99">
        <v>107</v>
      </c>
      <c r="C4" t="s">
        <v>92</v>
      </c>
      <c r="D4" t="s">
        <v>108</v>
      </c>
      <c r="E4" t="s" s="109">
        <v>109</v>
      </c>
      <c r="F4" t="s">
        <v>110</v>
      </c>
      <c r="G4" t="s">
        <v>111</v>
      </c>
      <c r="H4" t="s" s="101">
        <v>112</v>
      </c>
      <c r="I4" t="s">
        <v>113</v>
      </c>
      <c r="M4" t="s" s="100">
        <v>99</v>
      </c>
    </row>
    <row r="5">
      <c r="A5" t="s" s="99">
        <v>114</v>
      </c>
      <c r="C5" t="s">
        <v>92</v>
      </c>
      <c r="D5" t="s">
        <v>115</v>
      </c>
      <c r="E5" t="s" s="109">
        <v>116</v>
      </c>
      <c r="F5" t="s">
        <v>117</v>
      </c>
      <c r="G5" t="s">
        <v>118</v>
      </c>
      <c r="H5" t="s" s="101">
        <v>119</v>
      </c>
      <c r="I5" t="s">
        <v>120</v>
      </c>
      <c r="M5" t="s" s="100">
        <v>99</v>
      </c>
    </row>
    <row r="6">
      <c r="A6" t="s" s="99">
        <v>121</v>
      </c>
      <c r="C6" t="s">
        <v>92</v>
      </c>
      <c r="D6" t="s">
        <v>122</v>
      </c>
      <c r="E6" t="s" s="109">
        <v>123</v>
      </c>
      <c r="F6" t="s">
        <v>124</v>
      </c>
      <c r="G6" t="s">
        <v>125</v>
      </c>
      <c r="H6" t="s" s="101">
        <v>126</v>
      </c>
      <c r="I6" t="s">
        <v>127</v>
      </c>
      <c r="M6" t="s" s="100">
        <v>99</v>
      </c>
    </row>
    <row r="7">
      <c r="A7" t="s" s="99">
        <v>128</v>
      </c>
      <c r="C7" t="s">
        <v>92</v>
      </c>
      <c r="D7" t="s">
        <v>129</v>
      </c>
      <c r="E7" t="s" s="109">
        <v>130</v>
      </c>
      <c r="F7" t="s">
        <v>131</v>
      </c>
      <c r="G7" t="s">
        <v>132</v>
      </c>
      <c r="H7" t="s" s="101">
        <v>133</v>
      </c>
      <c r="I7" t="s">
        <v>134</v>
      </c>
      <c r="M7" t="s" s="100">
        <v>99</v>
      </c>
    </row>
    <row r="8">
      <c r="A8" t="s" s="99">
        <v>135</v>
      </c>
      <c r="C8" t="s">
        <v>92</v>
      </c>
      <c r="D8" t="s">
        <v>136</v>
      </c>
      <c r="E8" t="s" s="109">
        <v>137</v>
      </c>
      <c r="F8" t="s">
        <v>138</v>
      </c>
      <c r="G8" t="s">
        <v>139</v>
      </c>
      <c r="H8" t="s" s="101">
        <v>140</v>
      </c>
      <c r="I8" t="s">
        <v>141</v>
      </c>
      <c r="M8" t="s" s="100">
        <v>99</v>
      </c>
    </row>
  </sheetData>
  <autoFilter ref="A1:M1" xr:uid="{E83DFD43-6D20-4EA4-8FD6-6A5B07984AAC}"/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416B-95D3-4BD2-8FFB-7DA9193C6FDC}">
  <sheetPr/>
  <sheetViews>
    <sheetView showGridLines="0" workbookViewId="0">
      <selection activeCell="F16" sqref="F16"/>
    </sheetView>
  </sheetViews>
  <sheetFormatPr baseColWidth="10" defaultColWidth="8.83203125" defaultRowHeight="15" x14ac:dyDescent="0.2"/>
  <cols>
    <col min="1" max="1" width="1.83203125" customWidth="1"/>
    <col min="2" max="2" width="6.1640625" customWidth="1"/>
    <col min="4" max="4" width="16.83203125" customWidth="1"/>
    <col min="5" max="5" width="14.1640625" customWidth="1"/>
    <col min="6" max="6" width="15.33203125" customWidth="1"/>
    <col min="7" max="7" width="31.5" customWidth="1"/>
  </cols>
  <sheetData>
    <row r="1" spans="2:7" ht="16" thickBot="1" x14ac:dyDescent="0.25"/>
    <row r="2" spans="2:7" ht="26" thickBot="1" x14ac:dyDescent="0.3">
      <c r="B2" t="s" s="129">
        <v>54</v>
      </c>
      <c r="C2" s="130"/>
      <c r="D2" s="130"/>
      <c r="E2" s="130"/>
      <c r="F2" s="130"/>
      <c r="G2" s="131"/>
    </row>
    <row r="3" spans="2:7" ht="23.25" customHeight="1" thickBot="1" x14ac:dyDescent="0.25">
      <c r="B3" t="s" s="132">
        <v>26</v>
      </c>
      <c r="C3" s="132"/>
      <c r="D3" s="132"/>
      <c r="E3" s="132"/>
      <c r="F3" t="s" s="132">
        <v>55</v>
      </c>
      <c r="G3" s="132"/>
    </row>
    <row r="4" spans="2:7" ht="57" thickBot="1" x14ac:dyDescent="0.25">
      <c r="B4" t="s" s="128">
        <v>6</v>
      </c>
      <c r="C4" t="s" s="113">
        <v>28</v>
      </c>
      <c r="D4" t="s" s="113">
        <v>33</v>
      </c>
      <c r="E4" t="s" s="113">
        <v>56</v>
      </c>
      <c r="F4" t="s" s="113">
        <v>57</v>
      </c>
      <c r="G4" t="s" s="113">
        <v>41</v>
      </c>
    </row>
    <row r="5" spans="2:7" x14ac:dyDescent="0.2">
      <c r="B5" s="54">
        <v>1</v>
      </c>
      <c r="C5" t="s" s="18">
        <v>42</v>
      </c>
      <c r="D5" t="s" s="19">
        <v>88</v>
      </c>
      <c r="E5" t="s" s="86">
        <v>58</v>
      </c>
      <c r="F5" t="s" s="85">
        <v>58</v>
      </c>
      <c r="G5" s="20"/>
    </row>
    <row r="6" spans="2:7" x14ac:dyDescent="0.2">
      <c r="B6" s="55">
        <v>2</v>
      </c>
      <c r="C6" s="1"/>
      <c r="D6" s="2"/>
      <c r="E6" s="86"/>
      <c r="F6" s="59"/>
      <c r="G6" s="11"/>
    </row>
    <row r="7" spans="2:7" x14ac:dyDescent="0.2">
      <c r="B7" s="55"/>
      <c r="C7" s="1"/>
      <c r="D7" s="3"/>
      <c r="E7" s="58"/>
      <c r="F7" s="59"/>
      <c r="G7" s="11"/>
    </row>
    <row r="8" spans="2:7" x14ac:dyDescent="0.2">
      <c r="B8" s="55"/>
      <c r="C8" s="1"/>
      <c r="D8" s="3"/>
      <c r="E8" s="58"/>
      <c r="F8" s="59"/>
      <c r="G8" s="11"/>
    </row>
    <row r="9" spans="2:7" x14ac:dyDescent="0.2">
      <c r="B9" s="55"/>
      <c r="C9" s="1"/>
      <c r="D9" s="3"/>
      <c r="E9" s="58"/>
      <c r="F9" s="59"/>
      <c r="G9" s="11"/>
    </row>
    <row r="10" spans="2:7" x14ac:dyDescent="0.2">
      <c r="B10" s="55"/>
      <c r="C10" s="1"/>
      <c r="D10" s="3"/>
      <c r="E10" s="58"/>
      <c r="F10" s="59"/>
      <c r="G10" s="11"/>
    </row>
    <row r="11" spans="2:7" x14ac:dyDescent="0.2">
      <c r="B11" s="55"/>
      <c r="C11" s="1"/>
      <c r="D11" s="3"/>
      <c r="E11" s="58"/>
      <c r="F11" s="59"/>
      <c r="G11" s="11"/>
    </row>
    <row r="12" spans="2:7" x14ac:dyDescent="0.2">
      <c r="B12" s="56"/>
      <c r="C12" s="1"/>
      <c r="D12" s="3"/>
      <c r="E12" s="58"/>
      <c r="F12" s="59"/>
      <c r="G12" s="11"/>
    </row>
    <row r="13" spans="2:7" x14ac:dyDescent="0.2">
      <c r="B13" s="55"/>
      <c r="C13" s="1"/>
      <c r="D13" s="3"/>
      <c r="E13" s="58"/>
      <c r="F13" s="59"/>
      <c r="G13" s="11"/>
    </row>
    <row r="14" spans="2:7" x14ac:dyDescent="0.2">
      <c r="B14" s="55"/>
      <c r="C14" s="1"/>
      <c r="D14" s="3"/>
      <c r="E14" s="58"/>
      <c r="F14" s="59"/>
      <c r="G14" s="11"/>
    </row>
    <row r="15" spans="2:7" x14ac:dyDescent="0.2">
      <c r="B15" s="55"/>
      <c r="C15" s="1"/>
      <c r="D15" s="3"/>
      <c r="E15" s="58"/>
      <c r="F15" s="59"/>
      <c r="G15" s="11"/>
    </row>
    <row r="16" spans="2:7" x14ac:dyDescent="0.2">
      <c r="B16" s="55"/>
      <c r="C16" s="1"/>
      <c r="D16" s="3"/>
      <c r="E16" s="58"/>
      <c r="F16" s="59"/>
      <c r="G16" s="11"/>
    </row>
    <row r="17" spans="2:7" x14ac:dyDescent="0.2">
      <c r="B17" s="55"/>
      <c r="C17" s="1"/>
      <c r="D17" s="3"/>
      <c r="E17" s="58"/>
      <c r="F17" s="59"/>
      <c r="G17" s="11"/>
    </row>
    <row r="18" spans="2:7" x14ac:dyDescent="0.2">
      <c r="B18" s="55"/>
      <c r="C18" s="1"/>
      <c r="D18" s="3"/>
      <c r="E18" s="58"/>
      <c r="F18" s="59"/>
      <c r="G18" s="11"/>
    </row>
    <row r="19" spans="2:7" x14ac:dyDescent="0.2">
      <c r="B19" s="55"/>
      <c r="C19" s="5"/>
      <c r="D19" s="6"/>
      <c r="E19" s="58"/>
      <c r="F19" s="59"/>
      <c r="G19" s="11"/>
    </row>
    <row r="20" spans="2:7" x14ac:dyDescent="0.2">
      <c r="B20" s="55"/>
      <c r="C20" s="8"/>
      <c r="D20" s="9"/>
      <c r="E20" s="58"/>
      <c r="F20" s="59"/>
      <c r="G20" s="11"/>
    </row>
    <row r="21" spans="2:7" x14ac:dyDescent="0.2">
      <c r="B21" s="55"/>
      <c r="C21" s="8"/>
      <c r="D21" s="9"/>
      <c r="E21" s="58"/>
      <c r="F21" s="59"/>
      <c r="G21" s="11"/>
    </row>
    <row r="22" spans="2:7" x14ac:dyDescent="0.2">
      <c r="B22" s="114"/>
      <c r="C22" s="115"/>
      <c r="D22" s="116"/>
      <c r="E22" s="117"/>
      <c r="F22" s="118"/>
      <c r="G22" s="119"/>
    </row>
    <row r="23" spans="2:7" x14ac:dyDescent="0.2">
      <c r="B23" s="55"/>
      <c r="C23" s="1"/>
      <c r="D23" s="3"/>
      <c r="E23" s="58"/>
      <c r="F23" s="59"/>
      <c r="G23" s="11"/>
    </row>
    <row r="24" spans="2:7" x14ac:dyDescent="0.2">
      <c r="B24" s="55"/>
      <c r="C24" s="1"/>
      <c r="D24" s="3"/>
      <c r="E24" s="58"/>
      <c r="F24" s="59"/>
      <c r="G24" s="11"/>
    </row>
    <row r="25" spans="2:7" x14ac:dyDescent="0.2">
      <c r="B25" s="55"/>
      <c r="C25" s="1"/>
      <c r="D25" s="3"/>
      <c r="E25" s="58"/>
      <c r="F25" s="59"/>
      <c r="G25" s="11"/>
    </row>
    <row r="26" spans="2:7" x14ac:dyDescent="0.2">
      <c r="B26" s="55"/>
      <c r="C26" s="1"/>
      <c r="D26" s="3"/>
      <c r="E26" s="58"/>
      <c r="F26" s="59"/>
      <c r="G26" s="11"/>
    </row>
    <row r="27" spans="2:7" x14ac:dyDescent="0.2">
      <c r="B27" s="55"/>
      <c r="C27" s="1"/>
      <c r="D27" s="3"/>
      <c r="E27" s="58"/>
      <c r="F27" s="59"/>
      <c r="G27" s="11"/>
    </row>
    <row r="28" spans="2:7" x14ac:dyDescent="0.2">
      <c r="B28" s="55"/>
      <c r="C28" s="1"/>
      <c r="D28" s="3"/>
      <c r="E28" s="58"/>
      <c r="F28" s="59"/>
      <c r="G28" s="11"/>
    </row>
    <row r="29" spans="2:7" x14ac:dyDescent="0.2">
      <c r="B29" s="55"/>
      <c r="C29" s="1"/>
      <c r="D29" s="3"/>
      <c r="E29" s="58"/>
      <c r="F29" s="59"/>
      <c r="G29" s="11"/>
    </row>
    <row r="30" spans="2:7" x14ac:dyDescent="0.2">
      <c r="B30" s="55"/>
      <c r="C30" s="1"/>
      <c r="D30" s="3"/>
      <c r="E30" s="58"/>
      <c r="F30" s="59"/>
      <c r="G30" s="11"/>
    </row>
    <row r="31" spans="2:7" x14ac:dyDescent="0.2">
      <c r="B31" s="55"/>
      <c r="C31" s="1"/>
      <c r="D31" s="3"/>
      <c r="E31" s="58"/>
      <c r="F31" s="59"/>
      <c r="G31" s="11"/>
    </row>
    <row r="32" spans="2:7" x14ac:dyDescent="0.2">
      <c r="B32" s="55"/>
      <c r="C32" s="1"/>
      <c r="D32" s="3"/>
      <c r="E32" s="58"/>
      <c r="F32" s="59"/>
      <c r="G32" s="11"/>
    </row>
    <row r="33" spans="2:7" x14ac:dyDescent="0.2">
      <c r="B33" s="55"/>
      <c r="C33" s="1"/>
      <c r="D33" s="3"/>
      <c r="E33" s="58"/>
      <c r="F33" s="59"/>
      <c r="G33" s="11"/>
    </row>
    <row r="34" spans="2:7" x14ac:dyDescent="0.2">
      <c r="B34" s="55"/>
      <c r="C34" s="1"/>
      <c r="D34" s="3"/>
      <c r="E34" s="58"/>
      <c r="F34" s="59"/>
      <c r="G34" s="11"/>
    </row>
    <row r="35" spans="2:7" x14ac:dyDescent="0.2">
      <c r="B35" s="55"/>
      <c r="C35" s="1"/>
      <c r="D35" s="3"/>
      <c r="E35" s="58"/>
      <c r="F35" s="59"/>
      <c r="G35" s="11"/>
    </row>
    <row r="36" spans="2:7" x14ac:dyDescent="0.2">
      <c r="B36" s="55"/>
      <c r="C36" s="1"/>
      <c r="D36" s="3"/>
      <c r="E36" s="58"/>
      <c r="F36" s="59"/>
      <c r="G36" s="11"/>
    </row>
    <row r="37" spans="2:7" x14ac:dyDescent="0.2">
      <c r="B37" s="55"/>
      <c r="C37" s="1"/>
      <c r="D37" s="3"/>
      <c r="E37" s="58"/>
      <c r="F37" s="59"/>
      <c r="G37" s="11"/>
    </row>
    <row r="38" spans="2:7" x14ac:dyDescent="0.2">
      <c r="B38" s="55"/>
      <c r="C38" s="1"/>
      <c r="D38" s="3"/>
      <c r="E38" s="58"/>
      <c r="F38" s="59"/>
      <c r="G38" s="11"/>
    </row>
    <row r="39" spans="2:7" x14ac:dyDescent="0.2">
      <c r="B39" s="55"/>
      <c r="C39" s="1"/>
      <c r="D39" s="3"/>
      <c r="E39" s="58"/>
      <c r="F39" s="59"/>
      <c r="G39" s="11"/>
    </row>
    <row r="40" spans="2:7" x14ac:dyDescent="0.2">
      <c r="B40" s="55"/>
      <c r="C40" s="1"/>
      <c r="D40" s="3"/>
      <c r="E40" s="58"/>
      <c r="F40" s="59"/>
      <c r="G40" s="11"/>
    </row>
    <row r="41" spans="2:7" x14ac:dyDescent="0.2">
      <c r="B41" s="55"/>
      <c r="C41" s="1"/>
      <c r="D41" s="3"/>
      <c r="E41" s="58"/>
      <c r="F41" s="59"/>
      <c r="G41" s="11"/>
    </row>
    <row r="42" spans="2:7" x14ac:dyDescent="0.2">
      <c r="B42" s="55"/>
      <c r="C42" s="1"/>
      <c r="D42" s="3"/>
      <c r="E42" s="58"/>
      <c r="F42" s="59"/>
      <c r="G42" s="11"/>
    </row>
    <row r="43" spans="2:7" x14ac:dyDescent="0.2">
      <c r="B43" s="55"/>
      <c r="C43" s="1"/>
      <c r="D43" s="3"/>
      <c r="E43" s="58"/>
      <c r="F43" s="59"/>
      <c r="G43" s="11"/>
    </row>
    <row r="44" spans="2:7" x14ac:dyDescent="0.2">
      <c r="B44" s="55"/>
      <c r="C44" s="1"/>
      <c r="D44" s="3"/>
      <c r="E44" s="58"/>
      <c r="F44" s="59"/>
      <c r="G44" s="11"/>
    </row>
    <row r="45" spans="2:7" ht="16" thickBot="1" x14ac:dyDescent="0.25">
      <c r="B45" s="120"/>
      <c r="C45" s="121"/>
      <c r="D45" s="122"/>
      <c r="E45" s="123"/>
      <c r="F45" s="124"/>
      <c r="G45" s="125"/>
    </row>
  </sheetData>
  <mergeCells count="3">
    <mergeCell ref="B2:G2"/>
    <mergeCell ref="B3:E3"/>
    <mergeCell ref="F3:G3"/>
  </mergeCells>
  <dataValidations count="1">
    <dataValidation type="list" allowBlank="1" showInputMessage="1" showErrorMessage="1" sqref="C5:C45" xr:uid="{DB3F6F4F-BFDE-478E-B451-3796038FFC34}">
      <formula1>"1st, 2nd, 3rd, 4th, 5th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8BE2-62EB-4F7F-8A56-C5E317CBD7AA}">
  <sheetPr>
    <pageSetUpPr fitToPage="1"/>
  </sheetPr>
  <sheetViews>
    <sheetView showGridLines="0" topLeftCell="A10" zoomScaleNormal="100" workbookViewId="0">
      <selection activeCell="F50" sqref="F50"/>
    </sheetView>
  </sheetViews>
  <sheetFormatPr baseColWidth="10" defaultColWidth="8.83203125" defaultRowHeight="13" x14ac:dyDescent="0.15"/>
  <cols>
    <col min="1" max="1" width="7.83203125" style="23" customWidth="1"/>
    <col min="2" max="2" width="3.5" style="23" customWidth="1"/>
    <col min="3" max="3" width="24.6640625" style="23" customWidth="1"/>
    <col min="4" max="4" width="12.6640625" style="23" customWidth="1"/>
    <col min="5" max="5" width="15.6640625" style="23" customWidth="1"/>
    <col min="6" max="7" width="12.6640625" style="23" customWidth="1"/>
    <col min="8" max="8" width="3.5" style="23" customWidth="1"/>
    <col min="9" max="11" width="13.5" style="23" customWidth="1"/>
    <col min="12" max="256" width="9.1640625" style="23"/>
    <col min="257" max="257" width="7.83203125" style="23" customWidth="1"/>
    <col min="258" max="258" width="3.5" style="23" customWidth="1"/>
    <col min="259" max="259" width="24.6640625" style="23" customWidth="1"/>
    <col min="260" max="260" width="12.6640625" style="23" customWidth="1"/>
    <col min="261" max="261" width="15.6640625" style="23" customWidth="1"/>
    <col min="262" max="263" width="12.6640625" style="23" customWidth="1"/>
    <col min="264" max="264" width="3.5" style="23" customWidth="1"/>
    <col min="265" max="267" width="13.5" style="23" customWidth="1"/>
    <col min="268" max="512" width="9.1640625" style="23"/>
    <col min="513" max="513" width="7.83203125" style="23" customWidth="1"/>
    <col min="514" max="514" width="3.5" style="23" customWidth="1"/>
    <col min="515" max="515" width="24.6640625" style="23" customWidth="1"/>
    <col min="516" max="516" width="12.6640625" style="23" customWidth="1"/>
    <col min="517" max="517" width="15.6640625" style="23" customWidth="1"/>
    <col min="518" max="519" width="12.6640625" style="23" customWidth="1"/>
    <col min="520" max="520" width="3.5" style="23" customWidth="1"/>
    <col min="521" max="523" width="13.5" style="23" customWidth="1"/>
    <col min="524" max="768" width="9.1640625" style="23"/>
    <col min="769" max="769" width="7.83203125" style="23" customWidth="1"/>
    <col min="770" max="770" width="3.5" style="23" customWidth="1"/>
    <col min="771" max="771" width="24.6640625" style="23" customWidth="1"/>
    <col min="772" max="772" width="12.6640625" style="23" customWidth="1"/>
    <col min="773" max="773" width="15.6640625" style="23" customWidth="1"/>
    <col min="774" max="775" width="12.6640625" style="23" customWidth="1"/>
    <col min="776" max="776" width="3.5" style="23" customWidth="1"/>
    <col min="777" max="779" width="13.5" style="23" customWidth="1"/>
    <col min="780" max="1024" width="9.1640625" style="23"/>
    <col min="1025" max="1025" width="7.83203125" style="23" customWidth="1"/>
    <col min="1026" max="1026" width="3.5" style="23" customWidth="1"/>
    <col min="1027" max="1027" width="24.6640625" style="23" customWidth="1"/>
    <col min="1028" max="1028" width="12.6640625" style="23" customWidth="1"/>
    <col min="1029" max="1029" width="15.6640625" style="23" customWidth="1"/>
    <col min="1030" max="1031" width="12.6640625" style="23" customWidth="1"/>
    <col min="1032" max="1032" width="3.5" style="23" customWidth="1"/>
    <col min="1033" max="1035" width="13.5" style="23" customWidth="1"/>
    <col min="1036" max="1280" width="9.1640625" style="23"/>
    <col min="1281" max="1281" width="7.83203125" style="23" customWidth="1"/>
    <col min="1282" max="1282" width="3.5" style="23" customWidth="1"/>
    <col min="1283" max="1283" width="24.6640625" style="23" customWidth="1"/>
    <col min="1284" max="1284" width="12.6640625" style="23" customWidth="1"/>
    <col min="1285" max="1285" width="15.6640625" style="23" customWidth="1"/>
    <col min="1286" max="1287" width="12.6640625" style="23" customWidth="1"/>
    <col min="1288" max="1288" width="3.5" style="23" customWidth="1"/>
    <col min="1289" max="1291" width="13.5" style="23" customWidth="1"/>
    <col min="1292" max="1536" width="9.1640625" style="23"/>
    <col min="1537" max="1537" width="7.83203125" style="23" customWidth="1"/>
    <col min="1538" max="1538" width="3.5" style="23" customWidth="1"/>
    <col min="1539" max="1539" width="24.6640625" style="23" customWidth="1"/>
    <col min="1540" max="1540" width="12.6640625" style="23" customWidth="1"/>
    <col min="1541" max="1541" width="15.6640625" style="23" customWidth="1"/>
    <col min="1542" max="1543" width="12.6640625" style="23" customWidth="1"/>
    <col min="1544" max="1544" width="3.5" style="23" customWidth="1"/>
    <col min="1545" max="1547" width="13.5" style="23" customWidth="1"/>
    <col min="1548" max="1792" width="9.1640625" style="23"/>
    <col min="1793" max="1793" width="7.83203125" style="23" customWidth="1"/>
    <col min="1794" max="1794" width="3.5" style="23" customWidth="1"/>
    <col min="1795" max="1795" width="24.6640625" style="23" customWidth="1"/>
    <col min="1796" max="1796" width="12.6640625" style="23" customWidth="1"/>
    <col min="1797" max="1797" width="15.6640625" style="23" customWidth="1"/>
    <col min="1798" max="1799" width="12.6640625" style="23" customWidth="1"/>
    <col min="1800" max="1800" width="3.5" style="23" customWidth="1"/>
    <col min="1801" max="1803" width="13.5" style="23" customWidth="1"/>
    <col min="1804" max="2048" width="9.1640625" style="23"/>
    <col min="2049" max="2049" width="7.83203125" style="23" customWidth="1"/>
    <col min="2050" max="2050" width="3.5" style="23" customWidth="1"/>
    <col min="2051" max="2051" width="24.6640625" style="23" customWidth="1"/>
    <col min="2052" max="2052" width="12.6640625" style="23" customWidth="1"/>
    <col min="2053" max="2053" width="15.6640625" style="23" customWidth="1"/>
    <col min="2054" max="2055" width="12.6640625" style="23" customWidth="1"/>
    <col min="2056" max="2056" width="3.5" style="23" customWidth="1"/>
    <col min="2057" max="2059" width="13.5" style="23" customWidth="1"/>
    <col min="2060" max="2304" width="9.1640625" style="23"/>
    <col min="2305" max="2305" width="7.83203125" style="23" customWidth="1"/>
    <col min="2306" max="2306" width="3.5" style="23" customWidth="1"/>
    <col min="2307" max="2307" width="24.6640625" style="23" customWidth="1"/>
    <col min="2308" max="2308" width="12.6640625" style="23" customWidth="1"/>
    <col min="2309" max="2309" width="15.6640625" style="23" customWidth="1"/>
    <col min="2310" max="2311" width="12.6640625" style="23" customWidth="1"/>
    <col min="2312" max="2312" width="3.5" style="23" customWidth="1"/>
    <col min="2313" max="2315" width="13.5" style="23" customWidth="1"/>
    <col min="2316" max="2560" width="9.1640625" style="23"/>
    <col min="2561" max="2561" width="7.83203125" style="23" customWidth="1"/>
    <col min="2562" max="2562" width="3.5" style="23" customWidth="1"/>
    <col min="2563" max="2563" width="24.6640625" style="23" customWidth="1"/>
    <col min="2564" max="2564" width="12.6640625" style="23" customWidth="1"/>
    <col min="2565" max="2565" width="15.6640625" style="23" customWidth="1"/>
    <col min="2566" max="2567" width="12.6640625" style="23" customWidth="1"/>
    <col min="2568" max="2568" width="3.5" style="23" customWidth="1"/>
    <col min="2569" max="2571" width="13.5" style="23" customWidth="1"/>
    <col min="2572" max="2816" width="9.1640625" style="23"/>
    <col min="2817" max="2817" width="7.83203125" style="23" customWidth="1"/>
    <col min="2818" max="2818" width="3.5" style="23" customWidth="1"/>
    <col min="2819" max="2819" width="24.6640625" style="23" customWidth="1"/>
    <col min="2820" max="2820" width="12.6640625" style="23" customWidth="1"/>
    <col min="2821" max="2821" width="15.6640625" style="23" customWidth="1"/>
    <col min="2822" max="2823" width="12.6640625" style="23" customWidth="1"/>
    <col min="2824" max="2824" width="3.5" style="23" customWidth="1"/>
    <col min="2825" max="2827" width="13.5" style="23" customWidth="1"/>
    <col min="2828" max="3072" width="9.1640625" style="23"/>
    <col min="3073" max="3073" width="7.83203125" style="23" customWidth="1"/>
    <col min="3074" max="3074" width="3.5" style="23" customWidth="1"/>
    <col min="3075" max="3075" width="24.6640625" style="23" customWidth="1"/>
    <col min="3076" max="3076" width="12.6640625" style="23" customWidth="1"/>
    <col min="3077" max="3077" width="15.6640625" style="23" customWidth="1"/>
    <col min="3078" max="3079" width="12.6640625" style="23" customWidth="1"/>
    <col min="3080" max="3080" width="3.5" style="23" customWidth="1"/>
    <col min="3081" max="3083" width="13.5" style="23" customWidth="1"/>
    <col min="3084" max="3328" width="9.1640625" style="23"/>
    <col min="3329" max="3329" width="7.83203125" style="23" customWidth="1"/>
    <col min="3330" max="3330" width="3.5" style="23" customWidth="1"/>
    <col min="3331" max="3331" width="24.6640625" style="23" customWidth="1"/>
    <col min="3332" max="3332" width="12.6640625" style="23" customWidth="1"/>
    <col min="3333" max="3333" width="15.6640625" style="23" customWidth="1"/>
    <col min="3334" max="3335" width="12.6640625" style="23" customWidth="1"/>
    <col min="3336" max="3336" width="3.5" style="23" customWidth="1"/>
    <col min="3337" max="3339" width="13.5" style="23" customWidth="1"/>
    <col min="3340" max="3584" width="9.1640625" style="23"/>
    <col min="3585" max="3585" width="7.83203125" style="23" customWidth="1"/>
    <col min="3586" max="3586" width="3.5" style="23" customWidth="1"/>
    <col min="3587" max="3587" width="24.6640625" style="23" customWidth="1"/>
    <col min="3588" max="3588" width="12.6640625" style="23" customWidth="1"/>
    <col min="3589" max="3589" width="15.6640625" style="23" customWidth="1"/>
    <col min="3590" max="3591" width="12.6640625" style="23" customWidth="1"/>
    <col min="3592" max="3592" width="3.5" style="23" customWidth="1"/>
    <col min="3593" max="3595" width="13.5" style="23" customWidth="1"/>
    <col min="3596" max="3840" width="9.1640625" style="23"/>
    <col min="3841" max="3841" width="7.83203125" style="23" customWidth="1"/>
    <col min="3842" max="3842" width="3.5" style="23" customWidth="1"/>
    <col min="3843" max="3843" width="24.6640625" style="23" customWidth="1"/>
    <col min="3844" max="3844" width="12.6640625" style="23" customWidth="1"/>
    <col min="3845" max="3845" width="15.6640625" style="23" customWidth="1"/>
    <col min="3846" max="3847" width="12.6640625" style="23" customWidth="1"/>
    <col min="3848" max="3848" width="3.5" style="23" customWidth="1"/>
    <col min="3849" max="3851" width="13.5" style="23" customWidth="1"/>
    <col min="3852" max="4096" width="9.1640625" style="23"/>
    <col min="4097" max="4097" width="7.83203125" style="23" customWidth="1"/>
    <col min="4098" max="4098" width="3.5" style="23" customWidth="1"/>
    <col min="4099" max="4099" width="24.6640625" style="23" customWidth="1"/>
    <col min="4100" max="4100" width="12.6640625" style="23" customWidth="1"/>
    <col min="4101" max="4101" width="15.6640625" style="23" customWidth="1"/>
    <col min="4102" max="4103" width="12.6640625" style="23" customWidth="1"/>
    <col min="4104" max="4104" width="3.5" style="23" customWidth="1"/>
    <col min="4105" max="4107" width="13.5" style="23" customWidth="1"/>
    <col min="4108" max="4352" width="9.1640625" style="23"/>
    <col min="4353" max="4353" width="7.83203125" style="23" customWidth="1"/>
    <col min="4354" max="4354" width="3.5" style="23" customWidth="1"/>
    <col min="4355" max="4355" width="24.6640625" style="23" customWidth="1"/>
    <col min="4356" max="4356" width="12.6640625" style="23" customWidth="1"/>
    <col min="4357" max="4357" width="15.6640625" style="23" customWidth="1"/>
    <col min="4358" max="4359" width="12.6640625" style="23" customWidth="1"/>
    <col min="4360" max="4360" width="3.5" style="23" customWidth="1"/>
    <col min="4361" max="4363" width="13.5" style="23" customWidth="1"/>
    <col min="4364" max="4608" width="9.1640625" style="23"/>
    <col min="4609" max="4609" width="7.83203125" style="23" customWidth="1"/>
    <col min="4610" max="4610" width="3.5" style="23" customWidth="1"/>
    <col min="4611" max="4611" width="24.6640625" style="23" customWidth="1"/>
    <col min="4612" max="4612" width="12.6640625" style="23" customWidth="1"/>
    <col min="4613" max="4613" width="15.6640625" style="23" customWidth="1"/>
    <col min="4614" max="4615" width="12.6640625" style="23" customWidth="1"/>
    <col min="4616" max="4616" width="3.5" style="23" customWidth="1"/>
    <col min="4617" max="4619" width="13.5" style="23" customWidth="1"/>
    <col min="4620" max="4864" width="9.1640625" style="23"/>
    <col min="4865" max="4865" width="7.83203125" style="23" customWidth="1"/>
    <col min="4866" max="4866" width="3.5" style="23" customWidth="1"/>
    <col min="4867" max="4867" width="24.6640625" style="23" customWidth="1"/>
    <col min="4868" max="4868" width="12.6640625" style="23" customWidth="1"/>
    <col min="4869" max="4869" width="15.6640625" style="23" customWidth="1"/>
    <col min="4870" max="4871" width="12.6640625" style="23" customWidth="1"/>
    <col min="4872" max="4872" width="3.5" style="23" customWidth="1"/>
    <col min="4873" max="4875" width="13.5" style="23" customWidth="1"/>
    <col min="4876" max="5120" width="9.1640625" style="23"/>
    <col min="5121" max="5121" width="7.83203125" style="23" customWidth="1"/>
    <col min="5122" max="5122" width="3.5" style="23" customWidth="1"/>
    <col min="5123" max="5123" width="24.6640625" style="23" customWidth="1"/>
    <col min="5124" max="5124" width="12.6640625" style="23" customWidth="1"/>
    <col min="5125" max="5125" width="15.6640625" style="23" customWidth="1"/>
    <col min="5126" max="5127" width="12.6640625" style="23" customWidth="1"/>
    <col min="5128" max="5128" width="3.5" style="23" customWidth="1"/>
    <col min="5129" max="5131" width="13.5" style="23" customWidth="1"/>
    <col min="5132" max="5376" width="9.1640625" style="23"/>
    <col min="5377" max="5377" width="7.83203125" style="23" customWidth="1"/>
    <col min="5378" max="5378" width="3.5" style="23" customWidth="1"/>
    <col min="5379" max="5379" width="24.6640625" style="23" customWidth="1"/>
    <col min="5380" max="5380" width="12.6640625" style="23" customWidth="1"/>
    <col min="5381" max="5381" width="15.6640625" style="23" customWidth="1"/>
    <col min="5382" max="5383" width="12.6640625" style="23" customWidth="1"/>
    <col min="5384" max="5384" width="3.5" style="23" customWidth="1"/>
    <col min="5385" max="5387" width="13.5" style="23" customWidth="1"/>
    <col min="5388" max="5632" width="9.1640625" style="23"/>
    <col min="5633" max="5633" width="7.83203125" style="23" customWidth="1"/>
    <col min="5634" max="5634" width="3.5" style="23" customWidth="1"/>
    <col min="5635" max="5635" width="24.6640625" style="23" customWidth="1"/>
    <col min="5636" max="5636" width="12.6640625" style="23" customWidth="1"/>
    <col min="5637" max="5637" width="15.6640625" style="23" customWidth="1"/>
    <col min="5638" max="5639" width="12.6640625" style="23" customWidth="1"/>
    <col min="5640" max="5640" width="3.5" style="23" customWidth="1"/>
    <col min="5641" max="5643" width="13.5" style="23" customWidth="1"/>
    <col min="5644" max="5888" width="9.1640625" style="23"/>
    <col min="5889" max="5889" width="7.83203125" style="23" customWidth="1"/>
    <col min="5890" max="5890" width="3.5" style="23" customWidth="1"/>
    <col min="5891" max="5891" width="24.6640625" style="23" customWidth="1"/>
    <col min="5892" max="5892" width="12.6640625" style="23" customWidth="1"/>
    <col min="5893" max="5893" width="15.6640625" style="23" customWidth="1"/>
    <col min="5894" max="5895" width="12.6640625" style="23" customWidth="1"/>
    <col min="5896" max="5896" width="3.5" style="23" customWidth="1"/>
    <col min="5897" max="5899" width="13.5" style="23" customWidth="1"/>
    <col min="5900" max="6144" width="9.1640625" style="23"/>
    <col min="6145" max="6145" width="7.83203125" style="23" customWidth="1"/>
    <col min="6146" max="6146" width="3.5" style="23" customWidth="1"/>
    <col min="6147" max="6147" width="24.6640625" style="23" customWidth="1"/>
    <col min="6148" max="6148" width="12.6640625" style="23" customWidth="1"/>
    <col min="6149" max="6149" width="15.6640625" style="23" customWidth="1"/>
    <col min="6150" max="6151" width="12.6640625" style="23" customWidth="1"/>
    <col min="6152" max="6152" width="3.5" style="23" customWidth="1"/>
    <col min="6153" max="6155" width="13.5" style="23" customWidth="1"/>
    <col min="6156" max="6400" width="9.1640625" style="23"/>
    <col min="6401" max="6401" width="7.83203125" style="23" customWidth="1"/>
    <col min="6402" max="6402" width="3.5" style="23" customWidth="1"/>
    <col min="6403" max="6403" width="24.6640625" style="23" customWidth="1"/>
    <col min="6404" max="6404" width="12.6640625" style="23" customWidth="1"/>
    <col min="6405" max="6405" width="15.6640625" style="23" customWidth="1"/>
    <col min="6406" max="6407" width="12.6640625" style="23" customWidth="1"/>
    <col min="6408" max="6408" width="3.5" style="23" customWidth="1"/>
    <col min="6409" max="6411" width="13.5" style="23" customWidth="1"/>
    <col min="6412" max="6656" width="9.1640625" style="23"/>
    <col min="6657" max="6657" width="7.83203125" style="23" customWidth="1"/>
    <col min="6658" max="6658" width="3.5" style="23" customWidth="1"/>
    <col min="6659" max="6659" width="24.6640625" style="23" customWidth="1"/>
    <col min="6660" max="6660" width="12.6640625" style="23" customWidth="1"/>
    <col min="6661" max="6661" width="15.6640625" style="23" customWidth="1"/>
    <col min="6662" max="6663" width="12.6640625" style="23" customWidth="1"/>
    <col min="6664" max="6664" width="3.5" style="23" customWidth="1"/>
    <col min="6665" max="6667" width="13.5" style="23" customWidth="1"/>
    <col min="6668" max="6912" width="9.1640625" style="23"/>
    <col min="6913" max="6913" width="7.83203125" style="23" customWidth="1"/>
    <col min="6914" max="6914" width="3.5" style="23" customWidth="1"/>
    <col min="6915" max="6915" width="24.6640625" style="23" customWidth="1"/>
    <col min="6916" max="6916" width="12.6640625" style="23" customWidth="1"/>
    <col min="6917" max="6917" width="15.6640625" style="23" customWidth="1"/>
    <col min="6918" max="6919" width="12.6640625" style="23" customWidth="1"/>
    <col min="6920" max="6920" width="3.5" style="23" customWidth="1"/>
    <col min="6921" max="6923" width="13.5" style="23" customWidth="1"/>
    <col min="6924" max="7168" width="9.1640625" style="23"/>
    <col min="7169" max="7169" width="7.83203125" style="23" customWidth="1"/>
    <col min="7170" max="7170" width="3.5" style="23" customWidth="1"/>
    <col min="7171" max="7171" width="24.6640625" style="23" customWidth="1"/>
    <col min="7172" max="7172" width="12.6640625" style="23" customWidth="1"/>
    <col min="7173" max="7173" width="15.6640625" style="23" customWidth="1"/>
    <col min="7174" max="7175" width="12.6640625" style="23" customWidth="1"/>
    <col min="7176" max="7176" width="3.5" style="23" customWidth="1"/>
    <col min="7177" max="7179" width="13.5" style="23" customWidth="1"/>
    <col min="7180" max="7424" width="9.1640625" style="23"/>
    <col min="7425" max="7425" width="7.83203125" style="23" customWidth="1"/>
    <col min="7426" max="7426" width="3.5" style="23" customWidth="1"/>
    <col min="7427" max="7427" width="24.6640625" style="23" customWidth="1"/>
    <col min="7428" max="7428" width="12.6640625" style="23" customWidth="1"/>
    <col min="7429" max="7429" width="15.6640625" style="23" customWidth="1"/>
    <col min="7430" max="7431" width="12.6640625" style="23" customWidth="1"/>
    <col min="7432" max="7432" width="3.5" style="23" customWidth="1"/>
    <col min="7433" max="7435" width="13.5" style="23" customWidth="1"/>
    <col min="7436" max="7680" width="9.1640625" style="23"/>
    <col min="7681" max="7681" width="7.83203125" style="23" customWidth="1"/>
    <col min="7682" max="7682" width="3.5" style="23" customWidth="1"/>
    <col min="7683" max="7683" width="24.6640625" style="23" customWidth="1"/>
    <col min="7684" max="7684" width="12.6640625" style="23" customWidth="1"/>
    <col min="7685" max="7685" width="15.6640625" style="23" customWidth="1"/>
    <col min="7686" max="7687" width="12.6640625" style="23" customWidth="1"/>
    <col min="7688" max="7688" width="3.5" style="23" customWidth="1"/>
    <col min="7689" max="7691" width="13.5" style="23" customWidth="1"/>
    <col min="7692" max="7936" width="9.1640625" style="23"/>
    <col min="7937" max="7937" width="7.83203125" style="23" customWidth="1"/>
    <col min="7938" max="7938" width="3.5" style="23" customWidth="1"/>
    <col min="7939" max="7939" width="24.6640625" style="23" customWidth="1"/>
    <col min="7940" max="7940" width="12.6640625" style="23" customWidth="1"/>
    <col min="7941" max="7941" width="15.6640625" style="23" customWidth="1"/>
    <col min="7942" max="7943" width="12.6640625" style="23" customWidth="1"/>
    <col min="7944" max="7944" width="3.5" style="23" customWidth="1"/>
    <col min="7945" max="7947" width="13.5" style="23" customWidth="1"/>
    <col min="7948" max="8192" width="9.1640625" style="23"/>
    <col min="8193" max="8193" width="7.83203125" style="23" customWidth="1"/>
    <col min="8194" max="8194" width="3.5" style="23" customWidth="1"/>
    <col min="8195" max="8195" width="24.6640625" style="23" customWidth="1"/>
    <col min="8196" max="8196" width="12.6640625" style="23" customWidth="1"/>
    <col min="8197" max="8197" width="15.6640625" style="23" customWidth="1"/>
    <col min="8198" max="8199" width="12.6640625" style="23" customWidth="1"/>
    <col min="8200" max="8200" width="3.5" style="23" customWidth="1"/>
    <col min="8201" max="8203" width="13.5" style="23" customWidth="1"/>
    <col min="8204" max="8448" width="9.1640625" style="23"/>
    <col min="8449" max="8449" width="7.83203125" style="23" customWidth="1"/>
    <col min="8450" max="8450" width="3.5" style="23" customWidth="1"/>
    <col min="8451" max="8451" width="24.6640625" style="23" customWidth="1"/>
    <col min="8452" max="8452" width="12.6640625" style="23" customWidth="1"/>
    <col min="8453" max="8453" width="15.6640625" style="23" customWidth="1"/>
    <col min="8454" max="8455" width="12.6640625" style="23" customWidth="1"/>
    <col min="8456" max="8456" width="3.5" style="23" customWidth="1"/>
    <col min="8457" max="8459" width="13.5" style="23" customWidth="1"/>
    <col min="8460" max="8704" width="9.1640625" style="23"/>
    <col min="8705" max="8705" width="7.83203125" style="23" customWidth="1"/>
    <col min="8706" max="8706" width="3.5" style="23" customWidth="1"/>
    <col min="8707" max="8707" width="24.6640625" style="23" customWidth="1"/>
    <col min="8708" max="8708" width="12.6640625" style="23" customWidth="1"/>
    <col min="8709" max="8709" width="15.6640625" style="23" customWidth="1"/>
    <col min="8710" max="8711" width="12.6640625" style="23" customWidth="1"/>
    <col min="8712" max="8712" width="3.5" style="23" customWidth="1"/>
    <col min="8713" max="8715" width="13.5" style="23" customWidth="1"/>
    <col min="8716" max="8960" width="9.1640625" style="23"/>
    <col min="8961" max="8961" width="7.83203125" style="23" customWidth="1"/>
    <col min="8962" max="8962" width="3.5" style="23" customWidth="1"/>
    <col min="8963" max="8963" width="24.6640625" style="23" customWidth="1"/>
    <col min="8964" max="8964" width="12.6640625" style="23" customWidth="1"/>
    <col min="8965" max="8965" width="15.6640625" style="23" customWidth="1"/>
    <col min="8966" max="8967" width="12.6640625" style="23" customWidth="1"/>
    <col min="8968" max="8968" width="3.5" style="23" customWidth="1"/>
    <col min="8969" max="8971" width="13.5" style="23" customWidth="1"/>
    <col min="8972" max="9216" width="9.1640625" style="23"/>
    <col min="9217" max="9217" width="7.83203125" style="23" customWidth="1"/>
    <col min="9218" max="9218" width="3.5" style="23" customWidth="1"/>
    <col min="9219" max="9219" width="24.6640625" style="23" customWidth="1"/>
    <col min="9220" max="9220" width="12.6640625" style="23" customWidth="1"/>
    <col min="9221" max="9221" width="15.6640625" style="23" customWidth="1"/>
    <col min="9222" max="9223" width="12.6640625" style="23" customWidth="1"/>
    <col min="9224" max="9224" width="3.5" style="23" customWidth="1"/>
    <col min="9225" max="9227" width="13.5" style="23" customWidth="1"/>
    <col min="9228" max="9472" width="9.1640625" style="23"/>
    <col min="9473" max="9473" width="7.83203125" style="23" customWidth="1"/>
    <col min="9474" max="9474" width="3.5" style="23" customWidth="1"/>
    <col min="9475" max="9475" width="24.6640625" style="23" customWidth="1"/>
    <col min="9476" max="9476" width="12.6640625" style="23" customWidth="1"/>
    <col min="9477" max="9477" width="15.6640625" style="23" customWidth="1"/>
    <col min="9478" max="9479" width="12.6640625" style="23" customWidth="1"/>
    <col min="9480" max="9480" width="3.5" style="23" customWidth="1"/>
    <col min="9481" max="9483" width="13.5" style="23" customWidth="1"/>
    <col min="9484" max="9728" width="9.1640625" style="23"/>
    <col min="9729" max="9729" width="7.83203125" style="23" customWidth="1"/>
    <col min="9730" max="9730" width="3.5" style="23" customWidth="1"/>
    <col min="9731" max="9731" width="24.6640625" style="23" customWidth="1"/>
    <col min="9732" max="9732" width="12.6640625" style="23" customWidth="1"/>
    <col min="9733" max="9733" width="15.6640625" style="23" customWidth="1"/>
    <col min="9734" max="9735" width="12.6640625" style="23" customWidth="1"/>
    <col min="9736" max="9736" width="3.5" style="23" customWidth="1"/>
    <col min="9737" max="9739" width="13.5" style="23" customWidth="1"/>
    <col min="9740" max="9984" width="9.1640625" style="23"/>
    <col min="9985" max="9985" width="7.83203125" style="23" customWidth="1"/>
    <col min="9986" max="9986" width="3.5" style="23" customWidth="1"/>
    <col min="9987" max="9987" width="24.6640625" style="23" customWidth="1"/>
    <col min="9988" max="9988" width="12.6640625" style="23" customWidth="1"/>
    <col min="9989" max="9989" width="15.6640625" style="23" customWidth="1"/>
    <col min="9990" max="9991" width="12.6640625" style="23" customWidth="1"/>
    <col min="9992" max="9992" width="3.5" style="23" customWidth="1"/>
    <col min="9993" max="9995" width="13.5" style="23" customWidth="1"/>
    <col min="9996" max="10240" width="9.1640625" style="23"/>
    <col min="10241" max="10241" width="7.83203125" style="23" customWidth="1"/>
    <col min="10242" max="10242" width="3.5" style="23" customWidth="1"/>
    <col min="10243" max="10243" width="24.6640625" style="23" customWidth="1"/>
    <col min="10244" max="10244" width="12.6640625" style="23" customWidth="1"/>
    <col min="10245" max="10245" width="15.6640625" style="23" customWidth="1"/>
    <col min="10246" max="10247" width="12.6640625" style="23" customWidth="1"/>
    <col min="10248" max="10248" width="3.5" style="23" customWidth="1"/>
    <col min="10249" max="10251" width="13.5" style="23" customWidth="1"/>
    <col min="10252" max="10496" width="9.1640625" style="23"/>
    <col min="10497" max="10497" width="7.83203125" style="23" customWidth="1"/>
    <col min="10498" max="10498" width="3.5" style="23" customWidth="1"/>
    <col min="10499" max="10499" width="24.6640625" style="23" customWidth="1"/>
    <col min="10500" max="10500" width="12.6640625" style="23" customWidth="1"/>
    <col min="10501" max="10501" width="15.6640625" style="23" customWidth="1"/>
    <col min="10502" max="10503" width="12.6640625" style="23" customWidth="1"/>
    <col min="10504" max="10504" width="3.5" style="23" customWidth="1"/>
    <col min="10505" max="10507" width="13.5" style="23" customWidth="1"/>
    <col min="10508" max="10752" width="9.1640625" style="23"/>
    <col min="10753" max="10753" width="7.83203125" style="23" customWidth="1"/>
    <col min="10754" max="10754" width="3.5" style="23" customWidth="1"/>
    <col min="10755" max="10755" width="24.6640625" style="23" customWidth="1"/>
    <col min="10756" max="10756" width="12.6640625" style="23" customWidth="1"/>
    <col min="10757" max="10757" width="15.6640625" style="23" customWidth="1"/>
    <col min="10758" max="10759" width="12.6640625" style="23" customWidth="1"/>
    <col min="10760" max="10760" width="3.5" style="23" customWidth="1"/>
    <col min="10761" max="10763" width="13.5" style="23" customWidth="1"/>
    <col min="10764" max="11008" width="9.1640625" style="23"/>
    <col min="11009" max="11009" width="7.83203125" style="23" customWidth="1"/>
    <col min="11010" max="11010" width="3.5" style="23" customWidth="1"/>
    <col min="11011" max="11011" width="24.6640625" style="23" customWidth="1"/>
    <col min="11012" max="11012" width="12.6640625" style="23" customWidth="1"/>
    <col min="11013" max="11013" width="15.6640625" style="23" customWidth="1"/>
    <col min="11014" max="11015" width="12.6640625" style="23" customWidth="1"/>
    <col min="11016" max="11016" width="3.5" style="23" customWidth="1"/>
    <col min="11017" max="11019" width="13.5" style="23" customWidth="1"/>
    <col min="11020" max="11264" width="9.1640625" style="23"/>
    <col min="11265" max="11265" width="7.83203125" style="23" customWidth="1"/>
    <col min="11266" max="11266" width="3.5" style="23" customWidth="1"/>
    <col min="11267" max="11267" width="24.6640625" style="23" customWidth="1"/>
    <col min="11268" max="11268" width="12.6640625" style="23" customWidth="1"/>
    <col min="11269" max="11269" width="15.6640625" style="23" customWidth="1"/>
    <col min="11270" max="11271" width="12.6640625" style="23" customWidth="1"/>
    <col min="11272" max="11272" width="3.5" style="23" customWidth="1"/>
    <col min="11273" max="11275" width="13.5" style="23" customWidth="1"/>
    <col min="11276" max="11520" width="9.1640625" style="23"/>
    <col min="11521" max="11521" width="7.83203125" style="23" customWidth="1"/>
    <col min="11522" max="11522" width="3.5" style="23" customWidth="1"/>
    <col min="11523" max="11523" width="24.6640625" style="23" customWidth="1"/>
    <col min="11524" max="11524" width="12.6640625" style="23" customWidth="1"/>
    <col min="11525" max="11525" width="15.6640625" style="23" customWidth="1"/>
    <col min="11526" max="11527" width="12.6640625" style="23" customWidth="1"/>
    <col min="11528" max="11528" width="3.5" style="23" customWidth="1"/>
    <col min="11529" max="11531" width="13.5" style="23" customWidth="1"/>
    <col min="11532" max="11776" width="9.1640625" style="23"/>
    <col min="11777" max="11777" width="7.83203125" style="23" customWidth="1"/>
    <col min="11778" max="11778" width="3.5" style="23" customWidth="1"/>
    <col min="11779" max="11779" width="24.6640625" style="23" customWidth="1"/>
    <col min="11780" max="11780" width="12.6640625" style="23" customWidth="1"/>
    <col min="11781" max="11781" width="15.6640625" style="23" customWidth="1"/>
    <col min="11782" max="11783" width="12.6640625" style="23" customWidth="1"/>
    <col min="11784" max="11784" width="3.5" style="23" customWidth="1"/>
    <col min="11785" max="11787" width="13.5" style="23" customWidth="1"/>
    <col min="11788" max="12032" width="9.1640625" style="23"/>
    <col min="12033" max="12033" width="7.83203125" style="23" customWidth="1"/>
    <col min="12034" max="12034" width="3.5" style="23" customWidth="1"/>
    <col min="12035" max="12035" width="24.6640625" style="23" customWidth="1"/>
    <col min="12036" max="12036" width="12.6640625" style="23" customWidth="1"/>
    <col min="12037" max="12037" width="15.6640625" style="23" customWidth="1"/>
    <col min="12038" max="12039" width="12.6640625" style="23" customWidth="1"/>
    <col min="12040" max="12040" width="3.5" style="23" customWidth="1"/>
    <col min="12041" max="12043" width="13.5" style="23" customWidth="1"/>
    <col min="12044" max="12288" width="9.1640625" style="23"/>
    <col min="12289" max="12289" width="7.83203125" style="23" customWidth="1"/>
    <col min="12290" max="12290" width="3.5" style="23" customWidth="1"/>
    <col min="12291" max="12291" width="24.6640625" style="23" customWidth="1"/>
    <col min="12292" max="12292" width="12.6640625" style="23" customWidth="1"/>
    <col min="12293" max="12293" width="15.6640625" style="23" customWidth="1"/>
    <col min="12294" max="12295" width="12.6640625" style="23" customWidth="1"/>
    <col min="12296" max="12296" width="3.5" style="23" customWidth="1"/>
    <col min="12297" max="12299" width="13.5" style="23" customWidth="1"/>
    <col min="12300" max="12544" width="9.1640625" style="23"/>
    <col min="12545" max="12545" width="7.83203125" style="23" customWidth="1"/>
    <col min="12546" max="12546" width="3.5" style="23" customWidth="1"/>
    <col min="12547" max="12547" width="24.6640625" style="23" customWidth="1"/>
    <col min="12548" max="12548" width="12.6640625" style="23" customWidth="1"/>
    <col min="12549" max="12549" width="15.6640625" style="23" customWidth="1"/>
    <col min="12550" max="12551" width="12.6640625" style="23" customWidth="1"/>
    <col min="12552" max="12552" width="3.5" style="23" customWidth="1"/>
    <col min="12553" max="12555" width="13.5" style="23" customWidth="1"/>
    <col min="12556" max="12800" width="9.1640625" style="23"/>
    <col min="12801" max="12801" width="7.83203125" style="23" customWidth="1"/>
    <col min="12802" max="12802" width="3.5" style="23" customWidth="1"/>
    <col min="12803" max="12803" width="24.6640625" style="23" customWidth="1"/>
    <col min="12804" max="12804" width="12.6640625" style="23" customWidth="1"/>
    <col min="12805" max="12805" width="15.6640625" style="23" customWidth="1"/>
    <col min="12806" max="12807" width="12.6640625" style="23" customWidth="1"/>
    <col min="12808" max="12808" width="3.5" style="23" customWidth="1"/>
    <col min="12809" max="12811" width="13.5" style="23" customWidth="1"/>
    <col min="12812" max="13056" width="9.1640625" style="23"/>
    <col min="13057" max="13057" width="7.83203125" style="23" customWidth="1"/>
    <col min="13058" max="13058" width="3.5" style="23" customWidth="1"/>
    <col min="13059" max="13059" width="24.6640625" style="23" customWidth="1"/>
    <col min="13060" max="13060" width="12.6640625" style="23" customWidth="1"/>
    <col min="13061" max="13061" width="15.6640625" style="23" customWidth="1"/>
    <col min="13062" max="13063" width="12.6640625" style="23" customWidth="1"/>
    <col min="13064" max="13064" width="3.5" style="23" customWidth="1"/>
    <col min="13065" max="13067" width="13.5" style="23" customWidth="1"/>
    <col min="13068" max="13312" width="9.1640625" style="23"/>
    <col min="13313" max="13313" width="7.83203125" style="23" customWidth="1"/>
    <col min="13314" max="13314" width="3.5" style="23" customWidth="1"/>
    <col min="13315" max="13315" width="24.6640625" style="23" customWidth="1"/>
    <col min="13316" max="13316" width="12.6640625" style="23" customWidth="1"/>
    <col min="13317" max="13317" width="15.6640625" style="23" customWidth="1"/>
    <col min="13318" max="13319" width="12.6640625" style="23" customWidth="1"/>
    <col min="13320" max="13320" width="3.5" style="23" customWidth="1"/>
    <col min="13321" max="13323" width="13.5" style="23" customWidth="1"/>
    <col min="13324" max="13568" width="9.1640625" style="23"/>
    <col min="13569" max="13569" width="7.83203125" style="23" customWidth="1"/>
    <col min="13570" max="13570" width="3.5" style="23" customWidth="1"/>
    <col min="13571" max="13571" width="24.6640625" style="23" customWidth="1"/>
    <col min="13572" max="13572" width="12.6640625" style="23" customWidth="1"/>
    <col min="13573" max="13573" width="15.6640625" style="23" customWidth="1"/>
    <col min="13574" max="13575" width="12.6640625" style="23" customWidth="1"/>
    <col min="13576" max="13576" width="3.5" style="23" customWidth="1"/>
    <col min="13577" max="13579" width="13.5" style="23" customWidth="1"/>
    <col min="13580" max="13824" width="9.1640625" style="23"/>
    <col min="13825" max="13825" width="7.83203125" style="23" customWidth="1"/>
    <col min="13826" max="13826" width="3.5" style="23" customWidth="1"/>
    <col min="13827" max="13827" width="24.6640625" style="23" customWidth="1"/>
    <col min="13828" max="13828" width="12.6640625" style="23" customWidth="1"/>
    <col min="13829" max="13829" width="15.6640625" style="23" customWidth="1"/>
    <col min="13830" max="13831" width="12.6640625" style="23" customWidth="1"/>
    <col min="13832" max="13832" width="3.5" style="23" customWidth="1"/>
    <col min="13833" max="13835" width="13.5" style="23" customWidth="1"/>
    <col min="13836" max="14080" width="9.1640625" style="23"/>
    <col min="14081" max="14081" width="7.83203125" style="23" customWidth="1"/>
    <col min="14082" max="14082" width="3.5" style="23" customWidth="1"/>
    <col min="14083" max="14083" width="24.6640625" style="23" customWidth="1"/>
    <col min="14084" max="14084" width="12.6640625" style="23" customWidth="1"/>
    <col min="14085" max="14085" width="15.6640625" style="23" customWidth="1"/>
    <col min="14086" max="14087" width="12.6640625" style="23" customWidth="1"/>
    <col min="14088" max="14088" width="3.5" style="23" customWidth="1"/>
    <col min="14089" max="14091" width="13.5" style="23" customWidth="1"/>
    <col min="14092" max="14336" width="9.1640625" style="23"/>
    <col min="14337" max="14337" width="7.83203125" style="23" customWidth="1"/>
    <col min="14338" max="14338" width="3.5" style="23" customWidth="1"/>
    <col min="14339" max="14339" width="24.6640625" style="23" customWidth="1"/>
    <col min="14340" max="14340" width="12.6640625" style="23" customWidth="1"/>
    <col min="14341" max="14341" width="15.6640625" style="23" customWidth="1"/>
    <col min="14342" max="14343" width="12.6640625" style="23" customWidth="1"/>
    <col min="14344" max="14344" width="3.5" style="23" customWidth="1"/>
    <col min="14345" max="14347" width="13.5" style="23" customWidth="1"/>
    <col min="14348" max="14592" width="9.1640625" style="23"/>
    <col min="14593" max="14593" width="7.83203125" style="23" customWidth="1"/>
    <col min="14594" max="14594" width="3.5" style="23" customWidth="1"/>
    <col min="14595" max="14595" width="24.6640625" style="23" customWidth="1"/>
    <col min="14596" max="14596" width="12.6640625" style="23" customWidth="1"/>
    <col min="14597" max="14597" width="15.6640625" style="23" customWidth="1"/>
    <col min="14598" max="14599" width="12.6640625" style="23" customWidth="1"/>
    <col min="14600" max="14600" width="3.5" style="23" customWidth="1"/>
    <col min="14601" max="14603" width="13.5" style="23" customWidth="1"/>
    <col min="14604" max="14848" width="9.1640625" style="23"/>
    <col min="14849" max="14849" width="7.83203125" style="23" customWidth="1"/>
    <col min="14850" max="14850" width="3.5" style="23" customWidth="1"/>
    <col min="14851" max="14851" width="24.6640625" style="23" customWidth="1"/>
    <col min="14852" max="14852" width="12.6640625" style="23" customWidth="1"/>
    <col min="14853" max="14853" width="15.6640625" style="23" customWidth="1"/>
    <col min="14854" max="14855" width="12.6640625" style="23" customWidth="1"/>
    <col min="14856" max="14856" width="3.5" style="23" customWidth="1"/>
    <col min="14857" max="14859" width="13.5" style="23" customWidth="1"/>
    <col min="14860" max="15104" width="9.1640625" style="23"/>
    <col min="15105" max="15105" width="7.83203125" style="23" customWidth="1"/>
    <col min="15106" max="15106" width="3.5" style="23" customWidth="1"/>
    <col min="15107" max="15107" width="24.6640625" style="23" customWidth="1"/>
    <col min="15108" max="15108" width="12.6640625" style="23" customWidth="1"/>
    <col min="15109" max="15109" width="15.6640625" style="23" customWidth="1"/>
    <col min="15110" max="15111" width="12.6640625" style="23" customWidth="1"/>
    <col min="15112" max="15112" width="3.5" style="23" customWidth="1"/>
    <col min="15113" max="15115" width="13.5" style="23" customWidth="1"/>
    <col min="15116" max="15360" width="9.1640625" style="23"/>
    <col min="15361" max="15361" width="7.83203125" style="23" customWidth="1"/>
    <col min="15362" max="15362" width="3.5" style="23" customWidth="1"/>
    <col min="15363" max="15363" width="24.6640625" style="23" customWidth="1"/>
    <col min="15364" max="15364" width="12.6640625" style="23" customWidth="1"/>
    <col min="15365" max="15365" width="15.6640625" style="23" customWidth="1"/>
    <col min="15366" max="15367" width="12.6640625" style="23" customWidth="1"/>
    <col min="15368" max="15368" width="3.5" style="23" customWidth="1"/>
    <col min="15369" max="15371" width="13.5" style="23" customWidth="1"/>
    <col min="15372" max="15616" width="9.1640625" style="23"/>
    <col min="15617" max="15617" width="7.83203125" style="23" customWidth="1"/>
    <col min="15618" max="15618" width="3.5" style="23" customWidth="1"/>
    <col min="15619" max="15619" width="24.6640625" style="23" customWidth="1"/>
    <col min="15620" max="15620" width="12.6640625" style="23" customWidth="1"/>
    <col min="15621" max="15621" width="15.6640625" style="23" customWidth="1"/>
    <col min="15622" max="15623" width="12.6640625" style="23" customWidth="1"/>
    <col min="15624" max="15624" width="3.5" style="23" customWidth="1"/>
    <col min="15625" max="15627" width="13.5" style="23" customWidth="1"/>
    <col min="15628" max="15872" width="9.1640625" style="23"/>
    <col min="15873" max="15873" width="7.83203125" style="23" customWidth="1"/>
    <col min="15874" max="15874" width="3.5" style="23" customWidth="1"/>
    <col min="15875" max="15875" width="24.6640625" style="23" customWidth="1"/>
    <col min="15876" max="15876" width="12.6640625" style="23" customWidth="1"/>
    <col min="15877" max="15877" width="15.6640625" style="23" customWidth="1"/>
    <col min="15878" max="15879" width="12.6640625" style="23" customWidth="1"/>
    <col min="15880" max="15880" width="3.5" style="23" customWidth="1"/>
    <col min="15881" max="15883" width="13.5" style="23" customWidth="1"/>
    <col min="15884" max="16128" width="9.1640625" style="23"/>
    <col min="16129" max="16129" width="7.83203125" style="23" customWidth="1"/>
    <col min="16130" max="16130" width="3.5" style="23" customWidth="1"/>
    <col min="16131" max="16131" width="24.6640625" style="23" customWidth="1"/>
    <col min="16132" max="16132" width="12.6640625" style="23" customWidth="1"/>
    <col min="16133" max="16133" width="15.6640625" style="23" customWidth="1"/>
    <col min="16134" max="16135" width="12.6640625" style="23" customWidth="1"/>
    <col min="16136" max="16136" width="3.5" style="23" customWidth="1"/>
    <col min="16137" max="16139" width="13.5" style="23" customWidth="1"/>
    <col min="16140" max="16384" width="9.1640625" style="23"/>
  </cols>
  <sheetData>
    <row r="1" spans="1:9" ht="23" x14ac:dyDescent="0.25">
      <c r="A1" t="s" s="21">
        <v>59</v>
      </c>
      <c r="B1" s="22"/>
      <c r="C1" s="22"/>
      <c r="D1" s="22"/>
      <c r="E1" s="22"/>
      <c r="F1" s="22"/>
      <c r="G1" s="22"/>
      <c r="H1" s="87"/>
      <c r="I1" s="87"/>
    </row>
    <row r="2" spans="1:9" ht="16" x14ac:dyDescent="0.2">
      <c r="A2" s="24"/>
      <c r="B2" s="87"/>
      <c r="C2" s="87"/>
      <c r="D2" s="87"/>
      <c r="E2" s="87"/>
      <c r="F2" s="87"/>
      <c r="G2" s="87"/>
      <c r="H2" s="87"/>
      <c r="I2" t="s" s="87">
        <v>49</v>
      </c>
    </row>
    <row r="3" spans="1:9" ht="16" x14ac:dyDescent="0.2">
      <c r="A3" s="25"/>
      <c r="B3" s="87"/>
      <c r="C3" s="26"/>
      <c r="D3" s="88"/>
      <c r="E3" s="88"/>
      <c r="F3" s="88"/>
      <c r="G3" s="87"/>
      <c r="H3" s="87"/>
      <c r="I3" s="27"/>
    </row>
    <row r="4" spans="1:9" x14ac:dyDescent="0.15">
      <c r="A4" s="89"/>
      <c r="B4" s="87"/>
      <c r="C4" s="26"/>
      <c r="D4" s="88"/>
      <c r="E4" s="88"/>
      <c r="F4" s="88"/>
      <c r="G4" s="87"/>
      <c r="H4" s="87"/>
      <c r="I4" s="87"/>
    </row>
    <row r="5" spans="1:9" x14ac:dyDescent="0.15">
      <c r="A5" s="90"/>
      <c r="B5" s="87"/>
      <c r="C5" s="26"/>
      <c r="D5" s="88"/>
      <c r="E5" s="88"/>
      <c r="F5" s="88"/>
      <c r="G5" s="87"/>
      <c r="H5" s="87"/>
      <c r="I5" s="87"/>
    </row>
    <row r="23" spans="2:11" x14ac:dyDescent="0.15">
      <c r="B23" t="s" s="28">
        <v>60</v>
      </c>
      <c r="C23" s="87"/>
      <c r="D23" s="87"/>
      <c r="E23" s="87"/>
      <c r="F23" s="87"/>
      <c r="G23" s="87"/>
      <c r="H23" s="87"/>
      <c r="I23" s="87"/>
      <c r="J23" s="87"/>
      <c r="K23" s="87"/>
    </row>
    <row r="28" spans="2:11" ht="16" x14ac:dyDescent="0.2">
      <c r="B28" s="87"/>
      <c r="C28" s="87"/>
      <c r="D28" s="29">
        <f ca="1">"The first "&amp;COUNT(I33:I47)&amp;" "&amp;C32&amp;" cover "&amp;TEXT(OFFSET(E32,COUNT(I33:I47),0,1,1),"0.??%")&amp;" of the Total "&amp;D32</f>
      </c>
      <c r="E28" s="87"/>
      <c r="F28" s="87"/>
      <c r="G28" s="87"/>
      <c r="H28" s="87"/>
      <c r="I28" s="87"/>
      <c r="J28" s="87"/>
      <c r="K28" s="87"/>
    </row>
    <row r="31" spans="2:11" x14ac:dyDescent="0.15">
      <c r="B31" s="87"/>
      <c r="C31" s="87"/>
      <c r="D31" t="s" s="91">
        <v>61</v>
      </c>
      <c r="E31" s="92">
        <v>0.8</v>
      </c>
      <c r="F31" s="87"/>
      <c r="G31" s="87"/>
      <c r="H31" s="87"/>
      <c r="I31" s="87"/>
      <c r="J31" s="87"/>
      <c r="K31" s="87"/>
    </row>
    <row r="32" spans="2:11" ht="16" x14ac:dyDescent="0.2">
      <c r="B32" t="s" s="30">
        <v>62</v>
      </c>
      <c r="C32" t="s" s="31">
        <v>63</v>
      </c>
      <c r="D32" t="s" s="32">
        <v>64</v>
      </c>
      <c r="E32" t="s" s="30">
        <v>65</v>
      </c>
      <c r="F32" s="87"/>
      <c r="G32" s="87"/>
      <c r="H32" s="87"/>
      <c r="I32" t="s" s="33">
        <v>66</v>
      </c>
      <c r="J32" t="s" s="33">
        <v>67</v>
      </c>
      <c r="K32" t="s" s="33">
        <v>68</v>
      </c>
    </row>
    <row r="33" spans="2:11" x14ac:dyDescent="0.15">
      <c r="B33" s="93">
        <f t="shared" ref="B33:B47" si="0">ROW(B33)-ROW($B$32)</f>
      </c>
      <c r="C33" t="s" s="94">
        <v>88</v>
      </c>
      <c r="D33" s="95"/>
      <c r="E33" s="96">
        <f>SUM(D33:D$33)/SUM($D$33:$D$47)</f>
      </c>
      <c r="F33" s="87"/>
      <c r="G33" s="87"/>
      <c r="H33" s="87"/>
      <c r="I33" s="34">
        <f ca="1" t="shared" ref="I33:I47" si="1">IF(OR(B33=1,OFFSET($E$32,B33-1,0,1,1)&lt;=$E$31),OFFSET($D$32,B33,0,1,1),"")</f>
      </c>
      <c r="J33" s="35">
        <f ca="1" t="shared" ref="J33:J47" si="2">IF(I33="",OFFSET($D$32,B33,0,1,1),"")</f>
      </c>
      <c r="K33" s="36">
        <f t="shared" ref="K33:K47" si="3">$E$31</f>
      </c>
    </row>
    <row r="34" spans="2:11" x14ac:dyDescent="0.15">
      <c r="B34" s="93">
        <f t="shared" si="0"/>
      </c>
      <c r="C34" t="s" s="94">
        <v>88</v>
      </c>
      <c r="D34" s="95"/>
      <c r="E34" s="96">
        <f>SUM(D$33:D34)/SUM($D$33:$D$47)</f>
      </c>
      <c r="F34" s="87"/>
      <c r="G34" s="87"/>
      <c r="H34" s="87"/>
      <c r="I34" s="34">
        <f ca="1" t="shared" si="1"/>
      </c>
      <c r="J34" s="35">
        <f ca="1" t="shared" si="2"/>
      </c>
      <c r="K34" s="36">
        <f t="shared" si="3"/>
      </c>
    </row>
    <row r="35" spans="2:11" x14ac:dyDescent="0.15">
      <c r="B35" s="93">
        <f t="shared" si="0"/>
      </c>
      <c r="C35" t="s" s="94">
        <v>88</v>
      </c>
      <c r="D35" s="95"/>
      <c r="E35" s="96">
        <f>SUM(D$33:D35)/SUM($D$33:$D$47)</f>
      </c>
      <c r="F35" s="87"/>
      <c r="G35" s="87"/>
      <c r="H35" s="87"/>
      <c r="I35" s="34">
        <f ca="1" t="shared" si="1"/>
      </c>
      <c r="J35" s="35">
        <f ca="1" t="shared" si="2"/>
      </c>
      <c r="K35" s="36">
        <f t="shared" si="3"/>
      </c>
    </row>
    <row r="36" spans="2:11" x14ac:dyDescent="0.15">
      <c r="B36" s="93">
        <f t="shared" si="0"/>
      </c>
      <c r="C36" t="s" s="94">
        <v>88</v>
      </c>
      <c r="D36" s="95"/>
      <c r="E36" s="96">
        <f>SUM(D$33:D36)/SUM($D$33:$D$47)</f>
      </c>
      <c r="F36" s="87"/>
      <c r="G36" s="87"/>
      <c r="H36" s="87"/>
      <c r="I36" s="34">
        <f ca="1" t="shared" si="1"/>
      </c>
      <c r="J36" s="35">
        <f ca="1" t="shared" si="2"/>
      </c>
      <c r="K36" s="36">
        <f t="shared" si="3"/>
      </c>
    </row>
    <row r="37" spans="2:11" x14ac:dyDescent="0.15">
      <c r="B37" s="93">
        <f t="shared" si="0"/>
      </c>
      <c r="C37" t="s" s="94">
        <v>88</v>
      </c>
      <c r="D37" s="95"/>
      <c r="E37" s="96">
        <f>SUM(D$33:D37)/SUM($D$33:$D$47)</f>
      </c>
      <c r="F37" s="87"/>
      <c r="G37" s="87"/>
      <c r="H37" s="87"/>
      <c r="I37" s="34">
        <f ca="1" t="shared" si="1"/>
      </c>
      <c r="J37" s="35">
        <f ca="1" t="shared" si="2"/>
      </c>
      <c r="K37" s="36">
        <f t="shared" si="3"/>
      </c>
    </row>
    <row r="38" spans="2:11" x14ac:dyDescent="0.15">
      <c r="B38" s="93">
        <f t="shared" si="0"/>
      </c>
      <c r="C38" t="s" s="94">
        <v>88</v>
      </c>
      <c r="D38" s="95"/>
      <c r="E38" s="96">
        <f>SUM(D$33:D38)/SUM($D$33:$D$47)</f>
      </c>
      <c r="F38" s="87"/>
      <c r="G38" s="87"/>
      <c r="H38" s="87"/>
      <c r="I38" s="34">
        <f ca="1" t="shared" si="1"/>
      </c>
      <c r="J38" s="35">
        <f ca="1" t="shared" si="2"/>
      </c>
      <c r="K38" s="36">
        <f t="shared" si="3"/>
      </c>
    </row>
    <row r="39" spans="2:11" x14ac:dyDescent="0.15">
      <c r="B39" s="93">
        <f t="shared" si="0"/>
      </c>
      <c r="C39" t="s" s="94">
        <v>88</v>
      </c>
      <c r="D39" s="95"/>
      <c r="E39" s="96">
        <f>SUM(D$33:D39)/SUM($D$33:$D$47)</f>
      </c>
      <c r="F39" s="87"/>
      <c r="G39" s="87"/>
      <c r="H39" s="87"/>
      <c r="I39" s="34">
        <f ca="1" t="shared" si="1"/>
      </c>
      <c r="J39" s="35">
        <f ca="1" t="shared" si="2"/>
      </c>
      <c r="K39" s="36">
        <f t="shared" si="3"/>
      </c>
    </row>
    <row r="40" spans="2:11" x14ac:dyDescent="0.15">
      <c r="B40" s="93">
        <f t="shared" si="0"/>
      </c>
      <c r="C40" t="s" s="94">
        <v>88</v>
      </c>
      <c r="D40" s="95"/>
      <c r="E40" s="96">
        <f>SUM(D$33:D40)/SUM($D$33:$D$47)</f>
      </c>
      <c r="F40" s="87"/>
      <c r="G40" s="87"/>
      <c r="H40" s="87"/>
      <c r="I40" s="34">
        <f ca="1" t="shared" si="1"/>
      </c>
      <c r="J40" s="35">
        <f ca="1" t="shared" si="2"/>
      </c>
      <c r="K40" s="36">
        <f t="shared" si="3"/>
      </c>
    </row>
    <row r="41" spans="2:11" x14ac:dyDescent="0.15">
      <c r="B41" s="93">
        <f t="shared" si="0"/>
      </c>
      <c r="C41" t="s" s="94">
        <v>88</v>
      </c>
      <c r="D41" s="95"/>
      <c r="E41" s="96">
        <f>SUM(D$33:D41)/SUM($D$33:$D$47)</f>
      </c>
      <c r="F41" s="87"/>
      <c r="G41" s="87"/>
      <c r="H41" s="87"/>
      <c r="I41" s="34">
        <f ca="1" t="shared" si="1"/>
      </c>
      <c r="J41" s="35">
        <f ca="1" t="shared" si="2"/>
      </c>
      <c r="K41" s="36">
        <f t="shared" si="3"/>
      </c>
    </row>
    <row r="42" spans="2:11" x14ac:dyDescent="0.15">
      <c r="B42" s="93">
        <f t="shared" si="0"/>
      </c>
      <c r="C42" t="s" s="94">
        <v>88</v>
      </c>
      <c r="D42" s="95"/>
      <c r="E42" s="96">
        <f>SUM(D$33:D42)/SUM($D$33:$D$47)</f>
      </c>
      <c r="F42" s="87"/>
      <c r="G42" s="87"/>
      <c r="H42" s="87"/>
      <c r="I42" s="34">
        <f ca="1" t="shared" si="1"/>
      </c>
      <c r="J42" s="35">
        <f ca="1" t="shared" si="2"/>
      </c>
      <c r="K42" s="36">
        <f t="shared" si="3"/>
      </c>
    </row>
    <row r="43" spans="2:11" x14ac:dyDescent="0.15">
      <c r="B43" s="93">
        <f t="shared" si="0"/>
      </c>
      <c r="C43" t="s" s="94">
        <v>88</v>
      </c>
      <c r="D43" s="95"/>
      <c r="E43" s="96">
        <f>SUM(D$33:D43)/SUM($D$33:$D$47)</f>
      </c>
      <c r="F43" s="87"/>
      <c r="G43" s="87"/>
      <c r="H43" s="87"/>
      <c r="I43" s="34">
        <f ca="1" t="shared" si="1"/>
      </c>
      <c r="J43" s="35">
        <f ca="1" t="shared" si="2"/>
      </c>
      <c r="K43" s="36">
        <f t="shared" si="3"/>
      </c>
    </row>
    <row r="44" spans="2:11" x14ac:dyDescent="0.15">
      <c r="B44" s="93">
        <f t="shared" si="0"/>
      </c>
      <c r="C44" t="s" s="94">
        <v>88</v>
      </c>
      <c r="D44" s="95"/>
      <c r="E44" s="96">
        <f>SUM(D$33:D44)/SUM($D$33:$D$47)</f>
      </c>
      <c r="F44" s="87"/>
      <c r="G44" s="87"/>
      <c r="H44" s="87"/>
      <c r="I44" s="34">
        <f ca="1" t="shared" si="1"/>
      </c>
      <c r="J44" s="35">
        <f ca="1" t="shared" si="2"/>
      </c>
      <c r="K44" s="36">
        <f t="shared" si="3"/>
      </c>
    </row>
    <row r="45" spans="2:11" x14ac:dyDescent="0.15">
      <c r="B45" s="93">
        <f t="shared" si="0"/>
      </c>
      <c r="C45" t="s" s="94">
        <v>88</v>
      </c>
      <c r="D45" s="95"/>
      <c r="E45" s="96">
        <f>SUM(D$33:D45)/SUM($D$33:$D$47)</f>
      </c>
      <c r="F45" s="87"/>
      <c r="G45" s="87"/>
      <c r="H45" s="87"/>
      <c r="I45" s="34">
        <f ca="1" t="shared" si="1"/>
      </c>
      <c r="J45" s="35">
        <f ca="1" t="shared" si="2"/>
      </c>
      <c r="K45" s="36">
        <f t="shared" si="3"/>
      </c>
    </row>
    <row r="46" spans="2:11" x14ac:dyDescent="0.15">
      <c r="B46" s="93">
        <f t="shared" si="0"/>
      </c>
      <c r="C46" t="s" s="94">
        <v>88</v>
      </c>
      <c r="D46" s="95"/>
      <c r="E46" s="96">
        <f>SUM(D$33:D46)/SUM($D$33:$D$47)</f>
      </c>
      <c r="F46" s="87"/>
      <c r="G46" s="87"/>
      <c r="H46" s="87"/>
      <c r="I46" s="34">
        <f ca="1" t="shared" si="1"/>
      </c>
      <c r="J46" s="35">
        <f ca="1" t="shared" si="2"/>
      </c>
      <c r="K46" s="36">
        <f t="shared" si="3"/>
      </c>
    </row>
    <row r="47" spans="2:11" x14ac:dyDescent="0.15">
      <c r="B47" s="93">
        <f t="shared" si="0"/>
      </c>
      <c r="C47" t="s" s="94">
        <v>88</v>
      </c>
      <c r="D47" s="95"/>
      <c r="E47" s="96">
        <f>SUM(D$33:D47)/SUM($D$33:$D$47)</f>
      </c>
      <c r="F47" s="87"/>
      <c r="G47" s="87"/>
      <c r="H47" s="87"/>
      <c r="I47" s="34">
        <f ca="1" t="shared" si="1"/>
      </c>
      <c r="J47" s="35">
        <f ca="1" t="shared" si="2"/>
      </c>
      <c r="K47" s="36">
        <f t="shared" si="3"/>
      </c>
    </row>
    <row r="48" spans="2:11" x14ac:dyDescent="0.15">
      <c r="B48" t="s" s="37">
        <v>78</v>
      </c>
      <c r="C48" s="22"/>
      <c r="D48" s="22"/>
      <c r="E48" s="22"/>
      <c r="F48" s="87"/>
      <c r="G48" s="87"/>
      <c r="H48" s="87"/>
      <c r="I48" s="22"/>
      <c r="J48" s="22"/>
      <c r="K48" s="22"/>
    </row>
  </sheetData>
  <sheetProtection formatCells="0" formatColumns="0" formatRows="0" insertColumns="0" insertRows="0" insertHyperlinks="0" deleteColumns="0" deleteRows="0" sort="0"/>
  <printOptions horizontalCentered="1"/>
  <pageMargins left="0.75" right="0.75" top="0.5" bottom="0.5" header="0.5" footer="0.25"/>
  <pageSetup fitToHeight="0" orientation="portrait" r:id="rId1"/>
  <headerFooter alignWithMargins="0">
    <oddFooter>&amp;L&amp;8© 2009 Vertex42 LLC&amp;R&amp;8Templates by Vertex42.com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1BFF-6C88-41B3-ABFD-111550758599}">
  <sheetPr/>
  <sheetViews>
    <sheetView showGridLines="0" workbookViewId="0">
      <selection activeCell="G3" sqref="G3"/>
    </sheetView>
  </sheetViews>
  <sheetFormatPr baseColWidth="10" defaultColWidth="9.1640625" defaultRowHeight="15" x14ac:dyDescent="0.2"/>
  <cols>
    <col min="1" max="1" width="4.5" style="40" customWidth="1"/>
    <col min="2" max="2" width="5.83203125" style="40" customWidth="1"/>
    <col min="3" max="3" width="24.5" style="40" customWidth="1"/>
    <col min="4" max="5" width="31.1640625" style="40" customWidth="1"/>
    <col min="6" max="6" width="12.83203125" style="40" customWidth="1"/>
    <col min="7" max="7" width="16" style="40" customWidth="1"/>
    <col min="8" max="16384" width="9.1640625" style="40"/>
  </cols>
  <sheetData>
    <row r="1" spans="2:7" ht="16" thickBot="1" x14ac:dyDescent="0.25"/>
    <row r="2" spans="2:7" ht="19" thickBot="1" x14ac:dyDescent="0.25">
      <c r="B2" t="s" s="149">
        <v>79</v>
      </c>
      <c r="C2" s="150"/>
      <c r="D2" s="150"/>
      <c r="E2" s="150"/>
      <c r="F2" s="150"/>
      <c r="G2" s="151"/>
    </row>
    <row r="3" spans="2:7" ht="29" thickBot="1" x14ac:dyDescent="0.25">
      <c r="B3" t="s" s="126">
        <v>6</v>
      </c>
      <c r="C3" t="s" s="127">
        <v>80</v>
      </c>
      <c r="D3" t="s" s="127">
        <v>81</v>
      </c>
      <c r="E3" t="s" s="127">
        <v>82</v>
      </c>
      <c r="F3" t="s" s="127">
        <v>83</v>
      </c>
      <c r="G3" t="s" s="127">
        <v>84</v>
      </c>
    </row>
    <row r="4" spans="2:7" x14ac:dyDescent="0.2">
      <c r="B4" s="60"/>
      <c r="C4" s="38"/>
      <c r="D4" s="38"/>
      <c r="E4" s="38"/>
      <c r="F4" s="79"/>
      <c r="G4" s="80"/>
    </row>
    <row r="5" spans="2:7" x14ac:dyDescent="0.2">
      <c r="B5" s="61"/>
      <c r="C5" s="39"/>
      <c r="D5" s="39"/>
      <c r="E5" s="39"/>
      <c r="F5" s="81"/>
      <c r="G5" s="82"/>
    </row>
    <row r="6" spans="2:7" x14ac:dyDescent="0.2">
      <c r="B6" s="61"/>
      <c r="C6" s="39"/>
      <c r="D6" s="39"/>
      <c r="E6" s="39"/>
      <c r="F6" s="81"/>
      <c r="G6" s="82"/>
    </row>
    <row r="7" spans="2:7" x14ac:dyDescent="0.2">
      <c r="B7" s="61"/>
      <c r="C7" s="39"/>
      <c r="D7" s="39"/>
      <c r="E7" s="39"/>
      <c r="F7" s="81"/>
      <c r="G7" s="82"/>
    </row>
    <row r="8" spans="2:7" x14ac:dyDescent="0.2">
      <c r="B8" s="61"/>
      <c r="C8" s="39"/>
      <c r="D8" s="39"/>
      <c r="E8" s="39"/>
      <c r="F8" s="81"/>
      <c r="G8" s="82"/>
    </row>
    <row r="9" spans="2:7" x14ac:dyDescent="0.2">
      <c r="B9" s="61"/>
      <c r="C9" s="39"/>
      <c r="D9" s="39"/>
      <c r="E9" s="39"/>
      <c r="F9" s="81"/>
      <c r="G9" s="82"/>
    </row>
    <row r="10" spans="2:7" x14ac:dyDescent="0.2">
      <c r="B10" s="61"/>
      <c r="C10" s="39"/>
      <c r="D10" s="39"/>
      <c r="E10" s="39"/>
      <c r="F10" s="81"/>
      <c r="G10" s="82"/>
    </row>
    <row r="11" spans="2:7" x14ac:dyDescent="0.2">
      <c r="B11" s="60"/>
      <c r="C11" s="38"/>
      <c r="D11" s="38"/>
      <c r="E11" s="38"/>
      <c r="F11" s="79"/>
      <c r="G11" s="80"/>
    </row>
    <row r="12" spans="2:7" x14ac:dyDescent="0.2">
      <c r="B12" s="61"/>
      <c r="C12" s="39"/>
      <c r="D12" s="39"/>
      <c r="E12" s="39"/>
      <c r="F12" s="81"/>
      <c r="G12" s="82"/>
    </row>
    <row r="13" spans="2:7" x14ac:dyDescent="0.2">
      <c r="B13" s="61"/>
      <c r="C13" s="39"/>
      <c r="D13" s="39"/>
      <c r="E13" s="39"/>
      <c r="F13" s="81"/>
      <c r="G13" s="82"/>
    </row>
    <row r="14" spans="2:7" x14ac:dyDescent="0.2">
      <c r="B14" s="61"/>
      <c r="C14" s="39"/>
      <c r="D14" s="39"/>
      <c r="E14" s="39"/>
      <c r="F14" s="81"/>
      <c r="G14" s="82"/>
    </row>
    <row r="15" spans="2:7" x14ac:dyDescent="0.2">
      <c r="B15" s="61"/>
      <c r="C15" s="39"/>
      <c r="D15" s="39"/>
      <c r="E15" s="39"/>
      <c r="F15" s="81"/>
      <c r="G15" s="82"/>
    </row>
    <row r="16" spans="2:7" x14ac:dyDescent="0.2">
      <c r="B16" s="61"/>
      <c r="C16" s="39"/>
      <c r="D16" s="39"/>
      <c r="E16" s="39"/>
      <c r="F16" s="81"/>
      <c r="G16" s="82"/>
    </row>
    <row r="17" spans="2:7" x14ac:dyDescent="0.2">
      <c r="B17" s="61"/>
      <c r="C17" s="39"/>
      <c r="D17" s="39"/>
      <c r="E17" s="39"/>
      <c r="F17" s="81"/>
      <c r="G17" s="82"/>
    </row>
    <row r="18" spans="2:7" x14ac:dyDescent="0.2">
      <c r="B18" s="60"/>
      <c r="C18" s="38"/>
      <c r="D18" s="38"/>
      <c r="E18" s="38"/>
      <c r="F18" s="79"/>
      <c r="G18" s="80"/>
    </row>
    <row r="19" spans="2:7" x14ac:dyDescent="0.2">
      <c r="B19" s="61"/>
      <c r="C19" s="39"/>
      <c r="D19" s="39"/>
      <c r="E19" s="39"/>
      <c r="F19" s="81"/>
      <c r="G19" s="82"/>
    </row>
    <row r="20" spans="2:7" x14ac:dyDescent="0.2">
      <c r="B20" s="61"/>
      <c r="C20" s="39"/>
      <c r="D20" s="39"/>
      <c r="E20" s="39"/>
      <c r="F20" s="81"/>
      <c r="G20" s="82"/>
    </row>
    <row r="21" spans="2:7" x14ac:dyDescent="0.2">
      <c r="B21" s="61"/>
      <c r="C21" s="39"/>
      <c r="D21" s="39"/>
      <c r="E21" s="39"/>
      <c r="F21" s="81"/>
      <c r="G21" s="82"/>
    </row>
    <row r="22" spans="2:7" x14ac:dyDescent="0.2">
      <c r="B22" s="61"/>
      <c r="C22" s="39"/>
      <c r="D22" s="39"/>
      <c r="E22" s="39"/>
      <c r="F22" s="81"/>
      <c r="G22" s="82"/>
    </row>
    <row r="23" spans="2:7" x14ac:dyDescent="0.2">
      <c r="B23" s="61"/>
      <c r="C23" s="39"/>
      <c r="D23" s="39"/>
      <c r="E23" s="39"/>
      <c r="F23" s="81"/>
      <c r="G23" s="82"/>
    </row>
    <row r="24" spans="2:7" x14ac:dyDescent="0.2">
      <c r="B24" s="61"/>
      <c r="C24" s="39"/>
      <c r="D24" s="39"/>
      <c r="E24" s="39"/>
      <c r="F24" s="81"/>
      <c r="G24" s="82"/>
    </row>
    <row r="25" spans="2:7" x14ac:dyDescent="0.2">
      <c r="B25" s="60"/>
      <c r="C25" s="38"/>
      <c r="D25" s="38"/>
      <c r="E25" s="38"/>
      <c r="F25" s="79"/>
      <c r="G25" s="80"/>
    </row>
    <row r="26" spans="2:7" x14ac:dyDescent="0.2">
      <c r="B26" s="61"/>
      <c r="C26" s="39"/>
      <c r="D26" s="39"/>
      <c r="E26" s="39"/>
      <c r="F26" s="81"/>
      <c r="G26" s="82"/>
    </row>
    <row r="27" spans="2:7" x14ac:dyDescent="0.2">
      <c r="B27" s="61"/>
      <c r="C27" s="39"/>
      <c r="D27" s="39"/>
      <c r="E27" s="39"/>
      <c r="F27" s="81"/>
      <c r="G27" s="82"/>
    </row>
    <row r="28" spans="2:7" x14ac:dyDescent="0.2">
      <c r="B28" s="61"/>
      <c r="C28" s="39"/>
      <c r="D28" s="39"/>
      <c r="E28" s="39"/>
      <c r="F28" s="81"/>
      <c r="G28" s="82"/>
    </row>
    <row r="29" spans="2:7" x14ac:dyDescent="0.2">
      <c r="B29" s="61"/>
      <c r="C29" s="39"/>
      <c r="D29" s="39"/>
      <c r="E29" s="39"/>
      <c r="F29" s="81"/>
      <c r="G29" s="82"/>
    </row>
    <row r="30" spans="2:7" x14ac:dyDescent="0.2">
      <c r="B30" s="61"/>
      <c r="C30" s="39"/>
      <c r="D30" s="39"/>
      <c r="E30" s="39"/>
      <c r="F30" s="81"/>
      <c r="G30" s="82"/>
    </row>
    <row r="31" spans="2:7" x14ac:dyDescent="0.2">
      <c r="B31" s="61"/>
      <c r="C31" s="39"/>
      <c r="D31" s="39"/>
      <c r="E31" s="39"/>
      <c r="F31" s="81"/>
      <c r="G31" s="82"/>
    </row>
    <row r="32" spans="2:7" x14ac:dyDescent="0.2">
      <c r="B32" s="60"/>
      <c r="C32" s="38"/>
      <c r="D32" s="38"/>
      <c r="E32" s="38"/>
      <c r="F32" s="79"/>
      <c r="G32" s="80"/>
    </row>
    <row r="33" spans="2:7" x14ac:dyDescent="0.2">
      <c r="B33" s="61"/>
      <c r="C33" s="39"/>
      <c r="D33" s="39"/>
      <c r="E33" s="39"/>
      <c r="F33" s="81"/>
      <c r="G33" s="82"/>
    </row>
    <row r="34" spans="2:7" x14ac:dyDescent="0.2">
      <c r="B34" s="61"/>
      <c r="C34" s="39"/>
      <c r="D34" s="39"/>
      <c r="E34" s="39"/>
      <c r="F34" s="81"/>
      <c r="G34" s="82"/>
    </row>
    <row r="35" spans="2:7" x14ac:dyDescent="0.2">
      <c r="B35" s="61"/>
      <c r="C35" s="39"/>
      <c r="D35" s="39"/>
      <c r="E35" s="39"/>
      <c r="F35" s="81"/>
      <c r="G35" s="82"/>
    </row>
    <row r="36" spans="2:7" x14ac:dyDescent="0.2">
      <c r="B36" s="61"/>
      <c r="C36" s="39"/>
      <c r="D36" s="39"/>
      <c r="E36" s="39"/>
      <c r="F36" s="81"/>
      <c r="G36" s="82"/>
    </row>
    <row r="37" spans="2:7" x14ac:dyDescent="0.2">
      <c r="B37" s="61"/>
      <c r="C37" s="39"/>
      <c r="D37" s="39"/>
      <c r="E37" s="39"/>
      <c r="F37" s="81"/>
      <c r="G37" s="82"/>
    </row>
    <row r="38" spans="2:7" x14ac:dyDescent="0.2">
      <c r="B38" s="61"/>
      <c r="C38" s="39"/>
      <c r="D38" s="39"/>
      <c r="E38" s="39"/>
      <c r="F38" s="81"/>
      <c r="G38" s="82"/>
    </row>
    <row r="39" spans="2:7" x14ac:dyDescent="0.2">
      <c r="B39" s="60"/>
      <c r="C39" s="38"/>
      <c r="D39" s="38"/>
      <c r="E39" s="38"/>
      <c r="F39" s="79"/>
      <c r="G39" s="80"/>
    </row>
    <row r="40" spans="2:7" x14ac:dyDescent="0.2">
      <c r="B40" s="61"/>
      <c r="C40" s="39"/>
      <c r="D40" s="39"/>
      <c r="E40" s="39"/>
      <c r="F40" s="81"/>
      <c r="G40" s="82"/>
    </row>
    <row r="41" spans="2:7" x14ac:dyDescent="0.2">
      <c r="B41" s="61"/>
      <c r="C41" s="39"/>
      <c r="D41" s="39"/>
      <c r="E41" s="39"/>
      <c r="F41" s="81"/>
      <c r="G41" s="82"/>
    </row>
    <row r="42" spans="2:7" x14ac:dyDescent="0.2">
      <c r="B42" s="61"/>
      <c r="C42" s="39"/>
      <c r="D42" s="39"/>
      <c r="E42" s="39"/>
      <c r="F42" s="81"/>
      <c r="G42" s="82"/>
    </row>
    <row r="43" spans="2:7" x14ac:dyDescent="0.2">
      <c r="B43" s="61"/>
      <c r="C43" s="39"/>
      <c r="D43" s="39"/>
      <c r="E43" s="39"/>
      <c r="F43" s="81"/>
      <c r="G43" s="82"/>
    </row>
    <row r="44" spans="2:7" ht="16" thickBot="1" x14ac:dyDescent="0.25">
      <c r="B44" s="62"/>
      <c r="C44" s="49"/>
      <c r="D44" s="49"/>
      <c r="E44" s="49"/>
      <c r="F44" s="83"/>
      <c r="G44" s="84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bdffc1-a38a-4965-b8c7-6b995394fa38">
      <UserInfo>
        <DisplayName>WAN HALIMATON SAADIAH BINTI WAN ISMAIL</DisplayName>
        <AccountId>65</AccountId>
        <AccountType/>
      </UserInfo>
    </SharedWithUsers>
    <lcf76f155ced4ddcb4097134ff3c332f xmlns="fa6523cc-f9d2-4d22-b899-9712b14156b8">
      <Terms xmlns="http://schemas.microsoft.com/office/infopath/2007/PartnerControls"/>
    </lcf76f155ced4ddcb4097134ff3c332f>
    <TaxCatchAll xmlns="14bdffc1-a38a-4965-b8c7-6b995394fa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AB0CD1DD65FF45ACCBA0C60D1867E8" ma:contentTypeVersion="17" ma:contentTypeDescription="Create a new document." ma:contentTypeScope="" ma:versionID="9b8b9fc55244cc43035c853b0fde500e">
  <xsd:schema xmlns:xsd="http://www.w3.org/2001/XMLSchema" xmlns:xs="http://www.w3.org/2001/XMLSchema" xmlns:p="http://schemas.microsoft.com/office/2006/metadata/properties" xmlns:ns2="fa6523cc-f9d2-4d22-b899-9712b14156b8" xmlns:ns3="14bdffc1-a38a-4965-b8c7-6b995394fa38" targetNamespace="http://schemas.microsoft.com/office/2006/metadata/properties" ma:root="true" ma:fieldsID="965d4105b9913476a602caf9f8528410" ns2:_="" ns3:_="">
    <xsd:import namespace="fa6523cc-f9d2-4d22-b899-9712b14156b8"/>
    <xsd:import namespace="14bdffc1-a38a-4965-b8c7-6b995394f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523cc-f9d2-4d22-b899-9712b1415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ac5745c-5c93-4373-b075-94cdddb688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dffc1-a38a-4965-b8c7-6b995394f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5adecdc-87ea-4187-aeab-fa79453d2e31}" ma:internalName="TaxCatchAll" ma:showField="CatchAllData" ma:web="14bdffc1-a38a-4965-b8c7-6b995394f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7577A6-6A39-4FD8-B789-F26250D68B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51A3DA-DA6E-456D-B998-BFDFBC6A10B1}">
  <ds:schemaRefs>
    <ds:schemaRef ds:uri="http://schemas.microsoft.com/office/2006/metadata/properties"/>
    <ds:schemaRef ds:uri="http://schemas.microsoft.com/office/infopath/2007/PartnerControls"/>
    <ds:schemaRef ds:uri="14bdffc1-a38a-4965-b8c7-6b995394fa38"/>
    <ds:schemaRef ds:uri="fa6523cc-f9d2-4d22-b899-9712b14156b8"/>
  </ds:schemaRefs>
</ds:datastoreItem>
</file>

<file path=customXml/itemProps3.xml><?xml version="1.0" encoding="utf-8"?>
<ds:datastoreItem xmlns:ds="http://schemas.openxmlformats.org/officeDocument/2006/customXml" ds:itemID="{D67D0D37-95F9-4E9C-81FC-9A68C94FD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6523cc-f9d2-4d22-b899-9712b14156b8"/>
    <ds:schemaRef ds:uri="14bdffc1-a38a-4965-b8c7-6b995394f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Doc Info</vt:lpstr>
      <vt:lpstr>Review Log</vt:lpstr>
      <vt:lpstr>Test Step</vt:lpstr>
      <vt:lpstr>Review &amp; Rework Effort</vt:lpstr>
      <vt:lpstr>Pareto Analysis</vt:lpstr>
      <vt:lpstr>CAPA</vt:lpstr>
      <vt:lpstr>'Pareto Analysis'!Print_Area</vt:lpstr>
      <vt:lpstr>'Pareto Analysis'!Print_Titles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bestinet</dc:creator>
  <cp:keywords/>
  <dc:description/>
  <cp:lastModifiedBy>SYAMIL BIN ABDUL SAMAT</cp:lastModifiedBy>
  <cp:revision/>
  <dcterms:created xsi:type="dcterms:W3CDTF">2017-10-31T03:53:43Z</dcterms:created>
  <dcterms:modified xsi:type="dcterms:W3CDTF">2026-06-22T00:14:35Z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0x010100D5AB0CD1DD65FF45ACCBA0C60D1867E8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