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estinet.sharepoint.com/sites/KSM_FWCMS/Shared Documents/General/Test case/"/>
    </mc:Choice>
  </mc:AlternateContent>
  <xr:revisionPtr revIDLastSave="6925" documentId="8_{6CCD8C8F-EA54-415F-A302-7168B8D9E555}" xr6:coauthVersionLast="47" xr6:coauthVersionMax="47" xr10:uidLastSave="{AEE32F39-C3CB-41B3-BB77-910FE4A31973}"/>
  <bookViews>
    <workbookView xWindow="-120" yWindow="-120" windowWidth="29040" windowHeight="15720" firstSheet="3" activeTab="3" xr2:uid="{E75AB444-2B5A-43C2-959F-55397AE27B6B}"/>
  </bookViews>
  <sheets>
    <sheet name="Doc Info" sheetId="2" r:id="rId1"/>
    <sheet name="Progress" sheetId="8" r:id="rId2"/>
    <sheet name="Mobile Responsive 1.0" sheetId="13" r:id="rId3"/>
    <sheet name="Mobile Responsive 1.1" sheetId="12" r:id="rId4"/>
  </sheets>
  <definedNames>
    <definedName name="_xlnm._FilterDatabase" localSheetId="2" hidden="1">'Mobile Responsive 1.0'!#REF!</definedName>
    <definedName name="_xlnm._FilterDatabase" localSheetId="3" hidden="1">'Mobile Responsive 1.1'!$H$1:$H$409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9" i="12" l="1"/>
  <c r="V239" i="12"/>
  <c r="U239" i="12"/>
  <c r="T239" i="12"/>
  <c r="S239" i="12"/>
  <c r="S160" i="12"/>
  <c r="W160" i="12"/>
  <c r="V160" i="12"/>
  <c r="U160" i="12"/>
  <c r="T160" i="12"/>
  <c r="S1" i="12"/>
  <c r="R267" i="13"/>
  <c r="S267" i="13"/>
  <c r="T267" i="13"/>
  <c r="U267" i="13"/>
  <c r="V267" i="13"/>
  <c r="R179" i="13"/>
  <c r="S179" i="13"/>
  <c r="T179" i="13"/>
  <c r="U179" i="13"/>
  <c r="V179" i="13"/>
  <c r="R91" i="13"/>
  <c r="S91" i="13"/>
  <c r="T91" i="13"/>
  <c r="U91" i="13"/>
  <c r="V91" i="13"/>
  <c r="V3" i="13"/>
  <c r="U3" i="13"/>
  <c r="T3" i="13"/>
  <c r="S3" i="13"/>
  <c r="R3" i="13"/>
  <c r="W81" i="12"/>
  <c r="V81" i="12"/>
  <c r="U81" i="12"/>
  <c r="T81" i="12"/>
  <c r="S81" i="12"/>
  <c r="S3" i="12"/>
  <c r="W3" i="12"/>
  <c r="V3" i="12"/>
  <c r="U3" i="12"/>
  <c r="U1" i="12" s="1"/>
  <c r="G3" i="8" s="1"/>
  <c r="T3" i="12"/>
  <c r="T1" i="12" s="1"/>
  <c r="T1" i="13"/>
  <c r="E3" i="8"/>
  <c r="W1" i="12"/>
  <c r="F3" i="8"/>
  <c r="V1" i="12"/>
  <c r="D3" i="8"/>
  <c r="C3" i="8"/>
  <c r="B3" i="8" s="1"/>
  <c r="V1" i="13"/>
  <c r="E2" i="8" s="1"/>
  <c r="U1" i="13"/>
  <c r="F2" i="8" s="1"/>
  <c r="G2" i="8"/>
  <c r="S1" i="13"/>
  <c r="D2" i="8" s="1"/>
  <c r="R1" i="13"/>
  <c r="C2" i="8" s="1"/>
  <c r="B2" i="8" s="1"/>
  <c r="H3" i="8"/>
  <c r="I3" i="8"/>
  <c r="B4" i="8" l="1"/>
  <c r="H2" i="8"/>
  <c r="I2" i="8"/>
  <c r="D4" i="8"/>
  <c r="F4" i="8"/>
  <c r="E4" i="8"/>
  <c r="C4" i="8" l="1"/>
  <c r="G4" i="8"/>
  <c r="I4" i="8" l="1"/>
  <c r="H4" i="8"/>
</calcChain>
</file>

<file path=xl/sharedStrings.xml><?xml version="1.0" encoding="utf-8"?>
<sst xmlns="http://schemas.openxmlformats.org/spreadsheetml/2006/main" count="3243" uniqueCount="694">
  <si>
    <t>Review</t>
  </si>
  <si>
    <t>Review Log</t>
  </si>
  <si>
    <t>Ref. No.: BSB-QA-FWCMS-153-CRD-V1.0</t>
  </si>
  <si>
    <t>Project Name</t>
  </si>
  <si>
    <t>FWCMS Tech Refresh - 34384</t>
  </si>
  <si>
    <t>Document Information</t>
  </si>
  <si>
    <t>Sl #</t>
  </si>
  <si>
    <t>Date</t>
  </si>
  <si>
    <t>Updated By</t>
  </si>
  <si>
    <t xml:space="preserve">Update Summary </t>
  </si>
  <si>
    <t>Reviewed By</t>
  </si>
  <si>
    <t>Reviewed Date</t>
  </si>
  <si>
    <t>Faisal</t>
  </si>
  <si>
    <t>Draft TC</t>
  </si>
  <si>
    <t>Qina</t>
  </si>
  <si>
    <t>Update TC</t>
  </si>
  <si>
    <t>Module</t>
  </si>
  <si>
    <t>Total</t>
  </si>
  <si>
    <t>Passed</t>
  </si>
  <si>
    <t>Failed</t>
  </si>
  <si>
    <t>Blocked</t>
  </si>
  <si>
    <t>In Progress</t>
  </si>
  <si>
    <t>Not Executed</t>
  </si>
  <si>
    <t>Pass Completion (%)</t>
  </si>
  <si>
    <t>Total Test Completion (%)</t>
  </si>
  <si>
    <t>Mobile Responsive 1.0</t>
  </si>
  <si>
    <t>Mobile Responsive 1.1</t>
  </si>
  <si>
    <t>TOTAL</t>
  </si>
  <si>
    <t xml:space="preserve"> </t>
  </si>
  <si>
    <t>Case ID</t>
  </si>
  <si>
    <t>Redmine User Story</t>
  </si>
  <si>
    <t>Tracker</t>
  </si>
  <si>
    <t>Features</t>
  </si>
  <si>
    <t>Scenario</t>
  </si>
  <si>
    <t>Pre Condition</t>
  </si>
  <si>
    <t>Case</t>
  </si>
  <si>
    <t>Steps</t>
  </si>
  <si>
    <t>Test Data</t>
  </si>
  <si>
    <t>Expected Result</t>
  </si>
  <si>
    <t xml:space="preserve"> Result Browser</t>
  </si>
  <si>
    <t>Result</t>
  </si>
  <si>
    <t>Redmine Defect</t>
  </si>
  <si>
    <t>Additional/Comments/Issues</t>
  </si>
  <si>
    <t>QA PIC</t>
  </si>
  <si>
    <t>Safari</t>
  </si>
  <si>
    <t>Chrome</t>
  </si>
  <si>
    <t>Edge</t>
  </si>
  <si>
    <t xml:space="preserve">Iphone </t>
  </si>
  <si>
    <t>TC.TR.MRes0.001</t>
  </si>
  <si>
    <t>IDM</t>
  </si>
  <si>
    <t>New User Registration</t>
  </si>
  <si>
    <t>Verify All Fields</t>
  </si>
  <si>
    <t>Successfully search as per criteria selected</t>
  </si>
  <si>
    <t>N/A</t>
  </si>
  <si>
    <t>YHUVAN</t>
  </si>
  <si>
    <t>TC.TR.MRes0.002</t>
  </si>
  <si>
    <t>Verify All Mandatory Error Message</t>
  </si>
  <si>
    <t>Data displayed list should be filtered according to selected criteria</t>
  </si>
  <si>
    <t>TC.TR.MRes0.003</t>
  </si>
  <si>
    <t>Reset button</t>
  </si>
  <si>
    <t>All fields should be cleared</t>
  </si>
  <si>
    <t>TC.TR.MRes0.004</t>
  </si>
  <si>
    <t>OTP button</t>
  </si>
  <si>
    <t>TC.TR.MRes0.005</t>
  </si>
  <si>
    <t>Hantar Button</t>
  </si>
  <si>
    <t>Successfully update application</t>
  </si>
  <si>
    <t>TC.TR.MRes0.006</t>
  </si>
  <si>
    <t>Kembali ke Log Masuk</t>
  </si>
  <si>
    <t>Success submit application and display success message</t>
  </si>
  <si>
    <t>TC.TR.MRes0.007</t>
  </si>
  <si>
    <t>Endorse User Registration</t>
  </si>
  <si>
    <t>Verify Table listing result</t>
  </si>
  <si>
    <t>TC.TR.MRes0.008</t>
  </si>
  <si>
    <t>Search Record list</t>
  </si>
  <si>
    <t>TC.TR.MRes0.009</t>
  </si>
  <si>
    <t>View Profile</t>
  </si>
  <si>
    <t>TC.TR.MRes0.010</t>
  </si>
  <si>
    <t>Claim Record</t>
  </si>
  <si>
    <t>Successfully download Borang F</t>
  </si>
  <si>
    <t>TC.TR.MRes0.011</t>
  </si>
  <si>
    <t>Release Record</t>
  </si>
  <si>
    <t>TC.TR.MRes0.012</t>
  </si>
  <si>
    <t>Update Record</t>
  </si>
  <si>
    <t>Successfully update user registration</t>
  </si>
  <si>
    <t>TC.TR.MRes0.013</t>
  </si>
  <si>
    <t>Successfully submit application</t>
  </si>
  <si>
    <t>TC.TR.MRes0.014</t>
  </si>
  <si>
    <t>Kembali button</t>
  </si>
  <si>
    <t>system redirect to previous page</t>
  </si>
  <si>
    <t>TC.TR.MRes0.015</t>
  </si>
  <si>
    <t>Approve User Registration</t>
  </si>
  <si>
    <t>TC.TR.MRes0.016</t>
  </si>
  <si>
    <t>TC.TR.MRes0.017</t>
  </si>
  <si>
    <t>TC.TR.MRes0.018</t>
  </si>
  <si>
    <t>TC.TR.MRes0.019</t>
  </si>
  <si>
    <t>TC.TR.MRes0.020</t>
  </si>
  <si>
    <t>TC.TR.MRes0.021</t>
  </si>
  <si>
    <t>TC.TR.MRes0.022</t>
  </si>
  <si>
    <t>TC.TR.MRes0.023</t>
  </si>
  <si>
    <t>Update Profile</t>
  </si>
  <si>
    <t>TC.TR.MRes0.024</t>
  </si>
  <si>
    <t>TC.TR.MRes0.025</t>
  </si>
  <si>
    <t>TC.TR.MRes0.026</t>
  </si>
  <si>
    <t>TC.TR.MRes0.027</t>
  </si>
  <si>
    <t>TC.TR.MRes0.028</t>
  </si>
  <si>
    <t>Nyahakftif</t>
  </si>
  <si>
    <t>TC.TR.MRes0.029</t>
  </si>
  <si>
    <t>Tetapkan Semula button</t>
  </si>
  <si>
    <t>TC.TR.MRes0.030</t>
  </si>
  <si>
    <t>TC.TR.MRes0.031</t>
  </si>
  <si>
    <t>Pre-Quota Application</t>
  </si>
  <si>
    <t>Verify Document</t>
  </si>
  <si>
    <t>TC.TR.MRes0.032</t>
  </si>
  <si>
    <t>Search Criteria</t>
  </si>
  <si>
    <t>TC.TR.MRes0.033</t>
  </si>
  <si>
    <t>Verify Application Details</t>
  </si>
  <si>
    <t>Data display as expected</t>
  </si>
  <si>
    <t>TC.TR.MRes0.034</t>
  </si>
  <si>
    <t>Approved</t>
  </si>
  <si>
    <t>TC.TR.MRes0.035</t>
  </si>
  <si>
    <t>Returned</t>
  </si>
  <si>
    <t>TC.TR.MRes0.036</t>
  </si>
  <si>
    <t>Rejected</t>
  </si>
  <si>
    <t xml:space="preserve">Successfully reject document and system display reject message </t>
  </si>
  <si>
    <t>TC.TR.MRes0.037</t>
  </si>
  <si>
    <t>AKS Recomendation</t>
  </si>
  <si>
    <t>TC.TR.MRes0.038</t>
  </si>
  <si>
    <t>TC.TR.MRes0.039</t>
  </si>
  <si>
    <t>TC.TR.MRes0.040</t>
  </si>
  <si>
    <t>Recommend</t>
  </si>
  <si>
    <t>TC.TR.MRes0.041</t>
  </si>
  <si>
    <t>Not Recommend</t>
  </si>
  <si>
    <t>TC.TR.MRes0.042</t>
  </si>
  <si>
    <t>eQuota Application</t>
  </si>
  <si>
    <t>Verify Document (CBC)</t>
  </si>
  <si>
    <t>TC.TR.MRes0.043</t>
  </si>
  <si>
    <t>TC.TR.MRes0.044</t>
  </si>
  <si>
    <t>TC.TR.MRes0.045</t>
  </si>
  <si>
    <t>TC.TR.MRes0.046</t>
  </si>
  <si>
    <t>TC.TR.MRes0.047</t>
  </si>
  <si>
    <t>TC.TR.MRes0.048</t>
  </si>
  <si>
    <t>Verify Document (Normal)</t>
  </si>
  <si>
    <t>TC.TR.MRes0.049</t>
  </si>
  <si>
    <t>TC.TR.MRes0.050</t>
  </si>
  <si>
    <t>TC.TR.MRes0.051</t>
  </si>
  <si>
    <t>TC.TR.MRes0.052</t>
  </si>
  <si>
    <t>TC.TR.MRes0.053</t>
  </si>
  <si>
    <t>TC.TR.MRes0.054</t>
  </si>
  <si>
    <t>MFJ Application</t>
  </si>
  <si>
    <t>Assign / Release Admin User by PERKESO ADMIN</t>
  </si>
  <si>
    <t xml:space="preserve">Data display in table listing </t>
  </si>
  <si>
    <t>TC.TR.MRes0.055</t>
  </si>
  <si>
    <t>Successfully generate PDF file</t>
  </si>
  <si>
    <t>TC.TR.MRes0.056</t>
  </si>
  <si>
    <t>Assign Admin User</t>
  </si>
  <si>
    <t>Successfully generate excel file</t>
  </si>
  <si>
    <t>TC.TR.MRes0.057</t>
  </si>
  <si>
    <t>Release Admin User</t>
  </si>
  <si>
    <t>TC.TR.MRes0.058</t>
  </si>
  <si>
    <t>TC.TR.MRes0.059</t>
  </si>
  <si>
    <t>Verify MFJ by PERKESO ADMIN USER</t>
  </si>
  <si>
    <t>TC.TR.MRes0.060</t>
  </si>
  <si>
    <t>TC.TR.MRes0.061</t>
  </si>
  <si>
    <t>TC.TR.MRes0.062</t>
  </si>
  <si>
    <t>TC.TR.MRes0.063</t>
  </si>
  <si>
    <t>TC.TR.MRes0.064</t>
  </si>
  <si>
    <t>TC.TR.MRes0.065</t>
  </si>
  <si>
    <t>TC.TR.MRes0.066</t>
  </si>
  <si>
    <t>Dashboard</t>
  </si>
  <si>
    <t>eComplaint</t>
  </si>
  <si>
    <t>Labels &amp; Colours</t>
  </si>
  <si>
    <t>TC.TR.MRes0.067</t>
  </si>
  <si>
    <t>Charts, Graphs &amp; Data Tables</t>
  </si>
  <si>
    <t>TC.TR.MRes0.068</t>
  </si>
  <si>
    <t>eVDR</t>
  </si>
  <si>
    <t>TC.TR.MRes0.069</t>
  </si>
  <si>
    <t>TC.TR.MRes0.070</t>
  </si>
  <si>
    <t>JTKSM Management</t>
  </si>
  <si>
    <t>TC.TR.MRes0.071</t>
  </si>
  <si>
    <t>TC.TR.MRes0.072</t>
  </si>
  <si>
    <t>TC.TR.MRes0.073</t>
  </si>
  <si>
    <t>TC.TR.MRes0.074</t>
  </si>
  <si>
    <t>Configuration</t>
  </si>
  <si>
    <t>Sector Configuration</t>
  </si>
  <si>
    <t>TC.TR.MRes0.075</t>
  </si>
  <si>
    <t>TC.TR.MRes0.076</t>
  </si>
  <si>
    <t>Create New / Update</t>
  </si>
  <si>
    <t>TC.TR.MRes0.077</t>
  </si>
  <si>
    <t>TC.TR.MRes0.078</t>
  </si>
  <si>
    <t>TC.TR.MRes0.079</t>
  </si>
  <si>
    <t>TC.TR.MRes0.080</t>
  </si>
  <si>
    <t>TC.TR.MRes0.081</t>
  </si>
  <si>
    <t>Blacklist Configuration</t>
  </si>
  <si>
    <t>TC.TR.MRes0.082</t>
  </si>
  <si>
    <t>TC.TR.MRes0.083</t>
  </si>
  <si>
    <t>TC.TR.MRes0.084</t>
  </si>
  <si>
    <t>TC.TR.MRes0.085</t>
  </si>
  <si>
    <t>TC.TR.MRes0.086</t>
  </si>
  <si>
    <t>TC.TR.MRes0.087</t>
  </si>
  <si>
    <t xml:space="preserve">Android </t>
  </si>
  <si>
    <t>TC.TR.MRes0.088</t>
  </si>
  <si>
    <t>TC.TR.MRes0.089</t>
  </si>
  <si>
    <t>TC.TR.MRes0.090</t>
  </si>
  <si>
    <t>TC.TR.MRes0.091</t>
  </si>
  <si>
    <t>TC.TR.MRes0.092</t>
  </si>
  <si>
    <t>TC.TR.MRes0.093</t>
  </si>
  <si>
    <t>TC.TR.MRes0.094</t>
  </si>
  <si>
    <t>TC.TR.MRes0.095</t>
  </si>
  <si>
    <t>TC.TR.MRes0.096</t>
  </si>
  <si>
    <t>TC.TR.MRes0.097</t>
  </si>
  <si>
    <t>TC.TR.MRes0.098</t>
  </si>
  <si>
    <t>TC.TR.MRes0.099</t>
  </si>
  <si>
    <t>TC.TR.MRes0.100</t>
  </si>
  <si>
    <t>TC.TR.MRes0.101</t>
  </si>
  <si>
    <t>TC.TR.MRes0.102</t>
  </si>
  <si>
    <t>TC.TR.MRes0.103</t>
  </si>
  <si>
    <t>TC.TR.MRes0.104</t>
  </si>
  <si>
    <t>TC.TR.MRes0.105</t>
  </si>
  <si>
    <t>TC.TR.MRes0.106</t>
  </si>
  <si>
    <t>TC.TR.MRes0.107</t>
  </si>
  <si>
    <t>TC.TR.MRes0.108</t>
  </si>
  <si>
    <t>TC.TR.MRes0.109</t>
  </si>
  <si>
    <t>TC.TR.MRes0.110</t>
  </si>
  <si>
    <t>TC.TR.MRes0.111</t>
  </si>
  <si>
    <t>TC.TR.MRes0.112</t>
  </si>
  <si>
    <t>TC.TR.MRes0.113</t>
  </si>
  <si>
    <t>TC.TR.MRes0.114</t>
  </si>
  <si>
    <t>TC.TR.MRes0.115</t>
  </si>
  <si>
    <t>TC.TR.MRes0.116</t>
  </si>
  <si>
    <t>TC.TR.MRes0.117</t>
  </si>
  <si>
    <t>TC.TR.MRes0.118</t>
  </si>
  <si>
    <t>TC.TR.MRes0.119</t>
  </si>
  <si>
    <t>TC.TR.MRes0.120</t>
  </si>
  <si>
    <t>TC.TR.MRes0.121</t>
  </si>
  <si>
    <t>TC.TR.MRes0.122</t>
  </si>
  <si>
    <t>TC.TR.MRes0.123</t>
  </si>
  <si>
    <t>TC.TR.MRes0.124</t>
  </si>
  <si>
    <t>TC.TR.MRes0.125</t>
  </si>
  <si>
    <t>TC.TR.MRes0.126</t>
  </si>
  <si>
    <t>TC.TR.MRes0.127</t>
  </si>
  <si>
    <t>TC.TR.MRes0.128</t>
  </si>
  <si>
    <t>TC.TR.MRes0.129</t>
  </si>
  <si>
    <t>TC.TR.MRes0.130</t>
  </si>
  <si>
    <t>TC.TR.MRes0.131</t>
  </si>
  <si>
    <t>TC.TR.MRes0.132</t>
  </si>
  <si>
    <t>TC.TR.MRes0.133</t>
  </si>
  <si>
    <t>TC.TR.MRes0.134</t>
  </si>
  <si>
    <t>TC.TR.MRes0.135</t>
  </si>
  <si>
    <t>TC.TR.MRes0.136</t>
  </si>
  <si>
    <t>TC.TR.MRes0.137</t>
  </si>
  <si>
    <t>TC.TR.MRes0.138</t>
  </si>
  <si>
    <t>TC.TR.MRes0.139</t>
  </si>
  <si>
    <t>TC.TR.MRes0.140</t>
  </si>
  <si>
    <t>TC.TR.MRes0.141</t>
  </si>
  <si>
    <t>TC.TR.MRes0.142</t>
  </si>
  <si>
    <t>TC.TR.MRes0.143</t>
  </si>
  <si>
    <t>TC.TR.MRes0.144</t>
  </si>
  <si>
    <t>TC.TR.MRes0.145</t>
  </si>
  <si>
    <t>TC.TR.MRes0.146</t>
  </si>
  <si>
    <t>TC.TR.MRes0.147</t>
  </si>
  <si>
    <t>TC.TR.MRes0.148</t>
  </si>
  <si>
    <t>TC.TR.MRes0.149</t>
  </si>
  <si>
    <t>TC.TR.MRes0.150</t>
  </si>
  <si>
    <t>TC.TR.MRes0.151</t>
  </si>
  <si>
    <t>TC.TR.MRes0.152</t>
  </si>
  <si>
    <t>TC.TR.MRes0.153</t>
  </si>
  <si>
    <t>TC.TR.MRes0.154</t>
  </si>
  <si>
    <t>TC.TR.MRes0.155</t>
  </si>
  <si>
    <t>TC.TR.MRes0.156</t>
  </si>
  <si>
    <t>TC.TR.MRes0.157</t>
  </si>
  <si>
    <t>TC.TR.MRes0.158</t>
  </si>
  <si>
    <t>TC.TR.MRes0.159</t>
  </si>
  <si>
    <t>TC.TR.MRes0.160</t>
  </si>
  <si>
    <t>TC.TR.MRes0.161</t>
  </si>
  <si>
    <t>TC.TR.MRes0.162</t>
  </si>
  <si>
    <t>TC.TR.MRes0.163</t>
  </si>
  <si>
    <t>TC.TR.MRes0.164</t>
  </si>
  <si>
    <t>TC.TR.MRes0.165</t>
  </si>
  <si>
    <t>TC.TR.MRes0.166</t>
  </si>
  <si>
    <t>TC.TR.MRes0.167</t>
  </si>
  <si>
    <t>TC.TR.MRes0.168</t>
  </si>
  <si>
    <t>TC.TR.MRes0.169</t>
  </si>
  <si>
    <t>TC.TR.MRes0.170</t>
  </si>
  <si>
    <t>TC.TR.MRes0.171</t>
  </si>
  <si>
    <t>TC.TR.MRes0.172</t>
  </si>
  <si>
    <t>TC.TR.MRes0.173</t>
  </si>
  <si>
    <t>TC.TR.MRes0.174</t>
  </si>
  <si>
    <t>iPad</t>
  </si>
  <si>
    <t>TC.TR.MRes0.175</t>
  </si>
  <si>
    <t>TC.TR.MRes0.176</t>
  </si>
  <si>
    <t>TC.TR.MRes0.177</t>
  </si>
  <si>
    <t>TC.TR.MRes0.178</t>
  </si>
  <si>
    <t>TC.TR.MRes0.179</t>
  </si>
  <si>
    <t>TC.TR.MRes0.180</t>
  </si>
  <si>
    <t>TC.TR.MRes0.181</t>
  </si>
  <si>
    <t>TC.TR.MRes0.182</t>
  </si>
  <si>
    <t>TC.TR.MRes0.183</t>
  </si>
  <si>
    <t>TC.TR.MRes0.184</t>
  </si>
  <si>
    <t>TC.TR.MRes0.185</t>
  </si>
  <si>
    <t>TC.TR.MRes0.186</t>
  </si>
  <si>
    <t>TC.TR.MRes0.187</t>
  </si>
  <si>
    <t>TC.TR.MRes0.188</t>
  </si>
  <si>
    <t>TC.TR.MRes0.189</t>
  </si>
  <si>
    <t>TC.TR.MRes0.190</t>
  </si>
  <si>
    <t>TC.TR.MRes0.191</t>
  </si>
  <si>
    <t>TC.TR.MRes0.192</t>
  </si>
  <si>
    <t>TC.TR.MRes0.193</t>
  </si>
  <si>
    <t>TC.TR.MRes0.194</t>
  </si>
  <si>
    <t>TC.TR.MRes0.195</t>
  </si>
  <si>
    <t>TC.TR.MRes0.196</t>
  </si>
  <si>
    <t>TC.TR.MRes0.197</t>
  </si>
  <si>
    <t>TC.TR.MRes0.198</t>
  </si>
  <si>
    <t>TC.TR.MRes0.199</t>
  </si>
  <si>
    <t>TC.TR.MRes0.200</t>
  </si>
  <si>
    <t>TC.TR.MRes0.201</t>
  </si>
  <si>
    <t>TC.TR.MRes0.202</t>
  </si>
  <si>
    <t>TC.TR.MRes0.203</t>
  </si>
  <si>
    <t>TC.TR.MRes0.204</t>
  </si>
  <si>
    <t>TC.TR.MRes0.205</t>
  </si>
  <si>
    <t>TC.TR.MRes0.206</t>
  </si>
  <si>
    <t>TC.TR.MRes0.207</t>
  </si>
  <si>
    <t>TC.TR.MRes0.208</t>
  </si>
  <si>
    <t>TC.TR.MRes0.209</t>
  </si>
  <si>
    <t>TC.TR.MRes0.210</t>
  </si>
  <si>
    <t>TC.TR.MRes0.211</t>
  </si>
  <si>
    <t>TC.TR.MRes0.212</t>
  </si>
  <si>
    <t>TC.TR.MRes0.213</t>
  </si>
  <si>
    <t>TC.TR.MRes0.214</t>
  </si>
  <si>
    <t>TC.TR.MRes0.215</t>
  </si>
  <si>
    <t>TC.TR.MRes0.216</t>
  </si>
  <si>
    <t>TC.TR.MRes0.217</t>
  </si>
  <si>
    <t>TC.TR.MRes0.218</t>
  </si>
  <si>
    <t>TC.TR.MRes0.219</t>
  </si>
  <si>
    <t>TC.TR.MRes0.220</t>
  </si>
  <si>
    <t>TC.TR.MRes0.221</t>
  </si>
  <si>
    <t>TC.TR.MRes0.222</t>
  </si>
  <si>
    <t>TC.TR.MRes0.223</t>
  </si>
  <si>
    <t>TC.TR.MRes0.224</t>
  </si>
  <si>
    <t>TC.TR.MRes0.225</t>
  </si>
  <si>
    <t>TC.TR.MRes0.226</t>
  </si>
  <si>
    <t>TC.TR.MRes0.227</t>
  </si>
  <si>
    <t>TC.TR.MRes0.228</t>
  </si>
  <si>
    <t>TC.TR.MRes0.229</t>
  </si>
  <si>
    <t>TC.TR.MRes0.230</t>
  </si>
  <si>
    <t>TC.TR.MRes0.231</t>
  </si>
  <si>
    <t>TC.TR.MRes0.232</t>
  </si>
  <si>
    <t>TC.TR.MRes0.233</t>
  </si>
  <si>
    <t>TC.TR.MRes0.234</t>
  </si>
  <si>
    <t>TC.TR.MRes0.235</t>
  </si>
  <si>
    <t>TC.TR.MRes0.236</t>
  </si>
  <si>
    <t>TC.TR.MRes0.237</t>
  </si>
  <si>
    <t>TC.TR.MRes0.238</t>
  </si>
  <si>
    <t>TC.TR.MRes0.239</t>
  </si>
  <si>
    <t>TC.TR.MRes0.240</t>
  </si>
  <si>
    <t>TC.TR.MRes0.241</t>
  </si>
  <si>
    <t>TC.TR.MRes0.242</t>
  </si>
  <si>
    <t>TC.TR.MRes0.243</t>
  </si>
  <si>
    <t>TC.TR.MRes0.244</t>
  </si>
  <si>
    <t>TC.TR.MRes0.245</t>
  </si>
  <si>
    <t>TC.TR.MRes0.246</t>
  </si>
  <si>
    <t>TC.TR.MRes0.247</t>
  </si>
  <si>
    <t>TC.TR.MRes0.248</t>
  </si>
  <si>
    <t>TC.TR.MRes0.249</t>
  </si>
  <si>
    <t>TC.TR.MRes0.250</t>
  </si>
  <si>
    <t>TC.TR.MRes0.251</t>
  </si>
  <si>
    <t>TC.TR.MRes0.252</t>
  </si>
  <si>
    <t>TC.TR.MRes0.253</t>
  </si>
  <si>
    <t>TC.TR.MRes0.254</t>
  </si>
  <si>
    <t>TC.TR.MRes0.255</t>
  </si>
  <si>
    <t>TC.TR.MRes0.256</t>
  </si>
  <si>
    <t>TC.TR.MRes0.257</t>
  </si>
  <si>
    <t>TC.TR.MRes0.258</t>
  </si>
  <si>
    <t>TC.TR.MRes0.259</t>
  </si>
  <si>
    <t>TC.TR.MRes0.260</t>
  </si>
  <si>
    <t>TC.TR.MRes0.261</t>
  </si>
  <si>
    <t>Android Tablet</t>
  </si>
  <si>
    <t>TC.TR.MRes0.262</t>
  </si>
  <si>
    <t>TC.TR.MRes0.263</t>
  </si>
  <si>
    <t>TC.TR.MRes0.264</t>
  </si>
  <si>
    <t>TC.TR.MRes0.265</t>
  </si>
  <si>
    <t>TC.TR.MRes0.266</t>
  </si>
  <si>
    <t>TC.TR.MRes0.267</t>
  </si>
  <si>
    <t>TC.TR.MRes0.268</t>
  </si>
  <si>
    <t>TC.TR.MRes0.269</t>
  </si>
  <si>
    <t>TC.TR.MRes0.270</t>
  </si>
  <si>
    <t>TC.TR.MRes0.271</t>
  </si>
  <si>
    <t>TC.TR.MRes0.272</t>
  </si>
  <si>
    <t>TC.TR.MRes0.273</t>
  </si>
  <si>
    <t>TC.TR.MRes0.274</t>
  </si>
  <si>
    <t>TC.TR.MRes0.275</t>
  </si>
  <si>
    <t>TC.TR.MRes0.276</t>
  </si>
  <si>
    <t>TC.TR.MRes0.277</t>
  </si>
  <si>
    <t>TC.TR.MRes0.278</t>
  </si>
  <si>
    <t>TC.TR.MRes0.279</t>
  </si>
  <si>
    <t>TC.TR.MRes0.280</t>
  </si>
  <si>
    <t>TC.TR.MRes0.281</t>
  </si>
  <si>
    <t>TC.TR.MRes0.282</t>
  </si>
  <si>
    <t>TC.TR.MRes0.283</t>
  </si>
  <si>
    <t>TC.TR.MRes0.284</t>
  </si>
  <si>
    <t>TC.TR.MRes0.285</t>
  </si>
  <si>
    <t>TC.TR.MRes0.286</t>
  </si>
  <si>
    <t>TC.TR.MRes0.287</t>
  </si>
  <si>
    <t>TC.TR.MRes0.288</t>
  </si>
  <si>
    <t>TC.TR.MRes0.289</t>
  </si>
  <si>
    <t>TC.TR.MRes0.290</t>
  </si>
  <si>
    <t>TC.TR.MRes0.291</t>
  </si>
  <si>
    <t>TC.TR.MRes0.292</t>
  </si>
  <si>
    <t>TC.TR.MRes0.293</t>
  </si>
  <si>
    <t>TC.TR.MRes0.294</t>
  </si>
  <si>
    <t>TC.TR.MRes0.295</t>
  </si>
  <si>
    <t>TC.TR.MRes0.296</t>
  </si>
  <si>
    <t>TC.TR.MRes0.297</t>
  </si>
  <si>
    <t>TC.TR.MRes0.298</t>
  </si>
  <si>
    <t>TC.TR.MRes0.299</t>
  </si>
  <si>
    <t>TC.TR.MRes0.300</t>
  </si>
  <si>
    <t>TC.TR.MRes0.301</t>
  </si>
  <si>
    <t>TC.TR.MRes0.302</t>
  </si>
  <si>
    <t>TC.TR.MRes0.303</t>
  </si>
  <si>
    <t>TC.TR.MRes0.304</t>
  </si>
  <si>
    <t>TC.TR.MRes0.305</t>
  </si>
  <si>
    <t>TC.TR.MRes0.306</t>
  </si>
  <si>
    <t>TC.TR.MRes0.307</t>
  </si>
  <si>
    <t>TC.TR.MRes0.308</t>
  </si>
  <si>
    <t>TC.TR.MRes0.309</t>
  </si>
  <si>
    <t>TC.TR.MRes0.310</t>
  </si>
  <si>
    <t>TC.TR.MRes0.311</t>
  </si>
  <si>
    <t>TC.TR.MRes0.312</t>
  </si>
  <si>
    <t>TC.TR.MRes0.313</t>
  </si>
  <si>
    <t>TC.TR.MRes0.314</t>
  </si>
  <si>
    <t>TC.TR.MRes0.315</t>
  </si>
  <si>
    <t>TC.TR.MRes0.316</t>
  </si>
  <si>
    <t>TC.TR.MRes0.317</t>
  </si>
  <si>
    <t>TC.TR.MRes0.318</t>
  </si>
  <si>
    <t>TC.TR.MRes0.319</t>
  </si>
  <si>
    <t>TC.TR.MRes0.320</t>
  </si>
  <si>
    <t>TC.TR.MRes0.321</t>
  </si>
  <si>
    <t>TC.TR.MRes0.322</t>
  </si>
  <si>
    <t>TC.TR.MRes0.323</t>
  </si>
  <si>
    <t>TC.TR.MRes0.324</t>
  </si>
  <si>
    <t>TC.TR.MRes0.325</t>
  </si>
  <si>
    <t>TC.TR.MRes0.326</t>
  </si>
  <si>
    <t>TC.TR.MRes0.327</t>
  </si>
  <si>
    <t>TC.TR.MRes0.328</t>
  </si>
  <si>
    <t>TC.TR.MRes0.329</t>
  </si>
  <si>
    <t>TC.TR.MRes0.330</t>
  </si>
  <si>
    <t>TC.TR.MRes0.331</t>
  </si>
  <si>
    <t>TC.TR.MRes0.332</t>
  </si>
  <si>
    <t>TC.TR.MRes0.333</t>
  </si>
  <si>
    <t>TC.TR.MRes0.334</t>
  </si>
  <si>
    <t>TC.TR.MRes0.335</t>
  </si>
  <si>
    <t>TC.TR.MRes0.336</t>
  </si>
  <si>
    <t>TC.TR.MRes0.337</t>
  </si>
  <si>
    <t>TC.TR.MRes0.338</t>
  </si>
  <si>
    <t>TC.TR.MRes0.339</t>
  </si>
  <si>
    <t>TC.TR.MRes0.340</t>
  </si>
  <si>
    <t>TC.TR.MRes0.341</t>
  </si>
  <si>
    <t>TC.TR.MRes0.342</t>
  </si>
  <si>
    <t>TC.TR.MRes0.343</t>
  </si>
  <si>
    <t>TC.TR.MRes0.344</t>
  </si>
  <si>
    <t>TC.TR.MRes0.345</t>
  </si>
  <si>
    <t>TC.TR.MRes0.346</t>
  </si>
  <si>
    <t>TC.TR.MRes0.347</t>
  </si>
  <si>
    <t>TC.TR.MRes0.348</t>
  </si>
  <si>
    <t>Complexity</t>
  </si>
  <si>
    <t>Safari (V....)</t>
  </si>
  <si>
    <t>Chrome (V...)</t>
  </si>
  <si>
    <t>Edge (V...)</t>
  </si>
  <si>
    <t>TC.TR.MRes.001</t>
  </si>
  <si>
    <t>Landing Page</t>
  </si>
  <si>
    <t>Homepage</t>
  </si>
  <si>
    <t>User logged in</t>
  </si>
  <si>
    <t>Login</t>
  </si>
  <si>
    <t>L</t>
  </si>
  <si>
    <t>Verify user can login with valid credentials</t>
  </si>
  <si>
    <t>Following must be correct :
a. Spelling
b. Font (Standard)
c. Color (Standard)
d. Translation (Locale)</t>
  </si>
  <si>
    <t>PASS</t>
  </si>
  <si>
    <t>TC.TR.MRes.002</t>
  </si>
  <si>
    <t>Verify Menu</t>
  </si>
  <si>
    <t>Verify menu is displayed after login</t>
  </si>
  <si>
    <t xml:space="preserve">All labels / fields are properly aligned </t>
  </si>
  <si>
    <t>TC.TR.MRes.003</t>
  </si>
  <si>
    <t>User is logged in</t>
  </si>
  <si>
    <t>Verify the "Lihat Status" button is displayed and clickable</t>
  </si>
  <si>
    <t>1. Navigate to Home Page
2. Locate "Lihat Status" button
3. Click the button</t>
  </si>
  <si>
    <t>User is navigated to correct status page with relevant data</t>
  </si>
  <si>
    <t>TC.TR.MRes.004</t>
  </si>
  <si>
    <t>Notifications exist</t>
  </si>
  <si>
    <t>Verify notification log is displayed at Aktiviti Terkini</t>
  </si>
  <si>
    <t>M</t>
  </si>
  <si>
    <t>1. Navigate to Home Page
2. Verify notification Aktiviti Terkini</t>
  </si>
  <si>
    <t>Notification history list is visible</t>
  </si>
  <si>
    <t>TC.TR.MRes.005</t>
  </si>
  <si>
    <t>User has activity history</t>
  </si>
  <si>
    <t>Verify latest activity remarks are displayed at Pemberitahuan</t>
  </si>
  <si>
    <t>1. Navigate to Home Page
2. Verify latest oemberitahuan</t>
  </si>
  <si>
    <t>Latest remarks appear in correct order (most recent first)</t>
  </si>
  <si>
    <t>TC.TR.MRes.006</t>
  </si>
  <si>
    <t>Verify eComplaint</t>
  </si>
  <si>
    <t>Search complaint list</t>
  </si>
  <si>
    <t>FAIL</t>
  </si>
  <si>
    <t>Complaint date not display once select specific date</t>
  </si>
  <si>
    <t>FAISAL</t>
  </si>
  <si>
    <t>TC.TR.MRes.007</t>
  </si>
  <si>
    <t>TC.TR.MRes.008</t>
  </si>
  <si>
    <t>TC.TR.MRes.009</t>
  </si>
  <si>
    <t>Search Button</t>
  </si>
  <si>
    <t>TC.TR.MRes.010</t>
  </si>
  <si>
    <t>Update Complaint</t>
  </si>
  <si>
    <t>H</t>
  </si>
  <si>
    <t>TC.TR.MRes.011</t>
  </si>
  <si>
    <t>Submission</t>
  </si>
  <si>
    <t>TC.TR.MRes.012</t>
  </si>
  <si>
    <t>Inspect Complaint</t>
  </si>
  <si>
    <t>TC.TR.MRes.013</t>
  </si>
  <si>
    <t>TC.TR.MRes.014</t>
  </si>
  <si>
    <t>TC.TR.MRes.015</t>
  </si>
  <si>
    <t>Download</t>
  </si>
  <si>
    <t>TC.TR.MRes.016</t>
  </si>
  <si>
    <t>TC.TR.MRes.017</t>
  </si>
  <si>
    <t>Endorse Complaint</t>
  </si>
  <si>
    <t>TC.TR.MRes.018</t>
  </si>
  <si>
    <t>TC.TR.MRes.019</t>
  </si>
  <si>
    <t>Update Application</t>
  </si>
  <si>
    <t>TC.TR.MRes.020</t>
  </si>
  <si>
    <t>TC.TR.MRes.021</t>
  </si>
  <si>
    <t>view status  action taken</t>
  </si>
  <si>
    <t>TC.TR.MRes.022</t>
  </si>
  <si>
    <t>Monthly Reporting Reporting</t>
  </si>
  <si>
    <t>Single Search Criteria</t>
  </si>
  <si>
    <t>TC.TR.MRes.023</t>
  </si>
  <si>
    <t>TC.TR.MRes.024</t>
  </si>
  <si>
    <t>TC.TR.MRes.025</t>
  </si>
  <si>
    <t>TC.TR.MRes.026</t>
  </si>
  <si>
    <t>Print button</t>
  </si>
  <si>
    <t>38483 </t>
  </si>
  <si>
    <t>TC.TR.MRes.027</t>
  </si>
  <si>
    <t>Export button</t>
  </si>
  <si>
    <t>Successfully generate excel</t>
  </si>
  <si>
    <t>TC.TR.MRes.028</t>
  </si>
  <si>
    <t>Complaint Summary by Stages</t>
  </si>
  <si>
    <t>TC.TR.MRes.029</t>
  </si>
  <si>
    <t>Missing title</t>
  </si>
  <si>
    <t>TC.TR.MRes.030</t>
  </si>
  <si>
    <t>Global Search</t>
  </si>
  <si>
    <t>Complaint List</t>
  </si>
  <si>
    <t>TC.TR.MRes.031</t>
  </si>
  <si>
    <t>TC.TR.MRes.032</t>
  </si>
  <si>
    <t>Verify Complaint details</t>
  </si>
  <si>
    <t>TC.TR.MRes.033</t>
  </si>
  <si>
    <t>FWe List</t>
  </si>
  <si>
    <t>TC.TR.MRes.034</t>
  </si>
  <si>
    <t>TC.TR.MRes.035</t>
  </si>
  <si>
    <t>TC.TR.MRes.036</t>
  </si>
  <si>
    <t>eQuota List</t>
  </si>
  <si>
    <t>TC.TR.MRes.037</t>
  </si>
  <si>
    <t>TC.TR.MRes.038</t>
  </si>
  <si>
    <t>TC.TR.MRes.039</t>
  </si>
  <si>
    <t>PERKESO (MFJ)</t>
  </si>
  <si>
    <t>TC.TR.MRes.040</t>
  </si>
  <si>
    <t>Data display base on selected criteria</t>
  </si>
  <si>
    <t>TC.TR.MRes.041</t>
  </si>
  <si>
    <t xml:space="preserve">Successfully verify complaint details </t>
  </si>
  <si>
    <t>TC.TR.MRes.042</t>
  </si>
  <si>
    <t>Biodata Screening</t>
  </si>
  <si>
    <t>My Inbox</t>
  </si>
  <si>
    <t>TC.TR.MRes.043</t>
  </si>
  <si>
    <t>View Application</t>
  </si>
  <si>
    <t>System populate applicaion details</t>
  </si>
  <si>
    <t>TC.TR.MRes.044</t>
  </si>
  <si>
    <t xml:space="preserve">Download letter </t>
  </si>
  <si>
    <t xml:space="preserve">successfully downlod document </t>
  </si>
  <si>
    <t>TC.TR.MRes.045</t>
  </si>
  <si>
    <t>Generate Approval letter</t>
  </si>
  <si>
    <t>System successfully generate approval letter</t>
  </si>
  <si>
    <t>TC.TR.MRes.046</t>
  </si>
  <si>
    <t>Pool</t>
  </si>
  <si>
    <t>TC.TR.MRes.047</t>
  </si>
  <si>
    <t>TC.TR.MRes.048</t>
  </si>
  <si>
    <t>Claim Application</t>
  </si>
  <si>
    <t>Data transfer to my inbox and removed from pool</t>
  </si>
  <si>
    <t>TC.TR.MRes.049</t>
  </si>
  <si>
    <t>History</t>
  </si>
  <si>
    <t>TC.TR.MRes.050</t>
  </si>
  <si>
    <t>Successfully view application history</t>
  </si>
  <si>
    <t>TC.TR.MRes.051</t>
  </si>
  <si>
    <t>NNS Allocation report</t>
  </si>
  <si>
    <t xml:space="preserve">NNS Quota Allocation by Sector
</t>
  </si>
  <si>
    <t xml:space="preserve">Search NNS quota listing </t>
  </si>
  <si>
    <t>1. Login valid user 
2. Click NNS quota Allocation Report
3. Click NNS Quota Allocation by Sector
 sub menu
4. Search Specific date
5. Click Search button</t>
  </si>
  <si>
    <t>chrome receive error 500</t>
  </si>
  <si>
    <t>TC.TR.MRes.052</t>
  </si>
  <si>
    <t>Print quota allocation by sector</t>
  </si>
  <si>
    <t>1. Login valid user 
2. ClickNNS Allocation report
3. Click NNS Quota Allocation by Sector
 sub menu
4. Search Specific date
5. Click Search button
6. Click Print button</t>
  </si>
  <si>
    <t>TC.TR.MRes.053</t>
  </si>
  <si>
    <t>Generate excel allocation by sector</t>
  </si>
  <si>
    <t>1. Login valid user 
2. Click NNS Allocation report
3. Click NNS Quota Allocation by Sector
 sub menu
4. Search Specific date
5. Click Search button
6. Click export button</t>
  </si>
  <si>
    <t>38487 </t>
  </si>
  <si>
    <t>missing pie chart</t>
  </si>
  <si>
    <t>TC.TR.MRes.054</t>
  </si>
  <si>
    <t xml:space="preserve">NNS Quota Allocation Top 10 Employer
</t>
  </si>
  <si>
    <t>Search NNS quota allocation  top 10 employer</t>
  </si>
  <si>
    <t>1. Login valid user 
2. Click NNS quota Allocation Report
3. Click NNS Quota Allocation Top 10 Employe sub menu
4. Search Specific date
5. Click Search button</t>
  </si>
  <si>
    <t>TC.TR.MRes.055</t>
  </si>
  <si>
    <t>1. Login valid user 
2. ClickNNS Allocation report
3. Click NNS Quota Allocation Top 10 Employer
 sub menu
4. Search Specific date
5. Click Search button
6. Click Print button</t>
  </si>
  <si>
    <t>TC.TR.MRes.056</t>
  </si>
  <si>
    <t>1. Login valid user 
2. Click NNS Allocation report
3. Click NNS Quota Allocation Top 10 Employer sub menu
4. Search Specific date
5. Click Search button
6. Click export button</t>
  </si>
  <si>
    <t>TC.TR.MRes.057</t>
  </si>
  <si>
    <t xml:space="preserve">NNS Quota Allocation Transaction
</t>
  </si>
  <si>
    <t>Search NNS quota Allocation transaction</t>
  </si>
  <si>
    <t>1. Login valid user 
2. Click NNS quota Allocation Report
3. Click NNS Quota Allocation Transaction  sub menu
4. Search Specific date
5. Click Search button</t>
  </si>
  <si>
    <t>TC.TR.MRes.058</t>
  </si>
  <si>
    <t>1. Login valid user 
2. ClickNNS Allocation report
3. Click NNS Quota Allocation Transaction sub menu
4. Search Specific date
5. Click Search button
6. Click Print button</t>
  </si>
  <si>
    <t>TC.TR.MRes.059</t>
  </si>
  <si>
    <t>1. Login valid user 
2. Click NNS Allocation report
3. Click NNS Quota Allocation Transaction sub menu
4. Search Specific date
5. Click Search button
6. Click export button</t>
  </si>
  <si>
    <t>TC.TR.MRes.060</t>
  </si>
  <si>
    <t>Quota Application report</t>
  </si>
  <si>
    <t>Quota Application (Summary  Page)</t>
  </si>
  <si>
    <t>Search quota Application</t>
  </si>
  <si>
    <t>1. Login valid user 
2. Click Quota Application Report
3. Click Quota Application sub menu
4. Search Specific date
5. Click Search button</t>
  </si>
  <si>
    <t>TC.TR.MRes.061</t>
  </si>
  <si>
    <t>Print  quota Application</t>
  </si>
  <si>
    <t>1. Login valid user 
2. Click Quota Application Report
3. Click Quota Application sub menu
4. Search Specific date
5. Click Search button
6. Click Print button</t>
  </si>
  <si>
    <t>TC.TR.MRes.062</t>
  </si>
  <si>
    <t>Generate excel  quota Application</t>
  </si>
  <si>
    <t>1. Login valid user 
2. Click Quota Application Report
3. Click Quota Application sub menu
4. Search Specific date
5. Click Search button
6. Click export button</t>
  </si>
  <si>
    <t>TC.TR.MRes.063</t>
  </si>
  <si>
    <t>Quota Application normal</t>
  </si>
  <si>
    <t>Search Quota Application normal</t>
  </si>
  <si>
    <t>1. Login valid user 
2. Click Quota Application Report
3. Click Quota Application Normal sub menu
4. Search Specific date
5. Click Search button</t>
  </si>
  <si>
    <t>TC.TR.MRes.064</t>
  </si>
  <si>
    <t>Print Quota Application normal</t>
  </si>
  <si>
    <t>1. Login valid user 
2. Click Quota Application Report
3. Click Quota Application Normal sub menu
4. Search Specific date
5. Click Search button
6. Click Print button</t>
  </si>
  <si>
    <t>TC.TR.MRes.065</t>
  </si>
  <si>
    <t>Generate excel Quota Application normal</t>
  </si>
  <si>
    <t>1. Login valid user 
2. Click Quota Application Report
3. Click Quota Application Normal sub menu
4. Search Specific date
5. Click Search button
6. Click export button</t>
  </si>
  <si>
    <t>TC.TR.MRes.066</t>
  </si>
  <si>
    <t>Total quota application by state</t>
  </si>
  <si>
    <t>Search Total quota application by state</t>
  </si>
  <si>
    <t>1. Login valid user 
2. Click Quota Application Report
3. Click Total quota application by state sub menu
4. Search Specific date
5. Click Search button</t>
  </si>
  <si>
    <t>error 500</t>
  </si>
  <si>
    <t>TC.TR.MRes.067</t>
  </si>
  <si>
    <t>Print Total quota application by state</t>
  </si>
  <si>
    <t>1. Login valid user 
2. Click Quota Application Report
3. Click Total quota application by state sub menu
4. Search Specific date
5. Click Search button
6. Click Print button</t>
  </si>
  <si>
    <t>TC.TR.MRes.068</t>
  </si>
  <si>
    <t>Generate excel Total quota application by state</t>
  </si>
  <si>
    <t>1. Login valid user 
2. Click Quota Application Report
3. Click Total quota application by state sub menu
4. Search Specific date
5. Click Search button
6. Click export button</t>
  </si>
  <si>
    <t>TC.TR.MRes.069</t>
  </si>
  <si>
    <t>Total quota application by Reg Agency</t>
  </si>
  <si>
    <t>Search Total quota application by Reg Agency</t>
  </si>
  <si>
    <t>1. Login valid user 
2. Click Quota Application Report
3. Click Total quota application by Reg Agency sub menu
4. Search Specific date
5. Click Search button</t>
  </si>
  <si>
    <t>TC.TR.MRes.070</t>
  </si>
  <si>
    <t>Print Total quota application by Reg Agency</t>
  </si>
  <si>
    <t>1. Login valid user 
2. Click Quota Application Report
3. Click Total quota application by Reg Agency sub menu
4. Search Specific date
5. Click Search button
6. Click Print button</t>
  </si>
  <si>
    <t>TC.TR.MRes.071</t>
  </si>
  <si>
    <t>Generate excel Total quota application by Reg Agency</t>
  </si>
  <si>
    <t>1. Login valid user 
2. Click Quota Application Report
3. Click Total quota application by Reg Agency sub menu
4. Search Specific date
5. Click Search button
6. Click export button</t>
  </si>
  <si>
    <t>Missing Title</t>
  </si>
  <si>
    <t>TC.TR.MRes.072</t>
  </si>
  <si>
    <t xml:space="preserve">Top 5 Quota Application by Job Category
</t>
  </si>
  <si>
    <t>Search Top 5 Quota Application by Job Category</t>
  </si>
  <si>
    <t>1. Login valid user 
2. Click Quota Application Report
3. Click Top 5 Quota Application by Job Category  sub menu
4. Search Specific date
5. Click Search button</t>
  </si>
  <si>
    <t>TC.TR.MRes.073</t>
  </si>
  <si>
    <t xml:space="preserve">Print quota Top 5 Quota Application by Job Category
</t>
  </si>
  <si>
    <t>1. Login valid user 
2. Click Quota Application Report
3. Click Top 5 Quota Application by Job Category
 sub menu
4. Search Specific date
5. Click Search button
6. Click Print button</t>
  </si>
  <si>
    <t>sceen display 1st page only</t>
  </si>
  <si>
    <t>TC.TR.MRes.074</t>
  </si>
  <si>
    <t xml:space="preserve">Generate excel Top 5 Quota Application by Job Category
</t>
  </si>
  <si>
    <t>1. Login valid user 
2. Click Quota Application Report
3. Click Top 5 Quota Application by Job Category
 sub menu
4. Search Specific date
5. Click Search button
6. Click export button</t>
  </si>
  <si>
    <t>38492 </t>
  </si>
  <si>
    <t>TC.TR.MRes.075</t>
  </si>
  <si>
    <t xml:space="preserve">Total Quota Application by Status
</t>
  </si>
  <si>
    <t>Search Total Quota Application by Status</t>
  </si>
  <si>
    <t>1. Login valid user 
2. Click Quota Application Report
3. Click Total Quota Application by Status
 sub menu
4. Search Specific date
5. Click Search button</t>
  </si>
  <si>
    <t>Standardize searching criteria to all report</t>
  </si>
  <si>
    <t>TC.TR.MRes.076</t>
  </si>
  <si>
    <t>Print Total Quota Application by Status</t>
  </si>
  <si>
    <t>1. Login valid user 
2. Click Quota Application Report
3. Click Total Quota Application by Status
 sub menu
4. Search Specific date
5. Click Search button
6. Click Print button</t>
  </si>
  <si>
    <t>TC.TR.MRes.077</t>
  </si>
  <si>
    <t xml:space="preserve">Generate excel Total Quota Application by Status
</t>
  </si>
  <si>
    <t>1. Login valid user 
2. Click Quota Application Report
3. Click Total Quota Application by Status
 sub menu
4. Search Specific date
5. Click Search button
6. Click export button</t>
  </si>
  <si>
    <t>TC.TR.MRes.078</t>
  </si>
  <si>
    <t>SYASYA</t>
  </si>
  <si>
    <t>TC.TR.MRes.079</t>
  </si>
  <si>
    <t>TC.TR.MRes.080</t>
  </si>
  <si>
    <t>TC.TR.MRes.081</t>
  </si>
  <si>
    <t>User has submitted application</t>
  </si>
  <si>
    <t xml:space="preserve">Verify data accuracy at  Maklumat Pemohon </t>
  </si>
  <si>
    <t>1. Navigate to Home Page
2. Verify dashboard data</t>
  </si>
  <si>
    <t>Correct applicant details are displayed</t>
  </si>
  <si>
    <t>TC.TR.MRes.082</t>
  </si>
  <si>
    <t>1. Navigate to Home Page
2. Verify notificatio Aktiviti Terkini</t>
  </si>
  <si>
    <t>TC.TR.MRes.083</t>
  </si>
  <si>
    <t>QINA</t>
  </si>
  <si>
    <t xml:space="preserve">1. Login 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</si>
</sst>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2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scheme val="minor"/>
    </font>
    <font>
      <sz val="11"/>
      <color rgb="FF242424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sz val="11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2"/>
      <name val="Arial"/>
      <family val="2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theme="1"/>
      <name val="Calibri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4" applyFill="0" applyBorder="0"/>
    <xf numFmtId="0" fontId="2" fillId="0" borderId="0" applyFill="0" applyBorder="0">
      <alignment vertical="center"/>
    </xf>
    <xf numFmtId="0" fontId="2" fillId="0" borderId="0"/>
    <xf numFmtId="0" fontId="2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42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right"/>
    </xf>
    <xf numFmtId="0" fontId="7" fillId="0" borderId="1" xfId="3" applyFont="1" applyBorder="1" applyAlignment="1">
      <alignment vertical="center" wrapText="1"/>
    </xf>
    <xf numFmtId="0" fontId="5" fillId="0" borderId="0" xfId="3" applyFont="1" applyAlignment="1">
      <alignment horizontal="center" vertical="center"/>
    </xf>
    <xf numFmtId="0" fontId="5" fillId="0" borderId="1" xfId="3" applyFont="1" applyBorder="1" applyAlignment="1">
      <alignment vertical="center" wrapText="1"/>
    </xf>
    <xf numFmtId="0" fontId="5" fillId="0" borderId="1" xfId="3" applyFont="1" applyBorder="1" applyAlignment="1">
      <alignment vertical="center"/>
    </xf>
    <xf numFmtId="0" fontId="10" fillId="0" borderId="11" xfId="3" applyFont="1" applyBorder="1" applyAlignment="1">
      <alignment vertical="center" wrapText="1"/>
    </xf>
    <xf numFmtId="0" fontId="10" fillId="0" borderId="0" xfId="3" applyFont="1" applyAlignment="1">
      <alignment vertical="center"/>
    </xf>
    <xf numFmtId="0" fontId="10" fillId="0" borderId="1" xfId="3" applyFont="1" applyBorder="1" applyAlignment="1">
      <alignment vertical="center" wrapText="1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10" fillId="6" borderId="11" xfId="3" applyFont="1" applyFill="1" applyBorder="1" applyAlignment="1">
      <alignment vertical="center" wrapText="1"/>
    </xf>
    <xf numFmtId="0" fontId="7" fillId="0" borderId="11" xfId="3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5" fillId="0" borderId="11" xfId="3" applyFont="1" applyBorder="1" applyAlignment="1">
      <alignment vertical="center"/>
    </xf>
    <xf numFmtId="0" fontId="5" fillId="0" borderId="2" xfId="3" applyFont="1" applyBorder="1" applyAlignment="1">
      <alignment vertical="center"/>
    </xf>
    <xf numFmtId="0" fontId="5" fillId="0" borderId="12" xfId="3" applyFont="1" applyBorder="1" applyAlignment="1">
      <alignment vertical="center" wrapText="1"/>
    </xf>
    <xf numFmtId="0" fontId="2" fillId="0" borderId="1" xfId="3" applyBorder="1"/>
    <xf numFmtId="0" fontId="7" fillId="0" borderId="7" xfId="3" applyFont="1" applyBorder="1" applyAlignment="1">
      <alignment vertical="center" wrapText="1"/>
    </xf>
    <xf numFmtId="0" fontId="0" fillId="0" borderId="11" xfId="0" applyBorder="1"/>
    <xf numFmtId="0" fontId="5" fillId="0" borderId="7" xfId="3" applyFont="1" applyBorder="1" applyAlignment="1">
      <alignment vertical="center"/>
    </xf>
    <xf numFmtId="0" fontId="11" fillId="6" borderId="5" xfId="0" applyFont="1" applyFill="1" applyBorder="1" applyAlignment="1">
      <alignment horizontal="center" vertical="center" wrapText="1"/>
    </xf>
    <xf numFmtId="0" fontId="5" fillId="0" borderId="7" xfId="3" applyFont="1" applyBorder="1" applyAlignment="1">
      <alignment vertical="center" wrapText="1"/>
    </xf>
    <xf numFmtId="0" fontId="5" fillId="0" borderId="20" xfId="3" applyFon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8" fillId="0" borderId="12" xfId="3" applyFont="1" applyBorder="1" applyAlignment="1">
      <alignment vertical="center" wrapText="1"/>
    </xf>
    <xf numFmtId="0" fontId="10" fillId="0" borderId="12" xfId="3" applyFont="1" applyBorder="1" applyAlignment="1">
      <alignment vertical="center" wrapText="1"/>
    </xf>
    <xf numFmtId="0" fontId="10" fillId="6" borderId="13" xfId="3" applyFont="1" applyFill="1" applyBorder="1" applyAlignment="1">
      <alignment vertical="center" wrapText="1"/>
    </xf>
    <xf numFmtId="0" fontId="10" fillId="6" borderId="21" xfId="3" applyFont="1" applyFill="1" applyBorder="1" applyAlignment="1">
      <alignment vertical="center" wrapText="1"/>
    </xf>
    <xf numFmtId="0" fontId="8" fillId="0" borderId="20" xfId="3" applyFont="1" applyBorder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5" fillId="7" borderId="7" xfId="3" applyFont="1" applyFill="1" applyBorder="1" applyAlignment="1">
      <alignment horizontal="center" vertical="center"/>
    </xf>
    <xf numFmtId="0" fontId="6" fillId="0" borderId="11" xfId="3" applyFont="1" applyBorder="1" applyAlignment="1">
      <alignment horizontal="left" vertical="center" wrapText="1"/>
    </xf>
    <xf numFmtId="0" fontId="5" fillId="0" borderId="15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10" fillId="0" borderId="7" xfId="3" applyFont="1" applyBorder="1" applyAlignment="1">
      <alignment vertical="center" wrapText="1"/>
    </xf>
    <xf numFmtId="0" fontId="6" fillId="0" borderId="24" xfId="3" applyFont="1" applyBorder="1" applyAlignment="1">
      <alignment horizontal="left" vertical="center" wrapText="1"/>
    </xf>
    <xf numFmtId="0" fontId="5" fillId="0" borderId="24" xfId="3" applyFont="1" applyBorder="1" applyAlignment="1">
      <alignment horizontal="center" vertical="center" wrapText="1"/>
    </xf>
    <xf numFmtId="0" fontId="8" fillId="0" borderId="22" xfId="3" applyFont="1" applyBorder="1" applyAlignment="1">
      <alignment vertical="center" wrapText="1"/>
    </xf>
    <xf numFmtId="0" fontId="0" fillId="0" borderId="25" xfId="0" applyBorder="1" applyAlignment="1">
      <alignment horizontal="left" vertical="center" wrapText="1"/>
    </xf>
    <xf numFmtId="0" fontId="5" fillId="0" borderId="15" xfId="3" applyFont="1" applyBorder="1" applyAlignment="1">
      <alignment vertical="center" wrapText="1"/>
    </xf>
    <xf numFmtId="0" fontId="5" fillId="0" borderId="20" xfId="3" applyFont="1" applyBorder="1" applyAlignment="1">
      <alignment vertical="center" wrapText="1"/>
    </xf>
    <xf numFmtId="0" fontId="6" fillId="0" borderId="14" xfId="3" applyFont="1" applyBorder="1" applyAlignment="1">
      <alignment horizontal="left" vertical="center" wrapText="1"/>
    </xf>
    <xf numFmtId="0" fontId="14" fillId="0" borderId="27" xfId="3" applyFont="1" applyBorder="1"/>
    <xf numFmtId="0" fontId="14" fillId="0" borderId="28" xfId="3" applyFont="1" applyBorder="1"/>
    <xf numFmtId="0" fontId="12" fillId="0" borderId="29" xfId="3" applyFont="1" applyBorder="1"/>
    <xf numFmtId="0" fontId="12" fillId="0" borderId="30" xfId="3" applyFont="1" applyBorder="1"/>
    <xf numFmtId="0" fontId="12" fillId="0" borderId="31" xfId="0" applyFont="1" applyBorder="1"/>
    <xf numFmtId="9" fontId="2" fillId="0" borderId="5" xfId="3" applyNumberFormat="1" applyBorder="1"/>
    <xf numFmtId="9" fontId="14" fillId="0" borderId="32" xfId="3" applyNumberFormat="1" applyFont="1" applyBorder="1"/>
    <xf numFmtId="0" fontId="2" fillId="0" borderId="33" xfId="3" applyBorder="1"/>
    <xf numFmtId="0" fontId="2" fillId="0" borderId="34" xfId="3" applyBorder="1"/>
    <xf numFmtId="9" fontId="2" fillId="0" borderId="35" xfId="3" applyNumberFormat="1" applyBorder="1"/>
    <xf numFmtId="0" fontId="12" fillId="0" borderId="38" xfId="3" applyFont="1" applyBorder="1"/>
    <xf numFmtId="0" fontId="12" fillId="0" borderId="39" xfId="3" applyFont="1" applyBorder="1"/>
    <xf numFmtId="0" fontId="12" fillId="0" borderId="40" xfId="3" applyFont="1" applyBorder="1"/>
    <xf numFmtId="10" fontId="0" fillId="0" borderId="36" xfId="0" applyNumberFormat="1" applyBorder="1"/>
    <xf numFmtId="0" fontId="12" fillId="0" borderId="41" xfId="0" applyFont="1" applyBorder="1"/>
    <xf numFmtId="9" fontId="12" fillId="0" borderId="37" xfId="0" applyNumberFormat="1" applyFont="1" applyBorder="1"/>
    <xf numFmtId="0" fontId="5" fillId="0" borderId="1" xfId="3" applyFont="1" applyBorder="1" applyAlignment="1">
      <alignment horizontal="center" vertical="center"/>
    </xf>
    <xf numFmtId="0" fontId="0" fillId="7" borderId="7" xfId="3" applyFont="1" applyFill="1" applyBorder="1" applyAlignment="1">
      <alignment horizontal="center" vertical="center"/>
    </xf>
    <xf numFmtId="0" fontId="5" fillId="0" borderId="8" xfId="3" applyFont="1" applyBorder="1" applyAlignment="1">
      <alignment vertical="center"/>
    </xf>
    <xf numFmtId="0" fontId="0" fillId="0" borderId="1" xfId="3" applyFont="1" applyBorder="1" applyAlignment="1">
      <alignment horizontal="center" vertical="center"/>
    </xf>
    <xf numFmtId="0" fontId="7" fillId="0" borderId="3" xfId="3" applyFont="1" applyBorder="1" applyAlignment="1">
      <alignment vertical="center" wrapText="1"/>
    </xf>
    <xf numFmtId="0" fontId="5" fillId="0" borderId="11" xfId="3" applyFont="1" applyBorder="1" applyAlignment="1">
      <alignment horizontal="center" vertical="center" wrapText="1"/>
    </xf>
    <xf numFmtId="0" fontId="1" fillId="4" borderId="0" xfId="3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4" applyNumberFormat="1" applyFont="1" applyBorder="1" applyAlignment="1">
      <alignment horizontal="center" vertical="center" wrapText="1"/>
    </xf>
    <xf numFmtId="164" fontId="2" fillId="0" borderId="1" xfId="4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7" fillId="0" borderId="13" xfId="3" applyFont="1" applyBorder="1" applyAlignment="1">
      <alignment vertical="center" wrapText="1"/>
    </xf>
    <xf numFmtId="0" fontId="5" fillId="0" borderId="21" xfId="3" applyFont="1" applyBorder="1" applyAlignment="1">
      <alignment vertical="center" wrapText="1"/>
    </xf>
    <xf numFmtId="0" fontId="5" fillId="0" borderId="22" xfId="3" applyFont="1" applyBorder="1" applyAlignment="1">
      <alignment vertical="center" wrapText="1"/>
    </xf>
    <xf numFmtId="0" fontId="7" fillId="8" borderId="11" xfId="3" applyFont="1" applyFill="1" applyBorder="1" applyAlignment="1">
      <alignment vertical="center" wrapText="1"/>
    </xf>
    <xf numFmtId="0" fontId="10" fillId="8" borderId="11" xfId="3" applyFont="1" applyFill="1" applyBorder="1" applyAlignment="1">
      <alignment vertical="center" wrapText="1"/>
    </xf>
    <xf numFmtId="0" fontId="10" fillId="8" borderId="12" xfId="3" applyFont="1" applyFill="1" applyBorder="1" applyAlignment="1">
      <alignment vertical="center" wrapText="1"/>
    </xf>
    <xf numFmtId="0" fontId="5" fillId="0" borderId="11" xfId="3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8" fillId="0" borderId="0" xfId="3" applyFont="1" applyAlignment="1">
      <alignment horizontal="center" vertical="center" wrapText="1"/>
    </xf>
    <xf numFmtId="0" fontId="0" fillId="0" borderId="1" xfId="3" applyFont="1" applyBorder="1" applyAlignment="1">
      <alignment vertical="center"/>
    </xf>
    <xf numFmtId="0" fontId="5" fillId="0" borderId="2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5"/>
    <xf numFmtId="0" fontId="0" fillId="0" borderId="1" xfId="3" applyFont="1" applyBorder="1" applyAlignment="1">
      <alignment vertical="center" wrapText="1"/>
    </xf>
    <xf numFmtId="0" fontId="7" fillId="8" borderId="1" xfId="3" applyFont="1" applyFill="1" applyBorder="1" applyAlignment="1">
      <alignment vertical="center" wrapText="1"/>
    </xf>
    <xf numFmtId="0" fontId="10" fillId="8" borderId="1" xfId="3" applyFont="1" applyFill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8" fillId="0" borderId="24" xfId="3" applyFont="1" applyBorder="1" applyAlignment="1">
      <alignment vertical="center" wrapText="1"/>
    </xf>
    <xf numFmtId="0" fontId="8" fillId="0" borderId="13" xfId="3" applyFont="1" applyBorder="1" applyAlignment="1">
      <alignment vertical="center" wrapText="1"/>
    </xf>
    <xf numFmtId="0" fontId="5" fillId="0" borderId="24" xfId="3" applyFont="1" applyBorder="1" applyAlignment="1">
      <alignment vertical="center" wrapText="1"/>
    </xf>
    <xf numFmtId="0" fontId="8" fillId="0" borderId="16" xfId="3" applyFont="1" applyBorder="1" applyAlignment="1">
      <alignment vertical="center" wrapText="1"/>
    </xf>
    <xf numFmtId="0" fontId="7" fillId="8" borderId="0" xfId="3" applyFont="1" applyFill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5" fillId="0" borderId="25" xfId="3" applyFont="1" applyBorder="1" applyAlignment="1">
      <alignment vertical="center" wrapText="1"/>
    </xf>
    <xf numFmtId="0" fontId="5" fillId="0" borderId="1" xfId="3" applyFont="1" applyBorder="1" applyAlignment="1">
      <alignment horizontal="center" vertical="center" wrapText="1"/>
    </xf>
    <xf numFmtId="0" fontId="0" fillId="8" borderId="11" xfId="0" applyFill="1" applyBorder="1" applyAlignment="1">
      <alignment vertical="center"/>
    </xf>
    <xf numFmtId="0" fontId="0" fillId="8" borderId="16" xfId="0" applyFill="1" applyBorder="1" applyAlignment="1">
      <alignment vertical="center"/>
    </xf>
    <xf numFmtId="0" fontId="0" fillId="0" borderId="15" xfId="3" applyFont="1" applyBorder="1" applyAlignment="1">
      <alignment horizontal="center" vertical="center" wrapText="1"/>
    </xf>
    <xf numFmtId="0" fontId="0" fillId="0" borderId="15" xfId="3" applyFont="1" applyBorder="1" applyAlignment="1">
      <alignment horizontal="center" vertical="center"/>
    </xf>
    <xf numFmtId="0" fontId="13" fillId="0" borderId="11" xfId="3" applyFont="1" applyBorder="1" applyAlignment="1">
      <alignment horizontal="left" vertical="center" wrapText="1"/>
    </xf>
    <xf numFmtId="0" fontId="17" fillId="0" borderId="11" xfId="3" applyFont="1" applyBorder="1" applyAlignment="1">
      <alignment vertical="center" wrapText="1"/>
    </xf>
    <xf numFmtId="0" fontId="17" fillId="0" borderId="22" xfId="3" applyFont="1" applyBorder="1" applyAlignment="1">
      <alignment vertical="center" wrapText="1"/>
    </xf>
    <xf numFmtId="0" fontId="19" fillId="8" borderId="1" xfId="3" applyFont="1" applyFill="1" applyBorder="1" applyAlignment="1">
      <alignment vertical="center" wrapText="1"/>
    </xf>
    <xf numFmtId="0" fontId="0" fillId="0" borderId="7" xfId="3" applyFont="1" applyBorder="1" applyAlignment="1">
      <alignment vertical="center"/>
    </xf>
    <xf numFmtId="0" fontId="0" fillId="0" borderId="0" xfId="3" applyFont="1" applyAlignment="1">
      <alignment horizontal="center" vertical="center"/>
    </xf>
    <xf numFmtId="0" fontId="19" fillId="0" borderId="0" xfId="3" applyFont="1" applyAlignment="1">
      <alignment vertical="center"/>
    </xf>
    <xf numFmtId="0" fontId="20" fillId="8" borderId="1" xfId="3" applyFont="1" applyFill="1" applyBorder="1" applyAlignment="1">
      <alignment vertical="center" wrapText="1"/>
    </xf>
    <xf numFmtId="0" fontId="0" fillId="0" borderId="12" xfId="3" applyFont="1" applyBorder="1" applyAlignment="1">
      <alignment horizontal="center" vertical="center"/>
    </xf>
    <xf numFmtId="0" fontId="19" fillId="8" borderId="12" xfId="3" applyFont="1" applyFill="1" applyBorder="1" applyAlignment="1">
      <alignment vertical="center" wrapText="1"/>
    </xf>
    <xf numFmtId="0" fontId="17" fillId="0" borderId="12" xfId="3" applyFont="1" applyBorder="1" applyAlignment="1">
      <alignment vertical="center" wrapText="1"/>
    </xf>
    <xf numFmtId="0" fontId="17" fillId="0" borderId="13" xfId="3" applyFont="1" applyBorder="1" applyAlignment="1">
      <alignment vertical="center" wrapText="1"/>
    </xf>
    <xf numFmtId="0" fontId="19" fillId="8" borderId="11" xfId="3" applyFont="1" applyFill="1" applyBorder="1" applyAlignment="1">
      <alignment vertical="center" wrapText="1"/>
    </xf>
    <xf numFmtId="0" fontId="0" fillId="0" borderId="11" xfId="3" applyFont="1" applyBorder="1" applyAlignment="1">
      <alignment vertical="center" wrapText="1"/>
    </xf>
    <xf numFmtId="0" fontId="0" fillId="0" borderId="24" xfId="3" applyFont="1" applyBorder="1" applyAlignment="1">
      <alignment vertical="center" wrapText="1"/>
    </xf>
    <xf numFmtId="0" fontId="17" fillId="0" borderId="16" xfId="3" applyFont="1" applyBorder="1" applyAlignment="1">
      <alignment vertical="center" wrapText="1"/>
    </xf>
    <xf numFmtId="0" fontId="0" fillId="0" borderId="24" xfId="3" applyFont="1" applyBorder="1" applyAlignment="1">
      <alignment horizontal="center" vertical="center" wrapText="1"/>
    </xf>
    <xf numFmtId="0" fontId="13" fillId="0" borderId="24" xfId="3" applyFont="1" applyBorder="1" applyAlignment="1">
      <alignment horizontal="left" vertical="center" wrapText="1"/>
    </xf>
    <xf numFmtId="0" fontId="20" fillId="0" borderId="11" xfId="3" applyFont="1" applyBorder="1" applyAlignment="1">
      <alignment vertical="center" wrapText="1"/>
    </xf>
    <xf numFmtId="0" fontId="0" fillId="0" borderId="20" xfId="3" applyFont="1" applyBorder="1" applyAlignment="1">
      <alignment vertical="center" wrapText="1"/>
    </xf>
    <xf numFmtId="0" fontId="0" fillId="0" borderId="11" xfId="3" applyFont="1" applyBorder="1" applyAlignment="1">
      <alignment horizontal="center" vertical="center"/>
    </xf>
    <xf numFmtId="0" fontId="19" fillId="0" borderId="11" xfId="3" applyFont="1" applyBorder="1" applyAlignment="1">
      <alignment vertical="center" wrapText="1"/>
    </xf>
    <xf numFmtId="0" fontId="0" fillId="0" borderId="22" xfId="3" applyFont="1" applyBorder="1" applyAlignment="1">
      <alignment vertical="center" wrapText="1"/>
    </xf>
    <xf numFmtId="0" fontId="20" fillId="8" borderId="0" xfId="3" applyFont="1" applyFill="1" applyAlignment="1">
      <alignment vertical="center" wrapText="1"/>
    </xf>
    <xf numFmtId="0" fontId="20" fillId="8" borderId="11" xfId="3" applyFont="1" applyFill="1" applyBorder="1" applyAlignment="1">
      <alignment vertical="center" wrapText="1"/>
    </xf>
    <xf numFmtId="0" fontId="0" fillId="0" borderId="25" xfId="3" applyFont="1" applyBorder="1" applyAlignment="1">
      <alignment vertical="center" wrapText="1"/>
    </xf>
    <xf numFmtId="0" fontId="17" fillId="0" borderId="24" xfId="3" applyFont="1" applyBorder="1" applyAlignment="1">
      <alignment vertical="center" wrapText="1"/>
    </xf>
    <xf numFmtId="0" fontId="0" fillId="0" borderId="11" xfId="3" applyFont="1" applyBorder="1" applyAlignment="1">
      <alignment horizontal="center" vertical="center" wrapText="1"/>
    </xf>
    <xf numFmtId="0" fontId="0" fillId="0" borderId="21" xfId="3" applyFont="1" applyBorder="1" applyAlignment="1">
      <alignment vertical="center" wrapText="1"/>
    </xf>
    <xf numFmtId="0" fontId="20" fillId="0" borderId="7" xfId="3" applyFont="1" applyBorder="1" applyAlignment="1">
      <alignment vertical="center" wrapText="1"/>
    </xf>
    <xf numFmtId="0" fontId="19" fillId="0" borderId="7" xfId="3" applyFont="1" applyBorder="1" applyAlignment="1">
      <alignment vertical="center" wrapText="1"/>
    </xf>
    <xf numFmtId="0" fontId="19" fillId="0" borderId="12" xfId="3" applyFont="1" applyBorder="1" applyAlignment="1">
      <alignment vertical="center" wrapText="1"/>
    </xf>
    <xf numFmtId="0" fontId="17" fillId="0" borderId="20" xfId="3" applyFont="1" applyBorder="1" applyAlignment="1">
      <alignment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0" fillId="0" borderId="12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24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10" fillId="6" borderId="14" xfId="3" applyFont="1" applyFill="1" applyBorder="1" applyAlignment="1">
      <alignment vertical="center" wrapText="1"/>
    </xf>
    <xf numFmtId="0" fontId="11" fillId="6" borderId="42" xfId="0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5" fillId="0" borderId="10" xfId="3" applyFont="1" applyBorder="1" applyAlignment="1">
      <alignment vertical="center"/>
    </xf>
    <xf numFmtId="0" fontId="5" fillId="0" borderId="3" xfId="3" applyFont="1" applyBorder="1" applyAlignment="1">
      <alignment vertical="center"/>
    </xf>
    <xf numFmtId="0" fontId="5" fillId="0" borderId="3" xfId="3" applyFont="1" applyBorder="1" applyAlignment="1">
      <alignment horizontal="center" vertical="center"/>
    </xf>
    <xf numFmtId="0" fontId="10" fillId="6" borderId="13" xfId="3" applyFont="1" applyFill="1" applyBorder="1" applyAlignment="1">
      <alignment horizontal="center" vertical="center" wrapText="1"/>
    </xf>
    <xf numFmtId="0" fontId="10" fillId="6" borderId="21" xfId="3" applyFont="1" applyFill="1" applyBorder="1" applyAlignment="1">
      <alignment horizontal="center" vertical="center" wrapText="1"/>
    </xf>
    <xf numFmtId="0" fontId="10" fillId="6" borderId="11" xfId="3" applyFont="1" applyFill="1" applyBorder="1" applyAlignment="1">
      <alignment horizontal="center" vertical="center" wrapText="1"/>
    </xf>
    <xf numFmtId="0" fontId="10" fillId="0" borderId="6" xfId="3" applyFont="1" applyBorder="1" applyAlignment="1">
      <alignment vertical="center" wrapText="1"/>
    </xf>
    <xf numFmtId="0" fontId="7" fillId="0" borderId="6" xfId="3" applyFont="1" applyBorder="1" applyAlignment="1">
      <alignment vertical="center" wrapText="1"/>
    </xf>
    <xf numFmtId="0" fontId="10" fillId="6" borderId="18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/>
    </xf>
    <xf numFmtId="0" fontId="6" fillId="0" borderId="12" xfId="3" applyFont="1" applyBorder="1" applyAlignment="1">
      <alignment vertical="center" wrapText="1"/>
    </xf>
    <xf numFmtId="0" fontId="6" fillId="0" borderId="15" xfId="3" applyFont="1" applyBorder="1" applyAlignment="1">
      <alignment vertical="center" wrapText="1"/>
    </xf>
    <xf numFmtId="0" fontId="6" fillId="0" borderId="16" xfId="3" applyFont="1" applyBorder="1" applyAlignment="1">
      <alignment vertical="center" wrapText="1"/>
    </xf>
    <xf numFmtId="0" fontId="8" fillId="6" borderId="11" xfId="3" applyFont="1" applyFill="1" applyBorder="1" applyAlignment="1">
      <alignment horizontal="center" vertical="center" wrapText="1"/>
    </xf>
    <xf numFmtId="0" fontId="17" fillId="6" borderId="11" xfId="3" applyFont="1" applyFill="1" applyBorder="1" applyAlignment="1">
      <alignment horizontal="center" vertical="center" wrapText="1"/>
    </xf>
    <xf numFmtId="0" fontId="0" fillId="6" borderId="11" xfId="0" applyFill="1" applyBorder="1"/>
    <xf numFmtId="0" fontId="8" fillId="6" borderId="16" xfId="3" applyFont="1" applyFill="1" applyBorder="1" applyAlignment="1">
      <alignment horizontal="center" vertical="center" wrapText="1"/>
    </xf>
    <xf numFmtId="0" fontId="17" fillId="6" borderId="0" xfId="3" applyFont="1" applyFill="1" applyAlignment="1">
      <alignment horizontal="center" vertical="center" wrapText="1"/>
    </xf>
    <xf numFmtId="0" fontId="0" fillId="6" borderId="0" xfId="0" applyFill="1"/>
    <xf numFmtId="0" fontId="8" fillId="6" borderId="17" xfId="3" applyFont="1" applyFill="1" applyBorder="1" applyAlignment="1">
      <alignment horizontal="center" vertical="center" wrapText="1"/>
    </xf>
    <xf numFmtId="0" fontId="8" fillId="6" borderId="18" xfId="3" applyFont="1" applyFill="1" applyBorder="1" applyAlignment="1">
      <alignment horizontal="center" vertical="center" wrapText="1"/>
    </xf>
    <xf numFmtId="0" fontId="8" fillId="6" borderId="12" xfId="3" applyFont="1" applyFill="1" applyBorder="1" applyAlignment="1">
      <alignment horizontal="center" vertical="center" wrapText="1"/>
    </xf>
    <xf numFmtId="0" fontId="13" fillId="0" borderId="12" xfId="3" applyFont="1" applyBorder="1" applyAlignment="1">
      <alignment horizontal="center" vertical="center" wrapText="1"/>
    </xf>
    <xf numFmtId="0" fontId="13" fillId="0" borderId="15" xfId="3" applyFont="1" applyBorder="1" applyAlignment="1">
      <alignment horizontal="center" vertical="center" wrapText="1"/>
    </xf>
    <xf numFmtId="0" fontId="13" fillId="0" borderId="16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8" fillId="5" borderId="17" xfId="3" applyFont="1" applyFill="1" applyBorder="1" applyAlignment="1">
      <alignment horizontal="center" vertical="center" wrapText="1"/>
    </xf>
    <xf numFmtId="0" fontId="8" fillId="5" borderId="23" xfId="3" applyFont="1" applyFill="1" applyBorder="1" applyAlignment="1">
      <alignment horizontal="center" vertical="center" wrapText="1"/>
    </xf>
    <xf numFmtId="0" fontId="8" fillId="5" borderId="18" xfId="3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8" fillId="5" borderId="24" xfId="3" applyFont="1" applyFill="1" applyBorder="1" applyAlignment="1">
      <alignment horizontal="center" vertical="center" wrapText="1"/>
    </xf>
    <xf numFmtId="0" fontId="8" fillId="5" borderId="0" xfId="3" applyFont="1" applyFill="1" applyAlignment="1">
      <alignment horizontal="center" vertical="center" wrapText="1"/>
    </xf>
    <xf numFmtId="0" fontId="8" fillId="5" borderId="25" xfId="3" applyFont="1" applyFill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13" fillId="0" borderId="11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6" fillId="0" borderId="13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/>
    </xf>
    <xf numFmtId="0" fontId="5" fillId="0" borderId="16" xfId="3" applyFont="1" applyBorder="1" applyAlignment="1">
      <alignment horizontal="center" vertical="center"/>
    </xf>
    <xf numFmtId="0" fontId="13" fillId="0" borderId="13" xfId="3" applyFont="1" applyBorder="1" applyAlignment="1">
      <alignment horizontal="center" vertical="center" wrapText="1"/>
    </xf>
    <xf numFmtId="0" fontId="8" fillId="5" borderId="16" xfId="3" applyFont="1" applyFill="1" applyBorder="1" applyAlignment="1">
      <alignment horizontal="center" vertical="center" wrapText="1"/>
    </xf>
    <xf numFmtId="0" fontId="8" fillId="5" borderId="15" xfId="3" applyFont="1" applyFill="1" applyBorder="1" applyAlignment="1">
      <alignment horizontal="center" vertical="center" wrapText="1"/>
    </xf>
    <xf numFmtId="0" fontId="8" fillId="5" borderId="12" xfId="3" applyFont="1" applyFill="1" applyBorder="1" applyAlignment="1">
      <alignment horizontal="center" vertical="center" wrapText="1"/>
    </xf>
    <xf numFmtId="0" fontId="17" fillId="5" borderId="11" xfId="3" applyFont="1" applyFill="1" applyBorder="1" applyAlignment="1">
      <alignment horizontal="center" vertical="center" wrapText="1"/>
    </xf>
    <xf numFmtId="0" fontId="8" fillId="5" borderId="11" xfId="3" applyFont="1" applyFill="1" applyBorder="1" applyAlignment="1">
      <alignment horizontal="center" vertical="center" wrapText="1"/>
    </xf>
    <xf numFmtId="0" fontId="9" fillId="2" borderId="19" xfId="3" applyFont="1" applyFill="1" applyBorder="1" applyAlignment="1">
      <alignment horizontal="center" vertical="center" wrapText="1"/>
    </xf>
    <xf numFmtId="0" fontId="9" fillId="2" borderId="26" xfId="3" applyFont="1" applyFill="1" applyBorder="1" applyAlignment="1">
      <alignment horizontal="center" vertical="center" wrapText="1"/>
    </xf>
    <xf numFmtId="0" fontId="9" fillId="2" borderId="23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15" fillId="2" borderId="26" xfId="3" applyFont="1" applyFill="1" applyBorder="1" applyAlignment="1">
      <alignment horizontal="center" vertical="center" wrapText="1"/>
    </xf>
    <xf numFmtId="0" fontId="15" fillId="2" borderId="23" xfId="3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0" fontId="2" fillId="4" borderId="8" xfId="2" applyFill="1" applyBorder="1" applyAlignment="1">
      <alignment horizontal="center"/>
    </xf>
    <xf numFmtId="0" fontId="2" fillId="4" borderId="9" xfId="2" applyFill="1" applyBorder="1" applyAlignment="1">
      <alignment horizontal="center"/>
    </xf>
    <xf numFmtId="0" fontId="2" fillId="4" borderId="10" xfId="2" applyFill="1" applyBorder="1" applyAlignment="1">
      <alignment horizontal="center"/>
    </xf>
    <xf numFmtId="0" fontId="1" fillId="3" borderId="5" xfId="3" applyFont="1" applyFill="1" applyBorder="1" applyAlignment="1">
      <alignment horizontal="left" vertical="center"/>
    </xf>
    <xf numFmtId="0" fontId="1" fillId="3" borderId="7" xfId="3" applyFont="1" applyFill="1" applyBorder="1" applyAlignment="1">
      <alignment horizontal="left" vertical="center"/>
    </xf>
    <xf numFmtId="0" fontId="2" fillId="4" borderId="5" xfId="3" applyFill="1" applyBorder="1" applyAlignment="1">
      <alignment horizontal="left" vertical="top"/>
    </xf>
    <xf numFmtId="0" fontId="2" fillId="4" borderId="6" xfId="3" applyFill="1" applyBorder="1" applyAlignment="1">
      <alignment horizontal="left" vertical="top"/>
    </xf>
    <xf numFmtId="0" fontId="2" fillId="4" borderId="7" xfId="3" applyFill="1" applyBorder="1" applyAlignment="1">
      <alignment horizontal="left" vertical="top"/>
    </xf>
    <xf numFmtId="0" fontId="13" fillId="0" borderId="20" xfId="3" applyFont="1" applyBorder="1" applyAlignment="1">
      <alignment horizontal="center" vertical="center" wrapText="1"/>
    </xf>
    <xf numFmtId="0" fontId="13" fillId="0" borderId="24" xfId="3" applyFont="1" applyBorder="1" applyAlignment="1">
      <alignment horizontal="center" vertical="center" wrapText="1"/>
    </xf>
    <xf numFmtId="0" fontId="6" fillId="0" borderId="24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17" fillId="5" borderId="16" xfId="3" applyFont="1" applyFill="1" applyBorder="1" applyAlignment="1">
      <alignment horizontal="center" vertical="center" wrapText="1"/>
    </xf>
    <xf numFmtId="0" fontId="17" fillId="5" borderId="15" xfId="3" applyFont="1" applyFill="1" applyBorder="1" applyAlignment="1">
      <alignment horizontal="center" vertical="center" wrapText="1"/>
    </xf>
    <xf numFmtId="0" fontId="3" fillId="3" borderId="5" xfId="3" applyFont="1" applyFill="1" applyBorder="1" applyAlignment="1"/>
    <xf numFmtId="0" fontId="0" fillId="3" borderId="6" xfId="0" applyFill="1" applyBorder="1" applyAlignment="1"/>
    <xf numFmtId="0" fontId="0" fillId="3" borderId="7" xfId="0" applyFill="1" applyBorder="1" applyAlignment="1"/>
  </cellXfs>
  <cellStyles count="6">
    <cellStyle name="Comma_UM HPC Pricing Summary" xfId="4" xr:uid="{88F7A9B8-F5E2-449F-82BF-45FEB48B1AD5}"/>
    <cellStyle name="Header 1" xfId="1" xr:uid="{B580E982-6BE1-4E65-BEB7-597D7541AD70}"/>
    <cellStyle name="Hyperlink" xfId="5" builtinId="8"/>
    <cellStyle name="Normal" xfId="0" builtinId="0"/>
    <cellStyle name="Normal 2" xfId="3" xr:uid="{84845BC9-B382-4B6E-A67B-FFF368885C47}"/>
    <cellStyle name="Normal_Doc. Info 2" xfId="2" xr:uid="{F31ADEC1-3D46-4748-9044-E9C4AAF5814D}"/>
  </cellStyles>
  <dxfs count="40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auto="1"/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1524000</xdr:colOff>
      <xdr:row>0</xdr:row>
      <xdr:rowOff>142875</xdr:rowOff>
    </xdr:from>
    <xdr:to>
      <xdr:col>6</xdr:col>
      <xdr:colOff>3009900</xdr:colOff>
      <xdr:row>2</xdr:row>
      <xdr:rowOff>533400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51349DD-A5C3-41CD-A57A-8AC71FAAB1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1600" y="142875"/>
          <a:ext cx="1485900" cy="809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dmine.bestinet.my/issues/38487" TargetMode="External"/><Relationship Id="rId13" Type="http://schemas.openxmlformats.org/officeDocument/2006/relationships/hyperlink" Target="https://redmine.bestinet.my/issues/38493" TargetMode="External"/><Relationship Id="rId3" Type="http://schemas.openxmlformats.org/officeDocument/2006/relationships/hyperlink" Target="https://redmine.bestinet.my/issues/38483" TargetMode="External"/><Relationship Id="rId7" Type="http://schemas.openxmlformats.org/officeDocument/2006/relationships/hyperlink" Target="https://redmine.bestinet.my/issues/38487" TargetMode="External"/><Relationship Id="rId12" Type="http://schemas.openxmlformats.org/officeDocument/2006/relationships/hyperlink" Target="https://redmine.bestinet.my/issues/38492" TargetMode="External"/><Relationship Id="rId2" Type="http://schemas.openxmlformats.org/officeDocument/2006/relationships/hyperlink" Target="https://redmine.bestinet.my/issues/38483" TargetMode="External"/><Relationship Id="rId1" Type="http://schemas.openxmlformats.org/officeDocument/2006/relationships/hyperlink" Target="https://redmine.bestinet.my/issues/38484" TargetMode="External"/><Relationship Id="rId6" Type="http://schemas.openxmlformats.org/officeDocument/2006/relationships/hyperlink" Target="https://redmine.bestinet.my/issues/38487" TargetMode="External"/><Relationship Id="rId11" Type="http://schemas.openxmlformats.org/officeDocument/2006/relationships/hyperlink" Target="https://redmine.bestinet.my/issues/38491" TargetMode="External"/><Relationship Id="rId5" Type="http://schemas.openxmlformats.org/officeDocument/2006/relationships/hyperlink" Target="https://redmine.bestinet.my/issues/38485" TargetMode="External"/><Relationship Id="rId15" Type="http://schemas.openxmlformats.org/officeDocument/2006/relationships/hyperlink" Target="https://redmine.bestinet.my/issues/38494" TargetMode="External"/><Relationship Id="rId10" Type="http://schemas.openxmlformats.org/officeDocument/2006/relationships/hyperlink" Target="https://redmine.bestinet.my/issues/38491" TargetMode="External"/><Relationship Id="rId4" Type="http://schemas.openxmlformats.org/officeDocument/2006/relationships/hyperlink" Target="https://redmine.bestinet.my/issues/38485" TargetMode="External"/><Relationship Id="rId9" Type="http://schemas.openxmlformats.org/officeDocument/2006/relationships/hyperlink" Target="https://redmine.bestinet.my/issues/38491" TargetMode="External"/><Relationship Id="rId14" Type="http://schemas.openxmlformats.org/officeDocument/2006/relationships/hyperlink" Target="https://redmine.bestinet.my/issues/384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151E-3B4F-44AE-9234-A290DC9BB639}">
  <dimension ref="B1:G13"/>
  <sheetViews>
    <sheetView workbookViewId="0">
      <selection activeCell="C9" sqref="C9"/>
    </sheetView>
  </sheetViews>
  <sheetFormatPr defaultColWidth="8.85546875" defaultRowHeight="15"/>
  <cols>
    <col min="3" max="3" width="10.42578125" customWidth="1"/>
    <col min="4" max="4" width="12.42578125" customWidth="1"/>
    <col min="5" max="5" width="16" customWidth="1"/>
    <col min="6" max="6" width="34" customWidth="1"/>
    <col min="7" max="7" width="62.7109375" customWidth="1"/>
  </cols>
  <sheetData>
    <row r="1" spans="2:7" ht="18" customHeight="1">
      <c r="B1" s="222" t="s">
        <v>0</v>
      </c>
      <c r="C1" s="223"/>
      <c r="D1" s="223"/>
      <c r="E1" s="223"/>
      <c r="F1" s="224"/>
      <c r="G1" s="225"/>
    </row>
    <row r="2" spans="2:7">
      <c r="B2" s="1"/>
      <c r="C2" s="1"/>
      <c r="D2" s="2"/>
      <c r="E2" s="1"/>
      <c r="F2" s="1"/>
      <c r="G2" s="226"/>
    </row>
    <row r="3" spans="2:7" ht="62.25" customHeight="1">
      <c r="B3" s="222" t="s">
        <v>1</v>
      </c>
      <c r="C3" s="223"/>
      <c r="D3" s="223"/>
      <c r="E3" s="223"/>
      <c r="F3" s="224"/>
      <c r="G3" s="227"/>
    </row>
    <row r="4" spans="2:7">
      <c r="B4" s="1"/>
      <c r="C4" s="1"/>
      <c r="D4" s="2"/>
      <c r="E4" s="1"/>
      <c r="F4" s="1"/>
      <c r="G4" s="3" t="s">
        <v>2</v>
      </c>
    </row>
    <row r="5" spans="2:7">
      <c r="B5" s="228" t="s">
        <v>3</v>
      </c>
      <c r="C5" s="229"/>
      <c r="D5" s="230" t="s">
        <v>4</v>
      </c>
      <c r="E5" s="231"/>
      <c r="F5" s="232"/>
      <c r="G5" s="70"/>
    </row>
    <row r="6" spans="2:7">
      <c r="B6" s="1"/>
      <c r="C6" s="1"/>
      <c r="D6" s="2"/>
      <c r="E6" s="1"/>
      <c r="F6" s="1"/>
      <c r="G6" s="1"/>
    </row>
    <row r="7" spans="2:7" ht="18" customHeight="1">
      <c r="B7" s="239" t="s">
        <v>5</v>
      </c>
      <c r="C7" s="240"/>
      <c r="D7" s="240"/>
      <c r="E7" s="240"/>
      <c r="F7" s="240"/>
      <c r="G7" s="241"/>
    </row>
    <row r="8" spans="2:7">
      <c r="B8" s="71" t="s">
        <v>6</v>
      </c>
      <c r="C8" s="72" t="s">
        <v>7</v>
      </c>
      <c r="D8" s="71" t="s">
        <v>8</v>
      </c>
      <c r="E8" s="71" t="s">
        <v>9</v>
      </c>
      <c r="F8" s="72" t="s">
        <v>10</v>
      </c>
      <c r="G8" s="72" t="s">
        <v>11</v>
      </c>
    </row>
    <row r="9" spans="2:7" ht="14.25">
      <c r="B9" s="73">
        <v>1</v>
      </c>
      <c r="C9" s="77">
        <v>46148</v>
      </c>
      <c r="D9" s="78" t="s">
        <v>12</v>
      </c>
      <c r="E9" s="79" t="s">
        <v>13</v>
      </c>
      <c r="F9" s="75"/>
      <c r="G9" s="74"/>
    </row>
    <row r="10" spans="2:7" ht="14.25">
      <c r="B10" s="76">
        <v>2</v>
      </c>
      <c r="C10" s="156">
        <v>46153</v>
      </c>
      <c r="D10" s="96" t="s">
        <v>14</v>
      </c>
      <c r="E10" t="s">
        <v>15</v>
      </c>
      <c r="F10" s="79"/>
      <c r="G10" s="77"/>
    </row>
    <row r="11" spans="2:7">
      <c r="B11" s="80">
        <v>3</v>
      </c>
      <c r="C11" s="77"/>
      <c r="D11" s="78"/>
      <c r="E11" s="79"/>
      <c r="F11" s="79"/>
      <c r="G11" s="81"/>
    </row>
    <row r="12" spans="2:7">
      <c r="B12" s="82">
        <v>4</v>
      </c>
      <c r="C12" s="77"/>
      <c r="D12" s="78"/>
      <c r="E12" s="79"/>
      <c r="F12" s="79"/>
      <c r="G12" s="77"/>
    </row>
    <row r="13" spans="2:7">
      <c r="B13" s="82">
        <v>5</v>
      </c>
      <c r="C13" s="77"/>
      <c r="D13" s="78"/>
      <c r="E13" s="79"/>
      <c r="F13" s="79"/>
      <c r="G13" s="77"/>
    </row>
  </sheetData>
  <mergeCells count="6">
    <mergeCell ref="B7:G7"/>
    <mergeCell ref="B1:F1"/>
    <mergeCell ref="G1:G3"/>
    <mergeCell ref="B3:F3"/>
    <mergeCell ref="B5:C5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8D0D-F4EF-4C50-955A-49B9E37F7282}">
  <dimension ref="A1:K7"/>
  <sheetViews>
    <sheetView workbookViewId="0">
      <selection activeCell="D2" sqref="D2"/>
    </sheetView>
  </sheetViews>
  <sheetFormatPr defaultColWidth="8.85546875" defaultRowHeight="15"/>
  <cols>
    <col min="1" max="1" width="30.28515625" bestFit="1" customWidth="1"/>
    <col min="2" max="2" width="12.42578125" customWidth="1"/>
    <col min="3" max="3" width="15" customWidth="1"/>
    <col min="4" max="7" width="12.42578125" customWidth="1"/>
    <col min="8" max="8" width="20" bestFit="1" customWidth="1"/>
    <col min="9" max="9" width="24.7109375" bestFit="1" customWidth="1"/>
    <col min="10" max="10" width="7.42578125" bestFit="1" customWidth="1"/>
    <col min="11" max="11" width="14.85546875" bestFit="1" customWidth="1"/>
  </cols>
  <sheetData>
    <row r="1" spans="1:11">
      <c r="A1" s="50" t="s">
        <v>16</v>
      </c>
      <c r="B1" s="58" t="s">
        <v>17</v>
      </c>
      <c r="C1" s="59" t="s">
        <v>18</v>
      </c>
      <c r="D1" s="59" t="s">
        <v>19</v>
      </c>
      <c r="E1" s="59" t="s">
        <v>20</v>
      </c>
      <c r="F1" s="59" t="s">
        <v>21</v>
      </c>
      <c r="G1" s="59" t="s">
        <v>22</v>
      </c>
      <c r="H1" s="60" t="s">
        <v>23</v>
      </c>
      <c r="I1" s="62" t="s">
        <v>24</v>
      </c>
    </row>
    <row r="2" spans="1:11">
      <c r="A2" s="51" t="s">
        <v>25</v>
      </c>
      <c r="B2" s="55">
        <f>SUM(C2:G2)</f>
        <v>348</v>
      </c>
      <c r="C2" s="56">
        <f>SUM('Mobile Responsive 1.0'!R1)</f>
        <v>0</v>
      </c>
      <c r="D2" s="19">
        <f>SUM('Mobile Responsive 1.0'!S1)</f>
        <v>0</v>
      </c>
      <c r="E2" s="19">
        <f>SUM('Mobile Responsive 1.0'!V1)</f>
        <v>0</v>
      </c>
      <c r="F2" s="19">
        <f>SUM('Mobile Responsive 1.0'!U1)</f>
        <v>0</v>
      </c>
      <c r="G2" s="19">
        <f>SUM('Mobile Responsive 1.0'!T1)</f>
        <v>348</v>
      </c>
      <c r="H2" s="57">
        <f>C2/B2</f>
        <v>0</v>
      </c>
      <c r="I2" s="61">
        <f xml:space="preserve"> (C2+D2)/B2</f>
        <v>0</v>
      </c>
      <c r="K2" s="92"/>
    </row>
    <row r="3" spans="1:11">
      <c r="A3" s="51" t="s">
        <v>26</v>
      </c>
      <c r="B3" s="55">
        <f>SUM(C3:G3)</f>
        <v>306</v>
      </c>
      <c r="C3" s="56">
        <f>SUM('Mobile Responsive 1.1'!S3)</f>
        <v>17</v>
      </c>
      <c r="D3" s="19">
        <f>SUM('Mobile Responsive 1.1'!T3)</f>
        <v>19</v>
      </c>
      <c r="E3" s="19">
        <f>SUM('Mobile Responsive 1.1'!W3)</f>
        <v>0</v>
      </c>
      <c r="F3" s="19">
        <f>SUM('Mobile Responsive 1.1'!V3)</f>
        <v>0</v>
      </c>
      <c r="G3" s="19">
        <f>SUM('Mobile Responsive 1.1'!U1)</f>
        <v>270</v>
      </c>
      <c r="H3" s="53">
        <f>C3/B3</f>
        <v>5.5555555555555552E-2</v>
      </c>
      <c r="I3" s="61">
        <f xml:space="preserve"> (C3+D3+E3)/B3</f>
        <v>0.11764705882352941</v>
      </c>
      <c r="K3" s="92"/>
    </row>
    <row r="4" spans="1:11" ht="15.75">
      <c r="A4" s="52" t="s">
        <v>27</v>
      </c>
      <c r="B4" s="48">
        <f>SUM(B2:B3)</f>
        <v>654</v>
      </c>
      <c r="C4" s="49">
        <f>SUM(C2:C3)</f>
        <v>17</v>
      </c>
      <c r="D4" s="49">
        <f>SUM(D2:D3)</f>
        <v>19</v>
      </c>
      <c r="E4" s="49">
        <f>SUM(E2:E3)</f>
        <v>0</v>
      </c>
      <c r="F4" s="49">
        <f>SUM(F2:F3)</f>
        <v>0</v>
      </c>
      <c r="G4" s="49">
        <f>SUM(G2:G3)</f>
        <v>618</v>
      </c>
      <c r="H4" s="54">
        <f>C4/B4</f>
        <v>2.5993883792048929E-2</v>
      </c>
      <c r="I4" s="63">
        <f xml:space="preserve"> (C4+D4)/B4</f>
        <v>5.5045871559633031E-2</v>
      </c>
    </row>
    <row r="7" spans="1:11">
      <c r="F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0A54-E37D-4F53-857B-6CEFAA8444EA}">
  <dimension ref="A1:W354"/>
  <sheetViews>
    <sheetView workbookViewId="0">
      <pane ySplit="2" topLeftCell="B65" activePane="bottomLeft" state="frozen"/>
      <selection pane="bottomLeft" activeCell="E10" sqref="E10:E17"/>
    </sheetView>
  </sheetViews>
  <sheetFormatPr defaultColWidth="8.85546875" defaultRowHeight="15"/>
  <cols>
    <col min="1" max="1" width="17.42578125" customWidth="1"/>
    <col min="2" max="4" width="14" customWidth="1"/>
    <col min="5" max="5" width="20.28515625" customWidth="1"/>
    <col min="6" max="6" width="17.140625" customWidth="1"/>
    <col min="7" max="7" width="27.42578125" customWidth="1"/>
    <col min="8" max="8" width="31.85546875" customWidth="1"/>
    <col min="9" max="9" width="14" customWidth="1"/>
    <col min="10" max="10" width="31.42578125" style="91" customWidth="1"/>
    <col min="11" max="17" width="14" customWidth="1"/>
  </cols>
  <sheetData>
    <row r="1" spans="1:23" ht="43.5" customHeight="1">
      <c r="A1" s="216" t="s">
        <v>29</v>
      </c>
      <c r="B1" s="216" t="s">
        <v>30</v>
      </c>
      <c r="C1" s="216" t="s">
        <v>31</v>
      </c>
      <c r="D1" s="220" t="s">
        <v>32</v>
      </c>
      <c r="E1" s="216" t="s">
        <v>33</v>
      </c>
      <c r="F1" s="216" t="s">
        <v>34</v>
      </c>
      <c r="G1" s="216" t="s">
        <v>35</v>
      </c>
      <c r="H1" s="216" t="s">
        <v>36</v>
      </c>
      <c r="I1" s="216" t="s">
        <v>37</v>
      </c>
      <c r="J1" s="216" t="s">
        <v>38</v>
      </c>
      <c r="K1" s="215" t="s">
        <v>39</v>
      </c>
      <c r="L1" s="216"/>
      <c r="M1" s="216"/>
      <c r="N1" s="216" t="s">
        <v>40</v>
      </c>
      <c r="O1" s="216" t="s">
        <v>41</v>
      </c>
      <c r="P1" s="216" t="s">
        <v>42</v>
      </c>
      <c r="Q1" s="216" t="s">
        <v>43</v>
      </c>
      <c r="R1" s="5">
        <f>SUM(R2:R331)</f>
        <v>0</v>
      </c>
      <c r="S1" s="5">
        <f>SUM(S2:S331)</f>
        <v>0</v>
      </c>
      <c r="T1" s="5">
        <f>SUM(T2:T331)</f>
        <v>348</v>
      </c>
      <c r="U1" s="5">
        <f>SUM(U2:U331)</f>
        <v>0</v>
      </c>
      <c r="V1" s="5">
        <f>SUM(V2:V331)</f>
        <v>0</v>
      </c>
      <c r="W1" s="9"/>
    </row>
    <row r="2" spans="1:23">
      <c r="A2" s="217"/>
      <c r="B2" s="217"/>
      <c r="C2" s="217"/>
      <c r="D2" s="221"/>
      <c r="E2" s="217"/>
      <c r="F2" s="217"/>
      <c r="G2" s="217"/>
      <c r="H2" s="217"/>
      <c r="I2" s="217"/>
      <c r="J2" s="217"/>
      <c r="K2" s="34" t="s">
        <v>44</v>
      </c>
      <c r="L2" s="34" t="s">
        <v>45</v>
      </c>
      <c r="M2" s="34" t="s">
        <v>46</v>
      </c>
      <c r="N2" s="217"/>
      <c r="O2" s="217"/>
      <c r="P2" s="217"/>
      <c r="Q2" s="217"/>
      <c r="R2" s="93"/>
      <c r="S2" s="93"/>
      <c r="T2" s="93"/>
      <c r="U2" s="93"/>
      <c r="V2" s="93"/>
      <c r="W2" s="9"/>
    </row>
    <row r="3" spans="1:23">
      <c r="A3" s="214" t="s">
        <v>47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4"/>
      <c r="O3" s="214"/>
      <c r="P3" s="214"/>
      <c r="Q3" s="214"/>
      <c r="R3" s="103">
        <f>COUNTIF($N4:N90,"PASS")</f>
        <v>0</v>
      </c>
      <c r="S3" s="103">
        <f>COUNTIF($N4:N90,"FAIL")</f>
        <v>0</v>
      </c>
      <c r="T3" s="103">
        <f>COUNTBLANK(N4:N90)</f>
        <v>87</v>
      </c>
      <c r="U3" s="103">
        <f>COUNTIF($N4:N90,"IN PROGRESS")</f>
        <v>0</v>
      </c>
      <c r="V3" s="103">
        <f>COUNTIF($N4:N90,"BLOCKED")</f>
        <v>0</v>
      </c>
    </row>
    <row r="4" spans="1:23" ht="57.75" customHeight="1">
      <c r="A4" s="23" t="s">
        <v>48</v>
      </c>
      <c r="B4" s="42"/>
      <c r="C4" s="11"/>
      <c r="D4" s="191" t="s">
        <v>49</v>
      </c>
      <c r="E4" s="191" t="s">
        <v>50</v>
      </c>
      <c r="F4" s="39"/>
      <c r="G4" s="27" t="s">
        <v>51</v>
      </c>
      <c r="H4" s="33"/>
      <c r="I4" s="33"/>
      <c r="J4" s="100" t="s">
        <v>52</v>
      </c>
      <c r="K4" s="102"/>
      <c r="L4" s="102"/>
      <c r="M4" s="35" t="s">
        <v>53</v>
      </c>
      <c r="N4" s="102"/>
      <c r="O4" s="22"/>
      <c r="P4" s="7"/>
      <c r="Q4" s="64" t="s">
        <v>54</v>
      </c>
      <c r="R4" s="5"/>
      <c r="S4" s="5"/>
      <c r="T4" s="5"/>
      <c r="U4" s="9"/>
      <c r="V4" s="9"/>
      <c r="W4" s="9"/>
    </row>
    <row r="5" spans="1:23" ht="43.5">
      <c r="A5" s="23" t="s">
        <v>55</v>
      </c>
      <c r="B5" s="42"/>
      <c r="C5" s="11"/>
      <c r="D5" s="192"/>
      <c r="E5" s="192"/>
      <c r="F5" s="40"/>
      <c r="G5" s="41" t="s">
        <v>56</v>
      </c>
      <c r="H5" s="33"/>
      <c r="I5" s="33"/>
      <c r="J5" s="101" t="s">
        <v>57</v>
      </c>
      <c r="K5" s="102"/>
      <c r="L5" s="102"/>
      <c r="M5" s="35" t="s">
        <v>53</v>
      </c>
      <c r="N5" s="102"/>
      <c r="O5" s="22"/>
      <c r="P5" s="7"/>
      <c r="Q5" s="67" t="s">
        <v>54</v>
      </c>
      <c r="R5" s="5"/>
      <c r="S5" s="5"/>
      <c r="T5" s="5"/>
      <c r="U5" s="9"/>
      <c r="V5" s="9"/>
      <c r="W5" s="9"/>
    </row>
    <row r="6" spans="1:23" ht="15.75">
      <c r="A6" s="23" t="s">
        <v>58</v>
      </c>
      <c r="B6" s="42"/>
      <c r="C6" s="11"/>
      <c r="D6" s="192"/>
      <c r="E6" s="192"/>
      <c r="F6" s="20"/>
      <c r="G6" s="14" t="s">
        <v>59</v>
      </c>
      <c r="H6" s="33"/>
      <c r="I6" s="33"/>
      <c r="J6" s="100" t="s">
        <v>60</v>
      </c>
      <c r="K6" s="102"/>
      <c r="L6" s="102"/>
      <c r="M6" s="35" t="s">
        <v>53</v>
      </c>
      <c r="N6" s="102"/>
      <c r="O6" s="22"/>
      <c r="P6" s="7"/>
      <c r="Q6" s="67" t="s">
        <v>54</v>
      </c>
      <c r="R6" s="5"/>
      <c r="S6" s="5"/>
      <c r="T6" s="5"/>
      <c r="U6" s="9"/>
      <c r="V6" s="9"/>
      <c r="W6" s="9"/>
    </row>
    <row r="7" spans="1:23" ht="15.75">
      <c r="A7" s="23" t="s">
        <v>61</v>
      </c>
      <c r="B7" s="42"/>
      <c r="C7" s="11"/>
      <c r="D7" s="192"/>
      <c r="E7" s="192"/>
      <c r="F7" s="39"/>
      <c r="G7" s="14" t="s">
        <v>62</v>
      </c>
      <c r="H7" s="33"/>
      <c r="I7" s="33"/>
      <c r="J7" s="100" t="s">
        <v>60</v>
      </c>
      <c r="K7" s="102"/>
      <c r="L7" s="102"/>
      <c r="M7" s="35" t="s">
        <v>53</v>
      </c>
      <c r="N7" s="102"/>
      <c r="O7" s="22"/>
      <c r="P7" s="7"/>
      <c r="Q7" s="67" t="s">
        <v>54</v>
      </c>
      <c r="R7" s="5"/>
      <c r="S7" s="5"/>
      <c r="T7" s="5"/>
      <c r="U7" s="9"/>
      <c r="V7" s="9"/>
      <c r="W7" s="9"/>
    </row>
    <row r="8" spans="1:23" ht="15.75">
      <c r="A8" s="23" t="s">
        <v>63</v>
      </c>
      <c r="B8" s="42"/>
      <c r="C8" s="11"/>
      <c r="D8" s="192"/>
      <c r="E8" s="192"/>
      <c r="F8" s="39"/>
      <c r="G8" s="27" t="s">
        <v>64</v>
      </c>
      <c r="H8" s="33"/>
      <c r="I8" s="33"/>
      <c r="J8" s="88" t="s">
        <v>65</v>
      </c>
      <c r="K8" s="102"/>
      <c r="L8" s="102"/>
      <c r="M8" s="35" t="s">
        <v>53</v>
      </c>
      <c r="N8" s="102"/>
      <c r="O8" s="22"/>
      <c r="P8" s="7"/>
      <c r="Q8" s="67" t="s">
        <v>54</v>
      </c>
      <c r="R8" s="5"/>
      <c r="S8" s="5"/>
      <c r="T8" s="5"/>
      <c r="U8" s="9"/>
      <c r="V8" s="9"/>
      <c r="W8" s="9"/>
    </row>
    <row r="9" spans="1:23" ht="29.25">
      <c r="A9" s="23" t="s">
        <v>66</v>
      </c>
      <c r="B9" s="42"/>
      <c r="C9" s="11"/>
      <c r="D9" s="192"/>
      <c r="E9" s="193"/>
      <c r="F9" s="39"/>
      <c r="G9" s="27" t="s">
        <v>67</v>
      </c>
      <c r="H9" s="33"/>
      <c r="I9" s="33"/>
      <c r="J9" s="88" t="s">
        <v>68</v>
      </c>
      <c r="K9" s="102"/>
      <c r="L9" s="102"/>
      <c r="M9" s="35" t="s">
        <v>53</v>
      </c>
      <c r="N9" s="102"/>
      <c r="O9" s="22"/>
      <c r="P9" s="7"/>
      <c r="Q9" s="67" t="s">
        <v>54</v>
      </c>
      <c r="R9" s="5"/>
      <c r="S9" s="5"/>
      <c r="T9" s="5"/>
      <c r="U9" s="9"/>
      <c r="V9" s="9"/>
      <c r="W9" s="9"/>
    </row>
    <row r="10" spans="1:23" ht="43.5">
      <c r="A10" s="23" t="s">
        <v>69</v>
      </c>
      <c r="B10" s="38"/>
      <c r="C10" s="37"/>
      <c r="D10" s="192"/>
      <c r="E10" s="191" t="s">
        <v>70</v>
      </c>
      <c r="F10" s="28"/>
      <c r="G10" s="41" t="s">
        <v>71</v>
      </c>
      <c r="H10" s="33"/>
      <c r="I10" s="33"/>
      <c r="J10" s="101" t="s">
        <v>57</v>
      </c>
      <c r="K10" s="102"/>
      <c r="L10" s="102"/>
      <c r="M10" s="35" t="s">
        <v>53</v>
      </c>
      <c r="N10" s="102"/>
      <c r="O10" s="22"/>
      <c r="P10" s="7"/>
      <c r="Q10" s="67" t="s">
        <v>54</v>
      </c>
      <c r="R10" s="5"/>
      <c r="S10" s="5"/>
      <c r="T10" s="5"/>
      <c r="U10" s="9"/>
      <c r="V10" s="9"/>
      <c r="W10" s="9"/>
    </row>
    <row r="11" spans="1:23" ht="30" customHeight="1">
      <c r="A11" s="23" t="s">
        <v>72</v>
      </c>
      <c r="B11" s="38"/>
      <c r="C11" s="37"/>
      <c r="D11" s="192"/>
      <c r="E11" s="192"/>
      <c r="F11" s="28"/>
      <c r="G11" s="27" t="s">
        <v>73</v>
      </c>
      <c r="H11" s="33"/>
      <c r="I11" s="33"/>
      <c r="J11" s="100" t="s">
        <v>52</v>
      </c>
      <c r="K11" s="102"/>
      <c r="L11" s="102"/>
      <c r="M11" s="35" t="s">
        <v>53</v>
      </c>
      <c r="N11" s="102"/>
      <c r="O11" s="22"/>
      <c r="P11" s="7"/>
      <c r="Q11" s="67" t="s">
        <v>54</v>
      </c>
      <c r="R11" s="5"/>
      <c r="S11" s="5"/>
      <c r="T11" s="5"/>
      <c r="U11" s="9"/>
      <c r="V11" s="9"/>
      <c r="W11" s="9"/>
    </row>
    <row r="12" spans="1:23" ht="15.75">
      <c r="A12" s="23" t="s">
        <v>74</v>
      </c>
      <c r="B12" s="38"/>
      <c r="C12" s="12"/>
      <c r="D12" s="192"/>
      <c r="E12" s="192"/>
      <c r="F12" s="28"/>
      <c r="G12" t="s">
        <v>75</v>
      </c>
      <c r="H12" s="33"/>
      <c r="I12" s="33"/>
      <c r="J12" s="89" t="s">
        <v>65</v>
      </c>
      <c r="K12" s="106"/>
      <c r="L12" s="102"/>
      <c r="M12" s="35" t="s">
        <v>53</v>
      </c>
      <c r="N12" s="102"/>
      <c r="O12" s="22"/>
      <c r="P12" s="7"/>
      <c r="Q12" s="67" t="s">
        <v>54</v>
      </c>
      <c r="R12" s="5"/>
      <c r="S12" s="5"/>
      <c r="T12" s="5"/>
      <c r="U12" s="9"/>
      <c r="V12" s="9"/>
      <c r="W12" s="9"/>
    </row>
    <row r="13" spans="1:23" ht="15.75">
      <c r="A13" s="23" t="s">
        <v>76</v>
      </c>
      <c r="B13" s="38"/>
      <c r="C13" s="12"/>
      <c r="D13" s="192"/>
      <c r="E13" s="192"/>
      <c r="F13" s="28"/>
      <c r="G13" s="46" t="s">
        <v>77</v>
      </c>
      <c r="H13" s="15"/>
      <c r="I13" s="15"/>
      <c r="J13" s="88" t="s">
        <v>78</v>
      </c>
      <c r="K13" s="104"/>
      <c r="L13" s="105"/>
      <c r="M13" s="35" t="s">
        <v>53</v>
      </c>
      <c r="N13" s="102"/>
      <c r="O13" s="22"/>
      <c r="P13" s="7"/>
      <c r="Q13" s="67" t="s">
        <v>54</v>
      </c>
      <c r="R13" s="5"/>
      <c r="S13" s="5"/>
      <c r="T13" s="5"/>
      <c r="U13" s="9"/>
      <c r="V13" s="9"/>
      <c r="W13" s="9"/>
    </row>
    <row r="14" spans="1:23" ht="30" customHeight="1">
      <c r="A14" s="23" t="s">
        <v>79</v>
      </c>
      <c r="B14" s="38"/>
      <c r="C14" s="12"/>
      <c r="D14" s="192"/>
      <c r="E14" s="192"/>
      <c r="F14" s="28"/>
      <c r="G14" s="46" t="s">
        <v>80</v>
      </c>
      <c r="H14" s="15"/>
      <c r="I14" s="15"/>
      <c r="J14" s="88" t="s">
        <v>68</v>
      </c>
      <c r="K14" s="104"/>
      <c r="L14" s="105"/>
      <c r="M14" s="35" t="s">
        <v>53</v>
      </c>
      <c r="N14" s="102"/>
      <c r="O14" s="22"/>
      <c r="P14" s="7"/>
      <c r="Q14" s="67" t="s">
        <v>54</v>
      </c>
      <c r="R14" s="5"/>
      <c r="S14" s="5"/>
      <c r="T14" s="5"/>
      <c r="U14" s="9"/>
      <c r="V14" s="9"/>
      <c r="W14" s="9"/>
    </row>
    <row r="15" spans="1:23" ht="30" customHeight="1">
      <c r="A15" s="23" t="s">
        <v>81</v>
      </c>
      <c r="B15" s="38"/>
      <c r="C15" s="12"/>
      <c r="D15" s="235"/>
      <c r="E15" s="192"/>
      <c r="F15" s="39"/>
      <c r="G15" s="46" t="s">
        <v>82</v>
      </c>
      <c r="H15" s="15"/>
      <c r="I15" s="15"/>
      <c r="J15" s="88" t="s">
        <v>83</v>
      </c>
      <c r="K15" s="104"/>
      <c r="L15" s="105"/>
      <c r="M15" s="35"/>
      <c r="N15" s="102"/>
      <c r="O15" s="22"/>
      <c r="P15" s="7"/>
      <c r="Q15" s="67" t="s">
        <v>54</v>
      </c>
      <c r="R15" s="5"/>
      <c r="S15" s="5"/>
      <c r="T15" s="5"/>
      <c r="U15" s="9"/>
      <c r="V15" s="9"/>
      <c r="W15" s="9"/>
    </row>
    <row r="16" spans="1:23" ht="30" customHeight="1">
      <c r="A16" s="23" t="s">
        <v>84</v>
      </c>
      <c r="B16" s="38"/>
      <c r="C16" s="12"/>
      <c r="D16" s="235"/>
      <c r="E16" s="192"/>
      <c r="F16" s="39"/>
      <c r="G16" s="46" t="s">
        <v>64</v>
      </c>
      <c r="H16" s="15"/>
      <c r="I16" s="15"/>
      <c r="J16" s="88" t="s">
        <v>85</v>
      </c>
      <c r="K16" s="104"/>
      <c r="L16" s="105"/>
      <c r="M16" s="35"/>
      <c r="N16" s="102"/>
      <c r="O16" s="22"/>
      <c r="P16" s="7"/>
      <c r="Q16" s="67" t="s">
        <v>54</v>
      </c>
      <c r="R16" s="5"/>
      <c r="S16" s="5"/>
      <c r="T16" s="5"/>
      <c r="U16" s="9"/>
      <c r="V16" s="9"/>
      <c r="W16" s="9"/>
    </row>
    <row r="17" spans="1:23" ht="30" customHeight="1">
      <c r="A17" s="23" t="s">
        <v>86</v>
      </c>
      <c r="B17" s="38"/>
      <c r="C17" s="12"/>
      <c r="D17" s="235"/>
      <c r="E17" s="193"/>
      <c r="F17" s="39"/>
      <c r="G17" s="46" t="s">
        <v>87</v>
      </c>
      <c r="H17" s="15"/>
      <c r="I17" s="15"/>
      <c r="J17" s="88" t="s">
        <v>88</v>
      </c>
      <c r="K17" s="104"/>
      <c r="L17" s="105"/>
      <c r="M17" s="35"/>
      <c r="N17" s="102"/>
      <c r="O17" s="22"/>
      <c r="P17" s="7"/>
      <c r="Q17" s="67" t="s">
        <v>54</v>
      </c>
      <c r="R17" s="5"/>
      <c r="S17" s="5"/>
      <c r="T17" s="5"/>
      <c r="U17" s="9"/>
      <c r="V17" s="9"/>
      <c r="W17" s="9"/>
    </row>
    <row r="18" spans="1:23" ht="43.5">
      <c r="A18" s="23" t="s">
        <v>89</v>
      </c>
      <c r="B18" s="38"/>
      <c r="C18" s="37"/>
      <c r="D18" s="235"/>
      <c r="E18" s="191" t="s">
        <v>90</v>
      </c>
      <c r="F18" s="28"/>
      <c r="G18" s="41" t="s">
        <v>71</v>
      </c>
      <c r="H18" s="33"/>
      <c r="I18" s="33"/>
      <c r="J18" s="101" t="s">
        <v>57</v>
      </c>
      <c r="K18" s="102"/>
      <c r="L18" s="102"/>
      <c r="M18" s="35" t="s">
        <v>53</v>
      </c>
      <c r="N18" s="102"/>
      <c r="O18" s="22"/>
      <c r="P18" s="7"/>
      <c r="Q18" s="67" t="s">
        <v>54</v>
      </c>
      <c r="R18" s="5"/>
      <c r="S18" s="5"/>
      <c r="T18" s="5"/>
      <c r="U18" s="9"/>
      <c r="V18" s="9"/>
      <c r="W18" s="9"/>
    </row>
    <row r="19" spans="1:23" ht="30" customHeight="1">
      <c r="A19" s="23" t="s">
        <v>91</v>
      </c>
      <c r="B19" s="38"/>
      <c r="C19" s="37"/>
      <c r="D19" s="235"/>
      <c r="E19" s="192"/>
      <c r="F19" s="28"/>
      <c r="G19" s="27" t="s">
        <v>73</v>
      </c>
      <c r="H19" s="33"/>
      <c r="I19" s="33"/>
      <c r="J19" s="100" t="s">
        <v>52</v>
      </c>
      <c r="K19" s="102"/>
      <c r="L19" s="102"/>
      <c r="M19" s="35" t="s">
        <v>53</v>
      </c>
      <c r="N19" s="102"/>
      <c r="O19" s="22"/>
      <c r="P19" s="7"/>
      <c r="Q19" s="67" t="s">
        <v>54</v>
      </c>
      <c r="R19" s="5"/>
      <c r="S19" s="5"/>
      <c r="T19" s="5"/>
      <c r="U19" s="9"/>
      <c r="V19" s="9"/>
      <c r="W19" s="9"/>
    </row>
    <row r="20" spans="1:23" ht="15.75">
      <c r="A20" s="23" t="s">
        <v>92</v>
      </c>
      <c r="B20" s="38"/>
      <c r="C20" s="12"/>
      <c r="D20" s="235"/>
      <c r="E20" s="192"/>
      <c r="F20" s="28"/>
      <c r="G20" t="s">
        <v>75</v>
      </c>
      <c r="H20" s="33"/>
      <c r="I20" s="33"/>
      <c r="J20" s="89" t="s">
        <v>65</v>
      </c>
      <c r="K20" s="106"/>
      <c r="L20" s="102"/>
      <c r="M20" s="35" t="s">
        <v>53</v>
      </c>
      <c r="N20" s="102"/>
      <c r="O20" s="22"/>
      <c r="P20" s="7"/>
      <c r="Q20" s="67" t="s">
        <v>54</v>
      </c>
      <c r="R20" s="5"/>
      <c r="S20" s="5"/>
      <c r="T20" s="5"/>
      <c r="U20" s="9"/>
      <c r="V20" s="9"/>
      <c r="W20" s="9"/>
    </row>
    <row r="21" spans="1:23" ht="15.75">
      <c r="A21" s="23" t="s">
        <v>93</v>
      </c>
      <c r="B21" s="38"/>
      <c r="C21" s="12"/>
      <c r="D21" s="235"/>
      <c r="E21" s="192"/>
      <c r="F21" s="28"/>
      <c r="G21" s="46" t="s">
        <v>77</v>
      </c>
      <c r="H21" s="15"/>
      <c r="I21" s="15"/>
      <c r="J21" s="88" t="s">
        <v>78</v>
      </c>
      <c r="K21" s="104"/>
      <c r="L21" s="105"/>
      <c r="M21" s="35" t="s">
        <v>53</v>
      </c>
      <c r="N21" s="102"/>
      <c r="O21" s="22"/>
      <c r="P21" s="7"/>
      <c r="Q21" s="67" t="s">
        <v>54</v>
      </c>
      <c r="R21" s="5"/>
      <c r="S21" s="5"/>
      <c r="T21" s="5"/>
      <c r="U21" s="9"/>
      <c r="V21" s="9"/>
      <c r="W21" s="9"/>
    </row>
    <row r="22" spans="1:23" ht="30" customHeight="1">
      <c r="A22" s="23" t="s">
        <v>94</v>
      </c>
      <c r="B22" s="38"/>
      <c r="C22" s="12"/>
      <c r="D22" s="235"/>
      <c r="E22" s="192"/>
      <c r="F22" s="28"/>
      <c r="G22" s="46" t="s">
        <v>80</v>
      </c>
      <c r="H22" s="15"/>
      <c r="I22" s="15"/>
      <c r="J22" s="88" t="s">
        <v>68</v>
      </c>
      <c r="K22" s="104"/>
      <c r="L22" s="105"/>
      <c r="M22" s="35" t="s">
        <v>53</v>
      </c>
      <c r="N22" s="102"/>
      <c r="O22" s="22"/>
      <c r="P22" s="7"/>
      <c r="Q22" s="67" t="s">
        <v>54</v>
      </c>
      <c r="R22" s="5"/>
      <c r="S22" s="5"/>
      <c r="T22" s="5"/>
      <c r="U22" s="9"/>
      <c r="V22" s="9"/>
      <c r="W22" s="9"/>
    </row>
    <row r="23" spans="1:23" ht="30" customHeight="1">
      <c r="A23" s="23" t="s">
        <v>95</v>
      </c>
      <c r="B23" s="38"/>
      <c r="C23" s="12"/>
      <c r="D23" s="235"/>
      <c r="E23" s="192"/>
      <c r="F23" s="39"/>
      <c r="G23" s="46" t="s">
        <v>82</v>
      </c>
      <c r="H23" s="15"/>
      <c r="I23" s="15"/>
      <c r="J23" s="88" t="s">
        <v>83</v>
      </c>
      <c r="K23" s="104"/>
      <c r="L23" s="105"/>
      <c r="M23" s="35"/>
      <c r="N23" s="102"/>
      <c r="O23" s="22"/>
      <c r="P23" s="7"/>
      <c r="Q23" s="67" t="s">
        <v>54</v>
      </c>
      <c r="R23" s="5"/>
      <c r="S23" s="5"/>
      <c r="T23" s="5"/>
      <c r="U23" s="9"/>
      <c r="V23" s="9"/>
      <c r="W23" s="9"/>
    </row>
    <row r="24" spans="1:23" ht="30" customHeight="1">
      <c r="A24" s="23" t="s">
        <v>96</v>
      </c>
      <c r="B24" s="38"/>
      <c r="C24" s="12"/>
      <c r="D24" s="235"/>
      <c r="E24" s="192"/>
      <c r="F24" s="39"/>
      <c r="G24" s="46" t="s">
        <v>64</v>
      </c>
      <c r="H24" s="15"/>
      <c r="I24" s="15"/>
      <c r="J24" s="88" t="s">
        <v>85</v>
      </c>
      <c r="K24" s="104"/>
      <c r="L24" s="105"/>
      <c r="M24" s="35"/>
      <c r="N24" s="102"/>
      <c r="O24" s="22"/>
      <c r="P24" s="7"/>
      <c r="Q24" s="67" t="s">
        <v>54</v>
      </c>
      <c r="R24" s="5"/>
      <c r="S24" s="5"/>
      <c r="T24" s="5"/>
      <c r="U24" s="9"/>
      <c r="V24" s="9"/>
      <c r="W24" s="9"/>
    </row>
    <row r="25" spans="1:23" ht="30" customHeight="1">
      <c r="A25" s="23" t="s">
        <v>97</v>
      </c>
      <c r="B25" s="38"/>
      <c r="C25" s="12"/>
      <c r="D25" s="235"/>
      <c r="E25" s="193"/>
      <c r="F25" s="39"/>
      <c r="G25" s="46" t="s">
        <v>87</v>
      </c>
      <c r="H25" s="29"/>
      <c r="I25" s="15"/>
      <c r="J25" s="88" t="s">
        <v>88</v>
      </c>
      <c r="K25" s="104"/>
      <c r="L25" s="105"/>
      <c r="M25" s="35"/>
      <c r="N25" s="102"/>
      <c r="O25" s="22"/>
      <c r="P25" s="7"/>
      <c r="Q25" s="67" t="s">
        <v>54</v>
      </c>
      <c r="R25" s="5"/>
      <c r="S25" s="5"/>
      <c r="T25" s="5"/>
      <c r="U25" s="9"/>
      <c r="V25" s="9"/>
      <c r="W25" s="9"/>
    </row>
    <row r="26" spans="1:23" ht="43.5">
      <c r="A26" s="23" t="s">
        <v>98</v>
      </c>
      <c r="B26" s="38"/>
      <c r="C26" s="37"/>
      <c r="D26" s="235"/>
      <c r="E26" s="236" t="s">
        <v>99</v>
      </c>
      <c r="F26" s="27"/>
      <c r="G26" s="36" t="s">
        <v>71</v>
      </c>
      <c r="H26" s="15"/>
      <c r="I26" s="43"/>
      <c r="J26" s="101" t="s">
        <v>57</v>
      </c>
      <c r="K26" s="102"/>
      <c r="L26" s="102"/>
      <c r="M26" s="35" t="s">
        <v>53</v>
      </c>
      <c r="N26" s="102"/>
      <c r="O26" s="22"/>
      <c r="P26" s="7"/>
      <c r="Q26" s="67" t="s">
        <v>54</v>
      </c>
      <c r="R26" s="5"/>
      <c r="S26" s="5"/>
      <c r="T26" s="5"/>
      <c r="U26" s="9"/>
      <c r="V26" s="9"/>
      <c r="W26" s="9"/>
    </row>
    <row r="27" spans="1:23" ht="30" customHeight="1">
      <c r="A27" s="23" t="s">
        <v>100</v>
      </c>
      <c r="B27" s="38"/>
      <c r="C27" s="37"/>
      <c r="D27" s="235"/>
      <c r="E27" s="235"/>
      <c r="F27" s="27"/>
      <c r="G27" s="27" t="s">
        <v>73</v>
      </c>
      <c r="H27" s="15"/>
      <c r="I27" s="43"/>
      <c r="J27" s="100" t="s">
        <v>52</v>
      </c>
      <c r="K27" s="102"/>
      <c r="L27" s="102"/>
      <c r="M27" s="35" t="s">
        <v>53</v>
      </c>
      <c r="N27" s="102"/>
      <c r="O27" s="22"/>
      <c r="P27" s="7"/>
      <c r="Q27" s="67" t="s">
        <v>54</v>
      </c>
      <c r="R27" s="5"/>
      <c r="S27" s="5"/>
      <c r="T27" s="5"/>
      <c r="U27" s="9"/>
      <c r="V27" s="9"/>
      <c r="W27" s="9"/>
    </row>
    <row r="28" spans="1:23" ht="15.75">
      <c r="A28" s="23" t="s">
        <v>101</v>
      </c>
      <c r="B28" s="38"/>
      <c r="C28" s="12"/>
      <c r="D28" s="235"/>
      <c r="E28" s="235"/>
      <c r="F28" s="27"/>
      <c r="G28" s="21" t="s">
        <v>99</v>
      </c>
      <c r="H28" s="15"/>
      <c r="I28" s="43"/>
      <c r="J28" s="89" t="s">
        <v>65</v>
      </c>
      <c r="K28" s="106"/>
      <c r="L28" s="102"/>
      <c r="M28" s="35" t="s">
        <v>53</v>
      </c>
      <c r="N28" s="102"/>
      <c r="O28" s="22"/>
      <c r="P28" s="7"/>
      <c r="Q28" s="67" t="s">
        <v>54</v>
      </c>
      <c r="R28" s="5"/>
      <c r="S28" s="5"/>
      <c r="T28" s="5"/>
      <c r="U28" s="9"/>
      <c r="V28" s="9"/>
      <c r="W28" s="9"/>
    </row>
    <row r="29" spans="1:23" ht="15.75">
      <c r="A29" s="23" t="s">
        <v>102</v>
      </c>
      <c r="B29" s="38"/>
      <c r="C29" s="12"/>
      <c r="D29" s="235"/>
      <c r="E29" s="235"/>
      <c r="F29" s="28"/>
      <c r="G29" s="28" t="s">
        <v>51</v>
      </c>
      <c r="H29" s="29"/>
      <c r="I29" s="108"/>
      <c r="J29" s="88" t="s">
        <v>78</v>
      </c>
      <c r="K29" s="104"/>
      <c r="L29" s="105"/>
      <c r="M29" s="35" t="s">
        <v>53</v>
      </c>
      <c r="N29" s="102"/>
      <c r="O29" s="22"/>
      <c r="P29" s="7"/>
      <c r="Q29" s="67" t="s">
        <v>54</v>
      </c>
      <c r="R29" s="5"/>
      <c r="S29" s="5"/>
      <c r="T29" s="5"/>
      <c r="U29" s="9"/>
      <c r="V29" s="9"/>
      <c r="W29" s="9"/>
    </row>
    <row r="30" spans="1:23" ht="30" customHeight="1">
      <c r="A30" s="23" t="s">
        <v>103</v>
      </c>
      <c r="B30" s="38"/>
      <c r="C30" s="12"/>
      <c r="D30" s="235"/>
      <c r="E30" s="235"/>
      <c r="F30" s="27"/>
      <c r="G30" s="36" t="s">
        <v>56</v>
      </c>
      <c r="H30" s="15"/>
      <c r="I30" s="108"/>
      <c r="J30" s="88" t="s">
        <v>68</v>
      </c>
      <c r="K30" s="104"/>
      <c r="L30" s="105"/>
      <c r="M30" s="35" t="s">
        <v>53</v>
      </c>
      <c r="N30" s="102"/>
      <c r="O30" s="22"/>
      <c r="P30" s="7"/>
      <c r="Q30" s="67" t="s">
        <v>54</v>
      </c>
      <c r="R30" s="5"/>
      <c r="S30" s="5"/>
      <c r="T30" s="5"/>
      <c r="U30" s="9"/>
      <c r="V30" s="9"/>
      <c r="W30" s="9"/>
    </row>
    <row r="31" spans="1:23" ht="30" customHeight="1">
      <c r="A31" s="23" t="s">
        <v>104</v>
      </c>
      <c r="B31" s="38"/>
      <c r="C31" s="12"/>
      <c r="D31" s="235"/>
      <c r="E31" s="235"/>
      <c r="F31" s="27"/>
      <c r="G31" s="90" t="s">
        <v>105</v>
      </c>
      <c r="H31" s="15"/>
      <c r="I31" s="108"/>
      <c r="J31" s="88"/>
      <c r="K31" s="104"/>
      <c r="L31" s="105"/>
      <c r="M31" s="35"/>
      <c r="N31" s="102"/>
      <c r="O31" s="22"/>
      <c r="P31" s="7"/>
      <c r="Q31" s="67" t="s">
        <v>54</v>
      </c>
      <c r="R31" s="5"/>
      <c r="S31" s="5"/>
      <c r="T31" s="5"/>
      <c r="U31" s="9"/>
      <c r="V31" s="9"/>
      <c r="W31" s="9"/>
    </row>
    <row r="32" spans="1:23" ht="30" customHeight="1">
      <c r="A32" s="23" t="s">
        <v>106</v>
      </c>
      <c r="B32" s="38"/>
      <c r="C32" s="12"/>
      <c r="D32" s="235"/>
      <c r="E32" s="235"/>
      <c r="F32" s="27"/>
      <c r="G32" s="90" t="s">
        <v>107</v>
      </c>
      <c r="H32" s="15"/>
      <c r="I32" s="108"/>
      <c r="J32" s="88" t="s">
        <v>60</v>
      </c>
      <c r="K32" s="104"/>
      <c r="L32" s="105"/>
      <c r="M32" s="35"/>
      <c r="N32" s="102"/>
      <c r="O32" s="22"/>
      <c r="P32" s="7"/>
      <c r="Q32" s="67" t="s">
        <v>54</v>
      </c>
      <c r="R32" s="5"/>
      <c r="S32" s="5"/>
      <c r="T32" s="5"/>
      <c r="U32" s="9"/>
      <c r="V32" s="9"/>
      <c r="W32" s="9"/>
    </row>
    <row r="33" spans="1:23" ht="30" customHeight="1">
      <c r="A33" s="23" t="s">
        <v>108</v>
      </c>
      <c r="B33" s="38"/>
      <c r="C33" s="12"/>
      <c r="D33" s="235"/>
      <c r="E33" s="193"/>
      <c r="F33" s="44"/>
      <c r="G33" s="109" t="s">
        <v>87</v>
      </c>
      <c r="H33" s="110"/>
      <c r="I33" s="15"/>
      <c r="J33" s="88"/>
      <c r="K33" s="104"/>
      <c r="L33" s="105"/>
      <c r="M33" s="35"/>
      <c r="N33" s="102"/>
      <c r="O33" s="22"/>
      <c r="P33" s="7"/>
      <c r="Q33" s="67" t="s">
        <v>54</v>
      </c>
      <c r="R33" s="5"/>
      <c r="S33" s="5"/>
      <c r="T33" s="5"/>
      <c r="U33" s="9"/>
      <c r="V33" s="9"/>
      <c r="W33" s="9"/>
    </row>
    <row r="34" spans="1:23" ht="43.5">
      <c r="A34" s="23" t="s">
        <v>109</v>
      </c>
      <c r="B34" s="42"/>
      <c r="C34" s="11"/>
      <c r="D34" s="202" t="s">
        <v>110</v>
      </c>
      <c r="E34" s="191" t="s">
        <v>111</v>
      </c>
      <c r="F34" s="27"/>
      <c r="G34" s="36" t="s">
        <v>71</v>
      </c>
      <c r="H34" s="43"/>
      <c r="I34" s="33"/>
      <c r="J34" s="101" t="s">
        <v>57</v>
      </c>
      <c r="K34" s="102"/>
      <c r="L34" s="102"/>
      <c r="M34" s="35" t="s">
        <v>53</v>
      </c>
      <c r="N34" s="102"/>
      <c r="O34" s="22"/>
      <c r="P34" s="7"/>
      <c r="Q34" s="67"/>
      <c r="R34" s="5"/>
      <c r="S34" s="5"/>
      <c r="T34" s="5"/>
      <c r="U34" s="9"/>
      <c r="V34" s="9"/>
      <c r="W34" s="9"/>
    </row>
    <row r="35" spans="1:23" ht="29.25">
      <c r="A35" s="23" t="s">
        <v>112</v>
      </c>
      <c r="B35" s="42"/>
      <c r="C35" s="11"/>
      <c r="D35" s="202"/>
      <c r="E35" s="192"/>
      <c r="F35" s="27"/>
      <c r="G35" s="27" t="s">
        <v>113</v>
      </c>
      <c r="H35" s="43"/>
      <c r="I35" s="33"/>
      <c r="J35" s="100" t="s">
        <v>52</v>
      </c>
      <c r="K35" s="102"/>
      <c r="L35" s="102"/>
      <c r="M35" s="35" t="s">
        <v>53</v>
      </c>
      <c r="N35" s="102"/>
      <c r="O35" s="22"/>
      <c r="P35" s="7"/>
      <c r="Q35" s="7"/>
      <c r="R35" s="5"/>
      <c r="S35" s="5"/>
      <c r="T35" s="5"/>
      <c r="U35" s="9"/>
      <c r="V35" s="9"/>
      <c r="W35" s="9"/>
    </row>
    <row r="36" spans="1:23" ht="15.75">
      <c r="A36" s="23" t="s">
        <v>114</v>
      </c>
      <c r="B36" s="42"/>
      <c r="C36" s="11"/>
      <c r="D36" s="202"/>
      <c r="E36" s="192"/>
      <c r="F36" s="27"/>
      <c r="G36" s="8" t="s">
        <v>115</v>
      </c>
      <c r="H36" s="85"/>
      <c r="I36" s="33"/>
      <c r="J36" s="88" t="s">
        <v>116</v>
      </c>
      <c r="K36" s="102"/>
      <c r="L36" s="102"/>
      <c r="M36" s="35" t="s">
        <v>53</v>
      </c>
      <c r="N36" s="102"/>
      <c r="O36" s="22"/>
      <c r="P36" s="7"/>
      <c r="Q36" s="7"/>
      <c r="R36" s="5"/>
      <c r="S36" s="5"/>
      <c r="T36" s="5"/>
      <c r="U36" s="9"/>
      <c r="V36" s="9"/>
      <c r="W36" s="9"/>
    </row>
    <row r="37" spans="1:23" ht="43.5">
      <c r="A37" s="23" t="s">
        <v>117</v>
      </c>
      <c r="B37" s="42"/>
      <c r="C37" s="11"/>
      <c r="D37" s="202"/>
      <c r="E37" s="192"/>
      <c r="F37" s="27"/>
      <c r="G37" s="36" t="s">
        <v>118</v>
      </c>
      <c r="H37" s="86"/>
      <c r="I37" s="33"/>
      <c r="J37" s="101" t="s">
        <v>57</v>
      </c>
      <c r="K37" s="102"/>
      <c r="L37" s="102"/>
      <c r="M37" s="35"/>
      <c r="N37" s="102"/>
      <c r="O37" s="22"/>
      <c r="P37" s="7"/>
      <c r="Q37" s="7"/>
      <c r="R37" s="5"/>
      <c r="S37" s="5"/>
      <c r="T37" s="5"/>
      <c r="U37" s="9"/>
      <c r="V37" s="9"/>
      <c r="W37" s="9"/>
    </row>
    <row r="38" spans="1:23" ht="29.25">
      <c r="A38" s="23" t="s">
        <v>119</v>
      </c>
      <c r="B38" s="42"/>
      <c r="C38" s="11"/>
      <c r="D38" s="202"/>
      <c r="E38" s="192"/>
      <c r="F38" s="27"/>
      <c r="G38" s="27" t="s">
        <v>120</v>
      </c>
      <c r="H38" s="86"/>
      <c r="I38" s="33"/>
      <c r="J38" s="100" t="s">
        <v>52</v>
      </c>
      <c r="K38" s="102"/>
      <c r="L38" s="102"/>
      <c r="M38" s="35"/>
      <c r="N38" s="102"/>
      <c r="O38" s="22"/>
      <c r="P38" s="7"/>
      <c r="Q38" s="7"/>
      <c r="R38" s="5"/>
      <c r="S38" s="5"/>
      <c r="T38" s="5"/>
      <c r="U38" s="9"/>
      <c r="V38" s="9"/>
      <c r="W38" s="9"/>
    </row>
    <row r="39" spans="1:23" ht="29.25">
      <c r="A39" s="23" t="s">
        <v>121</v>
      </c>
      <c r="B39" s="42"/>
      <c r="C39" s="11"/>
      <c r="D39" s="202"/>
      <c r="E39" s="193"/>
      <c r="F39" s="27"/>
      <c r="G39" s="27" t="s">
        <v>122</v>
      </c>
      <c r="H39" s="86"/>
      <c r="I39" s="33"/>
      <c r="J39" s="111" t="s">
        <v>123</v>
      </c>
      <c r="K39" s="102"/>
      <c r="L39" s="102"/>
      <c r="M39" s="35"/>
      <c r="N39" s="102"/>
      <c r="O39" s="22"/>
      <c r="P39" s="7"/>
      <c r="Q39" s="7"/>
      <c r="R39" s="5"/>
      <c r="S39" s="5"/>
      <c r="T39" s="5"/>
      <c r="U39" s="9"/>
      <c r="V39" s="9"/>
      <c r="W39" s="9"/>
    </row>
    <row r="40" spans="1:23" ht="43.5">
      <c r="A40" s="23" t="s">
        <v>124</v>
      </c>
      <c r="B40" s="42"/>
      <c r="C40" s="11"/>
      <c r="D40" s="202"/>
      <c r="E40" s="191" t="s">
        <v>125</v>
      </c>
      <c r="F40" s="27"/>
      <c r="G40" s="36" t="s">
        <v>71</v>
      </c>
      <c r="H40" s="43"/>
      <c r="I40" s="33"/>
      <c r="J40" s="101" t="s">
        <v>57</v>
      </c>
      <c r="K40" s="102"/>
      <c r="L40" s="102"/>
      <c r="M40" s="35" t="s">
        <v>53</v>
      </c>
      <c r="N40" s="102"/>
      <c r="O40" s="22"/>
      <c r="P40" s="7"/>
      <c r="Q40" s="7"/>
      <c r="R40" s="5"/>
      <c r="S40" s="5"/>
      <c r="T40" s="5"/>
      <c r="U40" s="9"/>
      <c r="V40" s="9"/>
      <c r="W40" s="9"/>
    </row>
    <row r="41" spans="1:23" ht="29.25">
      <c r="A41" s="23" t="s">
        <v>126</v>
      </c>
      <c r="B41" s="42"/>
      <c r="C41" s="11"/>
      <c r="D41" s="202"/>
      <c r="E41" s="192"/>
      <c r="F41" s="27"/>
      <c r="G41" s="27" t="s">
        <v>113</v>
      </c>
      <c r="H41" s="43"/>
      <c r="I41" s="33"/>
      <c r="J41" s="100" t="s">
        <v>52</v>
      </c>
      <c r="K41" s="102"/>
      <c r="L41" s="102"/>
      <c r="M41" s="35" t="s">
        <v>53</v>
      </c>
      <c r="N41" s="102"/>
      <c r="O41" s="22"/>
      <c r="P41" s="7"/>
      <c r="Q41" s="7"/>
      <c r="R41" s="5"/>
      <c r="S41" s="5"/>
      <c r="T41" s="5"/>
      <c r="U41" s="9"/>
      <c r="V41" s="9"/>
      <c r="W41" s="9"/>
    </row>
    <row r="42" spans="1:23" ht="15.75">
      <c r="A42" s="23" t="s">
        <v>127</v>
      </c>
      <c r="B42" s="42"/>
      <c r="C42" s="11"/>
      <c r="D42" s="202"/>
      <c r="E42" s="192"/>
      <c r="F42" s="27"/>
      <c r="G42" s="8" t="s">
        <v>115</v>
      </c>
      <c r="H42" s="85"/>
      <c r="I42" s="33"/>
      <c r="J42" s="88" t="s">
        <v>116</v>
      </c>
      <c r="K42" s="102"/>
      <c r="L42" s="102"/>
      <c r="M42" s="35" t="s">
        <v>53</v>
      </c>
      <c r="N42" s="102"/>
      <c r="O42" s="22"/>
      <c r="P42" s="7"/>
      <c r="Q42" s="7"/>
      <c r="R42" s="5"/>
      <c r="S42" s="5"/>
      <c r="T42" s="5"/>
      <c r="U42" s="9"/>
      <c r="V42" s="9"/>
      <c r="W42" s="9"/>
    </row>
    <row r="43" spans="1:23" ht="43.5">
      <c r="A43" s="23" t="s">
        <v>128</v>
      </c>
      <c r="B43" s="42"/>
      <c r="C43" s="11"/>
      <c r="D43" s="202"/>
      <c r="E43" s="192"/>
      <c r="F43" s="27"/>
      <c r="G43" s="36" t="s">
        <v>129</v>
      </c>
      <c r="H43" s="86"/>
      <c r="I43" s="33"/>
      <c r="J43" s="101" t="s">
        <v>57</v>
      </c>
      <c r="K43" s="102"/>
      <c r="L43" s="102"/>
      <c r="M43" s="35"/>
      <c r="N43" s="102"/>
      <c r="O43" s="22"/>
      <c r="P43" s="7"/>
      <c r="Q43" s="7"/>
      <c r="R43" s="5"/>
      <c r="S43" s="5"/>
      <c r="T43" s="5"/>
      <c r="U43" s="9"/>
      <c r="V43" s="9"/>
      <c r="W43" s="9"/>
    </row>
    <row r="44" spans="1:23" ht="29.25">
      <c r="A44" s="23" t="s">
        <v>130</v>
      </c>
      <c r="B44" s="42"/>
      <c r="C44" s="11"/>
      <c r="D44" s="202"/>
      <c r="E44" s="192"/>
      <c r="F44" s="27"/>
      <c r="G44" s="27" t="s">
        <v>131</v>
      </c>
      <c r="H44" s="86"/>
      <c r="I44" s="33"/>
      <c r="J44" s="100" t="s">
        <v>52</v>
      </c>
      <c r="K44" s="102"/>
      <c r="L44" s="102"/>
      <c r="M44" s="35"/>
      <c r="N44" s="102"/>
      <c r="O44" s="22"/>
      <c r="P44" s="7"/>
      <c r="Q44" s="7"/>
      <c r="R44" s="5"/>
      <c r="S44" s="5"/>
      <c r="T44" s="5"/>
      <c r="U44" s="9"/>
      <c r="V44" s="9"/>
      <c r="W44" s="9"/>
    </row>
    <row r="45" spans="1:23" ht="43.5">
      <c r="A45" s="23" t="s">
        <v>132</v>
      </c>
      <c r="B45" s="42"/>
      <c r="C45" s="11"/>
      <c r="D45" s="191" t="s">
        <v>133</v>
      </c>
      <c r="E45" s="191" t="s">
        <v>134</v>
      </c>
      <c r="F45" s="27"/>
      <c r="G45" s="36" t="s">
        <v>71</v>
      </c>
      <c r="H45" s="43"/>
      <c r="I45" s="33"/>
      <c r="J45" s="101" t="s">
        <v>57</v>
      </c>
      <c r="K45" s="102"/>
      <c r="L45" s="102"/>
      <c r="M45" s="35" t="s">
        <v>53</v>
      </c>
      <c r="N45" s="102"/>
      <c r="O45" s="22"/>
      <c r="P45" s="7"/>
      <c r="Q45" s="7"/>
      <c r="R45" s="5"/>
      <c r="S45" s="5"/>
      <c r="T45" s="5"/>
      <c r="U45" s="9"/>
      <c r="V45" s="9"/>
      <c r="W45" s="9"/>
    </row>
    <row r="46" spans="1:23" ht="29.25">
      <c r="A46" s="23" t="s">
        <v>135</v>
      </c>
      <c r="B46" s="42"/>
      <c r="C46" s="11"/>
      <c r="D46" s="192"/>
      <c r="E46" s="192"/>
      <c r="F46" s="27"/>
      <c r="G46" s="27" t="s">
        <v>113</v>
      </c>
      <c r="H46" s="43"/>
      <c r="I46" s="33"/>
      <c r="J46" s="100" t="s">
        <v>52</v>
      </c>
      <c r="K46" s="102"/>
      <c r="L46" s="102"/>
      <c r="M46" s="35" t="s">
        <v>53</v>
      </c>
      <c r="N46" s="102"/>
      <c r="O46" s="22"/>
      <c r="P46" s="7"/>
      <c r="Q46" s="7"/>
      <c r="R46" s="5"/>
      <c r="S46" s="5"/>
      <c r="T46" s="5"/>
      <c r="U46" s="9"/>
      <c r="V46" s="9"/>
      <c r="W46" s="9"/>
    </row>
    <row r="47" spans="1:23" ht="15.75">
      <c r="A47" s="23" t="s">
        <v>136</v>
      </c>
      <c r="B47" s="42"/>
      <c r="C47" s="11"/>
      <c r="D47" s="192"/>
      <c r="E47" s="192"/>
      <c r="F47" s="27"/>
      <c r="G47" s="8" t="s">
        <v>115</v>
      </c>
      <c r="H47" s="85"/>
      <c r="I47" s="33"/>
      <c r="J47" s="88" t="s">
        <v>116</v>
      </c>
      <c r="K47" s="102"/>
      <c r="L47" s="102"/>
      <c r="M47" s="35" t="s">
        <v>53</v>
      </c>
      <c r="N47" s="102"/>
      <c r="O47" s="22"/>
      <c r="P47" s="7"/>
      <c r="Q47" s="7"/>
      <c r="R47" s="5"/>
      <c r="S47" s="5"/>
      <c r="T47" s="5"/>
      <c r="U47" s="9"/>
      <c r="V47" s="9"/>
      <c r="W47" s="9"/>
    </row>
    <row r="48" spans="1:23" ht="43.5">
      <c r="A48" s="23" t="s">
        <v>137</v>
      </c>
      <c r="B48" s="42"/>
      <c r="C48" s="11"/>
      <c r="D48" s="192"/>
      <c r="E48" s="192"/>
      <c r="F48" s="27"/>
      <c r="G48" s="36" t="s">
        <v>118</v>
      </c>
      <c r="H48" s="86"/>
      <c r="I48" s="33"/>
      <c r="J48" s="101" t="s">
        <v>57</v>
      </c>
      <c r="K48" s="102"/>
      <c r="L48" s="102"/>
      <c r="M48" s="35"/>
      <c r="N48" s="102"/>
      <c r="O48" s="22"/>
      <c r="P48" s="7"/>
      <c r="Q48" s="7"/>
      <c r="R48" s="5"/>
      <c r="S48" s="5"/>
      <c r="T48" s="5"/>
      <c r="U48" s="9"/>
      <c r="V48" s="9"/>
      <c r="W48" s="9"/>
    </row>
    <row r="49" spans="1:23" ht="29.25">
      <c r="A49" s="23" t="s">
        <v>138</v>
      </c>
      <c r="B49" s="42"/>
      <c r="C49" s="11"/>
      <c r="D49" s="192"/>
      <c r="E49" s="192"/>
      <c r="F49" s="27"/>
      <c r="G49" s="27" t="s">
        <v>120</v>
      </c>
      <c r="H49" s="86"/>
      <c r="I49" s="33"/>
      <c r="J49" s="100" t="s">
        <v>52</v>
      </c>
      <c r="K49" s="102"/>
      <c r="L49" s="102"/>
      <c r="M49" s="35"/>
      <c r="N49" s="102"/>
      <c r="O49" s="22"/>
      <c r="P49" s="7"/>
      <c r="Q49" s="7"/>
      <c r="R49" s="5"/>
      <c r="S49" s="5"/>
      <c r="T49" s="5"/>
      <c r="U49" s="9"/>
      <c r="V49" s="9"/>
      <c r="W49" s="9"/>
    </row>
    <row r="50" spans="1:23" ht="15.75">
      <c r="A50" s="23" t="s">
        <v>139</v>
      </c>
      <c r="B50" s="42"/>
      <c r="C50" s="11"/>
      <c r="D50" s="192"/>
      <c r="E50" s="193"/>
      <c r="F50" s="27"/>
      <c r="G50" s="28" t="s">
        <v>122</v>
      </c>
      <c r="H50" s="86"/>
      <c r="I50" s="33"/>
      <c r="J50" s="111"/>
      <c r="K50" s="102"/>
      <c r="L50" s="102"/>
      <c r="M50" s="35"/>
      <c r="N50" s="102"/>
      <c r="O50" s="22"/>
      <c r="P50" s="7"/>
      <c r="Q50" s="7"/>
      <c r="R50" s="5"/>
      <c r="S50" s="5"/>
      <c r="T50" s="5"/>
      <c r="U50" s="9"/>
      <c r="V50" s="9"/>
      <c r="W50" s="9"/>
    </row>
    <row r="51" spans="1:23" ht="43.5">
      <c r="A51" s="23" t="s">
        <v>140</v>
      </c>
      <c r="B51" s="42"/>
      <c r="C51" s="11"/>
      <c r="D51" s="192"/>
      <c r="E51" s="191" t="s">
        <v>141</v>
      </c>
      <c r="F51" s="112"/>
      <c r="G51" s="36" t="s">
        <v>71</v>
      </c>
      <c r="H51" s="15"/>
      <c r="I51" s="15"/>
      <c r="J51" s="88" t="s">
        <v>57</v>
      </c>
      <c r="K51" s="105"/>
      <c r="L51" s="102"/>
      <c r="M51" s="35" t="s">
        <v>53</v>
      </c>
      <c r="N51" s="102"/>
      <c r="O51" s="22"/>
      <c r="P51" s="7"/>
      <c r="Q51" s="7"/>
      <c r="R51" s="5"/>
      <c r="S51" s="5"/>
      <c r="T51" s="5"/>
      <c r="U51" s="9"/>
      <c r="V51" s="9"/>
      <c r="W51" s="9"/>
    </row>
    <row r="52" spans="1:23" ht="29.25">
      <c r="A52" s="23" t="s">
        <v>142</v>
      </c>
      <c r="B52" s="42"/>
      <c r="C52" s="11"/>
      <c r="D52" s="192"/>
      <c r="E52" s="192"/>
      <c r="F52" s="112"/>
      <c r="G52" s="27" t="s">
        <v>113</v>
      </c>
      <c r="H52" s="15"/>
      <c r="I52" s="15"/>
      <c r="J52" s="87" t="s">
        <v>52</v>
      </c>
      <c r="K52" s="105"/>
      <c r="L52" s="102"/>
      <c r="M52" s="35" t="s">
        <v>53</v>
      </c>
      <c r="N52" s="102"/>
      <c r="O52" s="22"/>
      <c r="P52" s="7"/>
      <c r="Q52" s="7"/>
      <c r="R52" s="5"/>
      <c r="S52" s="5"/>
      <c r="T52" s="5"/>
      <c r="U52" s="9"/>
      <c r="V52" s="9"/>
      <c r="W52" s="9"/>
    </row>
    <row r="53" spans="1:23" ht="15.75">
      <c r="A53" s="23" t="s">
        <v>143</v>
      </c>
      <c r="B53" s="42"/>
      <c r="C53" s="11"/>
      <c r="D53" s="192"/>
      <c r="E53" s="192"/>
      <c r="F53" s="112"/>
      <c r="G53" s="8" t="s">
        <v>115</v>
      </c>
      <c r="H53" s="90"/>
      <c r="I53" s="15"/>
      <c r="J53" s="88" t="s">
        <v>116</v>
      </c>
      <c r="K53" s="105"/>
      <c r="L53" s="102"/>
      <c r="M53" s="35" t="s">
        <v>53</v>
      </c>
      <c r="N53" s="102"/>
      <c r="O53" s="22"/>
      <c r="P53" s="7"/>
      <c r="Q53" s="7"/>
      <c r="R53" s="5"/>
      <c r="S53" s="5"/>
      <c r="T53" s="5"/>
      <c r="U53" s="9"/>
      <c r="V53" s="9"/>
      <c r="W53" s="9"/>
    </row>
    <row r="54" spans="1:23" ht="43.5">
      <c r="A54" s="23" t="s">
        <v>144</v>
      </c>
      <c r="B54" s="42"/>
      <c r="C54" s="11"/>
      <c r="D54" s="192"/>
      <c r="E54" s="192"/>
      <c r="F54" s="112"/>
      <c r="G54" s="36" t="s">
        <v>118</v>
      </c>
      <c r="H54" s="90"/>
      <c r="I54" s="15"/>
      <c r="J54" s="88" t="s">
        <v>57</v>
      </c>
      <c r="K54" s="105"/>
      <c r="L54" s="102"/>
      <c r="M54" s="35"/>
      <c r="N54" s="102"/>
      <c r="O54" s="22"/>
      <c r="P54" s="7"/>
      <c r="Q54" s="7"/>
      <c r="R54" s="5"/>
      <c r="S54" s="5"/>
      <c r="T54" s="5"/>
      <c r="U54" s="9"/>
      <c r="V54" s="9"/>
      <c r="W54" s="9"/>
    </row>
    <row r="55" spans="1:23" ht="29.25">
      <c r="A55" s="23" t="s">
        <v>145</v>
      </c>
      <c r="B55" s="42"/>
      <c r="C55" s="11"/>
      <c r="D55" s="192"/>
      <c r="E55" s="192"/>
      <c r="F55" s="112"/>
      <c r="G55" s="27" t="s">
        <v>120</v>
      </c>
      <c r="H55" s="90"/>
      <c r="I55" s="15"/>
      <c r="J55" s="87" t="s">
        <v>52</v>
      </c>
      <c r="K55" s="105"/>
      <c r="L55" s="102"/>
      <c r="M55" s="35"/>
      <c r="N55" s="102"/>
      <c r="O55" s="22"/>
      <c r="P55" s="7"/>
      <c r="Q55" s="7"/>
      <c r="R55" s="5"/>
      <c r="S55" s="5"/>
      <c r="T55" s="5"/>
      <c r="U55" s="9"/>
      <c r="V55" s="9"/>
      <c r="W55" s="9"/>
    </row>
    <row r="56" spans="1:23" ht="15.75">
      <c r="A56" s="23" t="s">
        <v>146</v>
      </c>
      <c r="B56" s="42"/>
      <c r="C56" s="11"/>
      <c r="D56" s="193"/>
      <c r="E56" s="193"/>
      <c r="F56" s="112"/>
      <c r="G56" s="27" t="s">
        <v>122</v>
      </c>
      <c r="H56" s="90"/>
      <c r="I56" s="15"/>
      <c r="J56" s="87"/>
      <c r="K56" s="105"/>
      <c r="L56" s="102"/>
      <c r="M56" s="35"/>
      <c r="N56" s="102"/>
      <c r="O56" s="22"/>
      <c r="P56" s="7"/>
      <c r="Q56" s="7"/>
      <c r="R56" s="5"/>
      <c r="S56" s="5"/>
      <c r="T56" s="5"/>
      <c r="U56" s="9"/>
      <c r="V56" s="9"/>
      <c r="W56" s="9"/>
    </row>
    <row r="57" spans="1:23" ht="43.5" customHeight="1">
      <c r="A57" s="23" t="s">
        <v>147</v>
      </c>
      <c r="B57" s="69"/>
      <c r="C57" s="11"/>
      <c r="D57" s="203" t="s">
        <v>148</v>
      </c>
      <c r="E57" s="188" t="s">
        <v>149</v>
      </c>
      <c r="F57" s="113"/>
      <c r="G57" s="36" t="s">
        <v>71</v>
      </c>
      <c r="H57" s="90"/>
      <c r="I57" s="15"/>
      <c r="J57" s="116" t="s">
        <v>150</v>
      </c>
      <c r="K57" s="105"/>
      <c r="L57" s="102"/>
      <c r="M57" s="35" t="s">
        <v>53</v>
      </c>
      <c r="N57" s="102"/>
      <c r="O57" s="22"/>
      <c r="P57" s="7"/>
      <c r="Q57" s="7"/>
      <c r="R57" s="5"/>
      <c r="S57" s="5"/>
      <c r="T57" s="5"/>
      <c r="U57" s="9"/>
      <c r="V57" s="9"/>
      <c r="W57" s="9"/>
    </row>
    <row r="58" spans="1:23" ht="15.75">
      <c r="A58" s="23" t="s">
        <v>151</v>
      </c>
      <c r="B58" s="69"/>
      <c r="C58" s="11"/>
      <c r="D58" s="203"/>
      <c r="E58" s="189"/>
      <c r="F58" s="27"/>
      <c r="G58" s="27" t="s">
        <v>113</v>
      </c>
      <c r="H58" s="114"/>
      <c r="I58" s="107"/>
      <c r="J58" s="117" t="s">
        <v>152</v>
      </c>
      <c r="K58" s="102"/>
      <c r="L58" s="102"/>
      <c r="M58" s="35" t="s">
        <v>53</v>
      </c>
      <c r="N58" s="102"/>
      <c r="O58" s="22"/>
      <c r="P58" s="7"/>
      <c r="Q58" s="7"/>
      <c r="R58" s="5"/>
      <c r="S58" s="5"/>
      <c r="T58" s="5"/>
      <c r="U58" s="9"/>
      <c r="V58" s="9"/>
      <c r="W58" s="9"/>
    </row>
    <row r="59" spans="1:23" ht="15.75">
      <c r="A59" s="23" t="s">
        <v>153</v>
      </c>
      <c r="B59" s="69"/>
      <c r="C59" s="11"/>
      <c r="D59" s="203"/>
      <c r="E59" s="189"/>
      <c r="F59" s="27"/>
      <c r="G59" s="8" t="s">
        <v>154</v>
      </c>
      <c r="H59" s="85"/>
      <c r="I59" s="33"/>
      <c r="J59" s="116" t="s">
        <v>155</v>
      </c>
      <c r="K59" s="102"/>
      <c r="L59" s="102"/>
      <c r="M59" s="35" t="s">
        <v>53</v>
      </c>
      <c r="N59" s="102"/>
      <c r="O59" s="22"/>
      <c r="P59" s="7"/>
      <c r="Q59" s="7"/>
      <c r="R59" s="5"/>
      <c r="S59" s="5"/>
      <c r="T59" s="5"/>
      <c r="U59" s="9"/>
      <c r="V59" s="9"/>
      <c r="W59" s="9"/>
    </row>
    <row r="60" spans="1:23" ht="15.75">
      <c r="A60" s="23" t="s">
        <v>156</v>
      </c>
      <c r="B60" s="69"/>
      <c r="C60" s="11"/>
      <c r="D60" s="203"/>
      <c r="E60" s="189"/>
      <c r="F60" s="27"/>
      <c r="G60" s="8" t="s">
        <v>157</v>
      </c>
      <c r="H60" s="85"/>
      <c r="I60" s="33"/>
      <c r="J60" s="116"/>
      <c r="K60" s="102"/>
      <c r="L60" s="102"/>
      <c r="M60" s="35"/>
      <c r="N60" s="102"/>
      <c r="O60" s="22"/>
      <c r="P60" s="7"/>
      <c r="Q60" s="7"/>
      <c r="R60" s="5"/>
      <c r="S60" s="5"/>
      <c r="T60" s="5"/>
      <c r="U60" s="9"/>
      <c r="V60" s="9"/>
      <c r="W60" s="9"/>
    </row>
    <row r="61" spans="1:23" ht="30" customHeight="1">
      <c r="A61" s="23" t="s">
        <v>158</v>
      </c>
      <c r="B61" s="38"/>
      <c r="C61" s="12"/>
      <c r="D61" s="203"/>
      <c r="E61" s="190"/>
      <c r="F61" s="44"/>
      <c r="G61" s="109" t="s">
        <v>87</v>
      </c>
      <c r="H61" s="110"/>
      <c r="I61" s="15"/>
      <c r="J61" s="88"/>
      <c r="K61" s="104"/>
      <c r="L61" s="105"/>
      <c r="M61" s="35"/>
      <c r="N61" s="102"/>
      <c r="O61" s="22"/>
      <c r="P61" s="7"/>
      <c r="Q61" s="7"/>
      <c r="R61" s="5"/>
      <c r="S61" s="5"/>
      <c r="T61" s="5"/>
      <c r="U61" s="9"/>
      <c r="V61" s="9"/>
      <c r="W61" s="9"/>
    </row>
    <row r="62" spans="1:23" ht="43.5">
      <c r="A62" s="23" t="s">
        <v>159</v>
      </c>
      <c r="B62" s="42"/>
      <c r="C62" s="11"/>
      <c r="D62" s="203"/>
      <c r="E62" s="191" t="s">
        <v>160</v>
      </c>
      <c r="F62" s="112"/>
      <c r="G62" s="36" t="s">
        <v>71</v>
      </c>
      <c r="H62" s="15"/>
      <c r="I62" s="15"/>
      <c r="J62" s="88" t="s">
        <v>57</v>
      </c>
      <c r="K62" s="105"/>
      <c r="L62" s="102"/>
      <c r="M62" s="35" t="s">
        <v>53</v>
      </c>
      <c r="N62" s="102"/>
      <c r="O62" s="22"/>
      <c r="P62" s="7"/>
      <c r="Q62" s="7"/>
      <c r="R62" s="5"/>
      <c r="S62" s="5"/>
      <c r="T62" s="5"/>
      <c r="U62" s="9"/>
      <c r="V62" s="9"/>
      <c r="W62" s="9"/>
    </row>
    <row r="63" spans="1:23" ht="29.25">
      <c r="A63" s="23" t="s">
        <v>161</v>
      </c>
      <c r="B63" s="42"/>
      <c r="C63" s="11"/>
      <c r="D63" s="203"/>
      <c r="E63" s="192"/>
      <c r="F63" s="112"/>
      <c r="G63" s="27" t="s">
        <v>113</v>
      </c>
      <c r="H63" s="15"/>
      <c r="I63" s="15"/>
      <c r="J63" s="87" t="s">
        <v>52</v>
      </c>
      <c r="K63" s="105"/>
      <c r="L63" s="102"/>
      <c r="M63" s="35" t="s">
        <v>53</v>
      </c>
      <c r="N63" s="102"/>
      <c r="O63" s="22"/>
      <c r="P63" s="7"/>
      <c r="Q63" s="7"/>
      <c r="R63" s="5"/>
      <c r="S63" s="5"/>
      <c r="T63" s="5"/>
      <c r="U63" s="9"/>
      <c r="V63" s="9"/>
      <c r="W63" s="9"/>
    </row>
    <row r="64" spans="1:23" ht="15.75">
      <c r="A64" s="23" t="s">
        <v>162</v>
      </c>
      <c r="B64" s="42"/>
      <c r="C64" s="11"/>
      <c r="D64" s="203"/>
      <c r="E64" s="192"/>
      <c r="F64" s="112"/>
      <c r="G64" s="8" t="s">
        <v>115</v>
      </c>
      <c r="H64" s="90"/>
      <c r="I64" s="15"/>
      <c r="J64" s="88" t="s">
        <v>116</v>
      </c>
      <c r="K64" s="105"/>
      <c r="L64" s="102"/>
      <c r="M64" s="35" t="s">
        <v>53</v>
      </c>
      <c r="N64" s="102"/>
      <c r="O64" s="22"/>
      <c r="P64" s="7"/>
      <c r="Q64" s="7"/>
      <c r="R64" s="5"/>
      <c r="S64" s="5"/>
      <c r="T64" s="5"/>
      <c r="U64" s="9"/>
      <c r="V64" s="9"/>
      <c r="W64" s="9"/>
    </row>
    <row r="65" spans="1:23" ht="43.5">
      <c r="A65" s="23" t="s">
        <v>163</v>
      </c>
      <c r="B65" s="42"/>
      <c r="C65" s="11"/>
      <c r="D65" s="203"/>
      <c r="E65" s="192"/>
      <c r="F65" s="112"/>
      <c r="G65" s="36" t="s">
        <v>118</v>
      </c>
      <c r="H65" s="90"/>
      <c r="I65" s="15"/>
      <c r="J65" s="88" t="s">
        <v>57</v>
      </c>
      <c r="K65" s="105"/>
      <c r="L65" s="102"/>
      <c r="M65" s="35"/>
      <c r="N65" s="102"/>
      <c r="O65" s="22"/>
      <c r="P65" s="7"/>
      <c r="Q65" s="7"/>
      <c r="R65" s="5"/>
      <c r="S65" s="5"/>
      <c r="T65" s="5"/>
      <c r="U65" s="9"/>
      <c r="V65" s="9"/>
      <c r="W65" s="9"/>
    </row>
    <row r="66" spans="1:23" ht="29.25">
      <c r="A66" s="23" t="s">
        <v>164</v>
      </c>
      <c r="B66" s="42"/>
      <c r="C66" s="11"/>
      <c r="D66" s="203"/>
      <c r="E66" s="192"/>
      <c r="F66" s="112"/>
      <c r="G66" s="27" t="s">
        <v>120</v>
      </c>
      <c r="H66" s="90"/>
      <c r="I66" s="15"/>
      <c r="J66" s="87" t="s">
        <v>52</v>
      </c>
      <c r="K66" s="105"/>
      <c r="L66" s="102"/>
      <c r="M66" s="35"/>
      <c r="N66" s="102"/>
      <c r="O66" s="22"/>
      <c r="P66" s="7"/>
      <c r="Q66" s="7"/>
      <c r="R66" s="5"/>
      <c r="S66" s="5"/>
      <c r="T66" s="5"/>
      <c r="U66" s="9"/>
      <c r="V66" s="9"/>
      <c r="W66" s="9"/>
    </row>
    <row r="67" spans="1:23" ht="15.75">
      <c r="A67" s="23" t="s">
        <v>165</v>
      </c>
      <c r="B67" s="42"/>
      <c r="C67" s="11"/>
      <c r="D67" s="203"/>
      <c r="E67" s="192"/>
      <c r="F67" s="112"/>
      <c r="G67" s="27" t="s">
        <v>122</v>
      </c>
      <c r="H67" s="90"/>
      <c r="I67" s="15"/>
      <c r="J67" s="87"/>
      <c r="K67" s="105"/>
      <c r="L67" s="102"/>
      <c r="M67" s="35"/>
      <c r="N67" s="102"/>
      <c r="O67" s="22"/>
      <c r="P67" s="7"/>
      <c r="Q67" s="7"/>
      <c r="R67" s="5"/>
      <c r="S67" s="5"/>
      <c r="T67" s="5"/>
      <c r="U67" s="9"/>
      <c r="V67" s="9"/>
      <c r="W67" s="9"/>
    </row>
    <row r="68" spans="1:23" ht="30" customHeight="1">
      <c r="A68" s="23" t="s">
        <v>166</v>
      </c>
      <c r="B68" s="38"/>
      <c r="C68" s="12"/>
      <c r="D68" s="203"/>
      <c r="E68" s="193"/>
      <c r="F68" s="44"/>
      <c r="G68" s="109" t="s">
        <v>87</v>
      </c>
      <c r="H68" s="110"/>
      <c r="I68" s="15"/>
      <c r="J68" s="88"/>
      <c r="K68" s="104"/>
      <c r="L68" s="105"/>
      <c r="M68" s="35"/>
      <c r="N68" s="102"/>
      <c r="O68" s="22"/>
      <c r="P68" s="7"/>
      <c r="Q68" s="7"/>
      <c r="R68" s="5"/>
      <c r="S68" s="5"/>
      <c r="T68" s="5"/>
      <c r="U68" s="9"/>
      <c r="V68" s="9"/>
      <c r="W68" s="9"/>
    </row>
    <row r="69" spans="1:23" ht="43.5" customHeight="1">
      <c r="A69" s="23" t="s">
        <v>167</v>
      </c>
      <c r="B69" s="69"/>
      <c r="C69" s="11"/>
      <c r="D69" s="188" t="s">
        <v>168</v>
      </c>
      <c r="E69" s="203" t="s">
        <v>169</v>
      </c>
      <c r="F69" s="27"/>
      <c r="G69" s="8" t="s">
        <v>170</v>
      </c>
      <c r="H69" s="85"/>
      <c r="I69" s="33"/>
      <c r="J69" s="116" t="s">
        <v>150</v>
      </c>
      <c r="K69" s="102"/>
      <c r="L69" s="102"/>
      <c r="M69" s="35" t="s">
        <v>53</v>
      </c>
      <c r="N69" s="102"/>
      <c r="O69" s="22"/>
      <c r="P69" s="7"/>
      <c r="Q69" s="7"/>
      <c r="R69" s="5"/>
      <c r="S69" s="5"/>
      <c r="T69" s="5"/>
      <c r="U69" s="9"/>
      <c r="V69" s="9"/>
      <c r="W69" s="9"/>
    </row>
    <row r="70" spans="1:23" ht="15.75">
      <c r="A70" s="23" t="s">
        <v>171</v>
      </c>
      <c r="B70" s="69"/>
      <c r="C70" s="11"/>
      <c r="D70" s="189"/>
      <c r="E70" s="203"/>
      <c r="F70" s="27"/>
      <c r="G70" s="8" t="s">
        <v>172</v>
      </c>
      <c r="H70" s="85"/>
      <c r="I70" s="33"/>
      <c r="J70" s="116" t="s">
        <v>152</v>
      </c>
      <c r="K70" s="102"/>
      <c r="L70" s="102"/>
      <c r="M70" s="35" t="s">
        <v>53</v>
      </c>
      <c r="N70" s="102"/>
      <c r="O70" s="22"/>
      <c r="P70" s="7"/>
      <c r="Q70" s="7"/>
      <c r="R70" s="5"/>
      <c r="S70" s="5"/>
      <c r="T70" s="5"/>
      <c r="U70" s="9"/>
      <c r="V70" s="9"/>
      <c r="W70" s="9"/>
    </row>
    <row r="71" spans="1:23" ht="15.75">
      <c r="A71" s="23" t="s">
        <v>173</v>
      </c>
      <c r="B71" s="69"/>
      <c r="C71" s="11"/>
      <c r="D71" s="189"/>
      <c r="E71" s="203" t="s">
        <v>174</v>
      </c>
      <c r="F71" s="27"/>
      <c r="G71" s="8" t="s">
        <v>170</v>
      </c>
      <c r="H71" s="85"/>
      <c r="I71" s="33"/>
      <c r="J71" s="116" t="s">
        <v>150</v>
      </c>
      <c r="K71" s="102"/>
      <c r="L71" s="102"/>
      <c r="M71" s="35" t="s">
        <v>53</v>
      </c>
      <c r="N71" s="102"/>
      <c r="O71" s="22"/>
      <c r="P71" s="7"/>
      <c r="Q71" s="7"/>
      <c r="R71" s="5"/>
      <c r="S71" s="5"/>
      <c r="T71" s="5"/>
      <c r="U71" s="9"/>
      <c r="V71" s="9"/>
      <c r="W71" s="9"/>
    </row>
    <row r="72" spans="1:23" ht="15.75">
      <c r="A72" s="23" t="s">
        <v>175</v>
      </c>
      <c r="B72" s="69"/>
      <c r="C72" s="11"/>
      <c r="D72" s="189"/>
      <c r="E72" s="203"/>
      <c r="F72" s="27"/>
      <c r="G72" s="8" t="s">
        <v>172</v>
      </c>
      <c r="H72" s="85"/>
      <c r="I72" s="33"/>
      <c r="J72" s="116" t="s">
        <v>152</v>
      </c>
      <c r="K72" s="102"/>
      <c r="L72" s="102"/>
      <c r="M72" s="35" t="s">
        <v>53</v>
      </c>
      <c r="N72" s="102"/>
      <c r="O72" s="22"/>
      <c r="P72" s="7"/>
      <c r="Q72" s="7"/>
      <c r="R72" s="5"/>
      <c r="S72" s="5"/>
      <c r="T72" s="5"/>
      <c r="U72" s="9"/>
      <c r="V72" s="9"/>
      <c r="W72" s="9"/>
    </row>
    <row r="73" spans="1:23" ht="15.75">
      <c r="A73" s="23" t="s">
        <v>176</v>
      </c>
      <c r="B73" s="69"/>
      <c r="C73" s="11"/>
      <c r="D73" s="189"/>
      <c r="E73" s="203" t="s">
        <v>177</v>
      </c>
      <c r="F73" s="27"/>
      <c r="G73" s="8" t="s">
        <v>170</v>
      </c>
      <c r="H73" s="85"/>
      <c r="I73" s="33"/>
      <c r="J73" s="116" t="s">
        <v>150</v>
      </c>
      <c r="K73" s="102"/>
      <c r="L73" s="102"/>
      <c r="M73" s="35" t="s">
        <v>53</v>
      </c>
      <c r="N73" s="102"/>
      <c r="O73" s="22"/>
      <c r="P73" s="7"/>
      <c r="Q73" s="7"/>
      <c r="R73" s="5"/>
      <c r="S73" s="5"/>
      <c r="T73" s="5"/>
      <c r="U73" s="9"/>
      <c r="V73" s="9"/>
      <c r="W73" s="9"/>
    </row>
    <row r="74" spans="1:23" ht="15.75">
      <c r="A74" s="23" t="s">
        <v>178</v>
      </c>
      <c r="B74" s="69"/>
      <c r="C74" s="11"/>
      <c r="D74" s="189"/>
      <c r="E74" s="203"/>
      <c r="F74" s="27"/>
      <c r="G74" s="8" t="s">
        <v>172</v>
      </c>
      <c r="H74" s="85"/>
      <c r="I74" s="33"/>
      <c r="J74" s="116" t="s">
        <v>152</v>
      </c>
      <c r="K74" s="102"/>
      <c r="L74" s="102"/>
      <c r="M74" s="35" t="s">
        <v>53</v>
      </c>
      <c r="N74" s="102"/>
      <c r="O74" s="22"/>
      <c r="P74" s="7"/>
      <c r="Q74" s="7"/>
      <c r="R74" s="5"/>
      <c r="S74" s="5"/>
      <c r="T74" s="5"/>
      <c r="U74" s="9"/>
      <c r="V74" s="9"/>
      <c r="W74" s="9"/>
    </row>
    <row r="75" spans="1:23" ht="15.75">
      <c r="A75" s="23" t="s">
        <v>179</v>
      </c>
      <c r="B75" s="69"/>
      <c r="C75" s="11"/>
      <c r="D75" s="189"/>
      <c r="E75" s="203" t="s">
        <v>49</v>
      </c>
      <c r="F75" s="27"/>
      <c r="G75" s="8" t="s">
        <v>170</v>
      </c>
      <c r="H75" s="85"/>
      <c r="I75" s="33"/>
      <c r="J75" s="116" t="s">
        <v>150</v>
      </c>
      <c r="K75" s="102"/>
      <c r="L75" s="102"/>
      <c r="M75" s="35" t="s">
        <v>53</v>
      </c>
      <c r="N75" s="102"/>
      <c r="O75" s="22"/>
      <c r="P75" s="7"/>
      <c r="Q75" s="7"/>
      <c r="R75" s="5"/>
      <c r="S75" s="5"/>
      <c r="T75" s="5"/>
      <c r="U75" s="9"/>
      <c r="V75" s="9"/>
      <c r="W75" s="9"/>
    </row>
    <row r="76" spans="1:23" ht="15.75">
      <c r="A76" s="23" t="s">
        <v>180</v>
      </c>
      <c r="B76" s="69"/>
      <c r="C76" s="11"/>
      <c r="D76" s="189"/>
      <c r="E76" s="203"/>
      <c r="F76" s="27"/>
      <c r="G76" s="8" t="s">
        <v>172</v>
      </c>
      <c r="H76" s="85"/>
      <c r="I76" s="33"/>
      <c r="J76" s="116" t="s">
        <v>152</v>
      </c>
      <c r="K76" s="102"/>
      <c r="L76" s="102"/>
      <c r="M76" s="35" t="s">
        <v>53</v>
      </c>
      <c r="N76" s="102"/>
      <c r="O76" s="22"/>
      <c r="P76" s="7"/>
      <c r="Q76" s="7"/>
      <c r="R76" s="5"/>
      <c r="S76" s="5"/>
      <c r="T76" s="5"/>
      <c r="U76" s="9"/>
      <c r="V76" s="9"/>
      <c r="W76" s="9"/>
    </row>
    <row r="77" spans="1:23" ht="43.5">
      <c r="A77" s="23" t="s">
        <v>181</v>
      </c>
      <c r="B77" s="118"/>
      <c r="C77" s="119"/>
      <c r="D77" s="203" t="s">
        <v>182</v>
      </c>
      <c r="E77" s="233" t="s">
        <v>183</v>
      </c>
      <c r="F77" s="27"/>
      <c r="G77" s="120" t="s">
        <v>71</v>
      </c>
      <c r="H77" s="121"/>
      <c r="I77" s="122"/>
      <c r="J77" s="123" t="s">
        <v>57</v>
      </c>
      <c r="K77" s="102"/>
      <c r="L77" s="102"/>
      <c r="M77" s="65" t="s">
        <v>53</v>
      </c>
      <c r="N77" s="102"/>
      <c r="O77" s="124"/>
      <c r="P77" s="94"/>
      <c r="Q77" s="67" t="s">
        <v>54</v>
      </c>
      <c r="R77" s="125"/>
      <c r="S77" s="125"/>
      <c r="T77" s="125"/>
      <c r="U77" s="126"/>
      <c r="V77" s="126"/>
      <c r="W77" s="126"/>
    </row>
    <row r="78" spans="1:23" ht="15.75" customHeight="1">
      <c r="A78" s="23" t="s">
        <v>184</v>
      </c>
      <c r="B78" s="118"/>
      <c r="C78" s="119"/>
      <c r="D78" s="203"/>
      <c r="E78" s="234"/>
      <c r="F78" s="27"/>
      <c r="G78" s="27" t="s">
        <v>73</v>
      </c>
      <c r="H78" s="121"/>
      <c r="I78" s="122"/>
      <c r="J78" s="127" t="s">
        <v>52</v>
      </c>
      <c r="K78" s="102"/>
      <c r="L78" s="102"/>
      <c r="M78" s="65" t="s">
        <v>53</v>
      </c>
      <c r="N78" s="102"/>
      <c r="O78" s="124"/>
      <c r="P78" s="94"/>
      <c r="Q78" s="67" t="s">
        <v>54</v>
      </c>
      <c r="R78" s="125"/>
      <c r="S78" s="125"/>
      <c r="T78" s="125"/>
      <c r="U78" s="126"/>
      <c r="V78" s="126"/>
      <c r="W78" s="126"/>
    </row>
    <row r="79" spans="1:23" ht="15.75">
      <c r="A79" s="23" t="s">
        <v>185</v>
      </c>
      <c r="B79" s="118"/>
      <c r="C79" s="128"/>
      <c r="D79" s="203"/>
      <c r="E79" s="234"/>
      <c r="F79" s="27"/>
      <c r="G79" s="21" t="s">
        <v>186</v>
      </c>
      <c r="H79" s="121"/>
      <c r="I79" s="122"/>
      <c r="J79" s="129" t="s">
        <v>65</v>
      </c>
      <c r="K79" s="106"/>
      <c r="L79" s="102"/>
      <c r="M79" s="65" t="s">
        <v>53</v>
      </c>
      <c r="N79" s="102"/>
      <c r="O79" s="124"/>
      <c r="P79" s="94"/>
      <c r="Q79" s="67" t="s">
        <v>54</v>
      </c>
      <c r="R79" s="125"/>
      <c r="S79" s="125"/>
      <c r="T79" s="125"/>
      <c r="U79" s="126"/>
      <c r="V79" s="126"/>
      <c r="W79" s="126"/>
    </row>
    <row r="80" spans="1:23" ht="15.75">
      <c r="A80" s="23" t="s">
        <v>187</v>
      </c>
      <c r="B80" s="118"/>
      <c r="C80" s="128"/>
      <c r="D80" s="203"/>
      <c r="E80" s="234"/>
      <c r="F80" s="28"/>
      <c r="G80" s="28" t="s">
        <v>51</v>
      </c>
      <c r="H80" s="130"/>
      <c r="I80" s="131"/>
      <c r="J80" s="132" t="s">
        <v>78</v>
      </c>
      <c r="K80" s="104"/>
      <c r="L80" s="105"/>
      <c r="M80" s="65" t="s">
        <v>53</v>
      </c>
      <c r="N80" s="102"/>
      <c r="O80" s="124"/>
      <c r="P80" s="94"/>
      <c r="Q80" s="67" t="s">
        <v>54</v>
      </c>
      <c r="R80" s="125"/>
      <c r="S80" s="125"/>
      <c r="T80" s="125"/>
      <c r="U80" s="126"/>
      <c r="V80" s="126"/>
      <c r="W80" s="126"/>
    </row>
    <row r="81" spans="1:23" ht="15.75" customHeight="1">
      <c r="A81" s="23" t="s">
        <v>188</v>
      </c>
      <c r="B81" s="118"/>
      <c r="C81" s="128"/>
      <c r="D81" s="203"/>
      <c r="E81" s="234"/>
      <c r="F81" s="27"/>
      <c r="G81" s="120" t="s">
        <v>56</v>
      </c>
      <c r="H81" s="121"/>
      <c r="I81" s="131"/>
      <c r="J81" s="132" t="s">
        <v>68</v>
      </c>
      <c r="K81" s="104"/>
      <c r="L81" s="105"/>
      <c r="M81" s="65" t="s">
        <v>53</v>
      </c>
      <c r="N81" s="102"/>
      <c r="O81" s="124"/>
      <c r="P81" s="94"/>
      <c r="Q81" s="67" t="s">
        <v>54</v>
      </c>
      <c r="R81" s="125"/>
      <c r="S81" s="125"/>
      <c r="T81" s="125"/>
      <c r="U81" s="126"/>
      <c r="V81" s="126"/>
      <c r="W81" s="126"/>
    </row>
    <row r="82" spans="1:23" ht="15.75" customHeight="1">
      <c r="A82" s="23" t="s">
        <v>189</v>
      </c>
      <c r="B82" s="118"/>
      <c r="C82" s="128"/>
      <c r="D82" s="203"/>
      <c r="E82" s="234"/>
      <c r="F82" s="27"/>
      <c r="G82" s="133" t="s">
        <v>107</v>
      </c>
      <c r="H82" s="121"/>
      <c r="I82" s="131"/>
      <c r="J82" s="132"/>
      <c r="K82" s="104"/>
      <c r="L82" s="105"/>
      <c r="M82" s="65"/>
      <c r="N82" s="102"/>
      <c r="O82" s="124"/>
      <c r="P82" s="94"/>
      <c r="Q82" s="67" t="s">
        <v>54</v>
      </c>
      <c r="R82" s="125"/>
      <c r="S82" s="125"/>
      <c r="T82" s="125"/>
      <c r="U82" s="126"/>
      <c r="V82" s="126"/>
      <c r="W82" s="126"/>
    </row>
    <row r="83" spans="1:23" ht="15.75" customHeight="1">
      <c r="A83" s="23" t="s">
        <v>190</v>
      </c>
      <c r="B83" s="118"/>
      <c r="C83" s="128"/>
      <c r="D83" s="203"/>
      <c r="E83" s="190"/>
      <c r="F83" s="44"/>
      <c r="G83" s="134" t="s">
        <v>87</v>
      </c>
      <c r="H83" s="135"/>
      <c r="I83" s="121"/>
      <c r="J83" s="132"/>
      <c r="K83" s="104"/>
      <c r="L83" s="105"/>
      <c r="M83" s="65"/>
      <c r="N83" s="102"/>
      <c r="O83" s="124"/>
      <c r="P83" s="94"/>
      <c r="Q83" s="67" t="s">
        <v>54</v>
      </c>
      <c r="R83" s="125"/>
      <c r="S83" s="125"/>
      <c r="T83" s="125"/>
      <c r="U83" s="126"/>
      <c r="V83" s="126"/>
      <c r="W83" s="126"/>
    </row>
    <row r="84" spans="1:23" ht="43.5">
      <c r="A84" s="23" t="s">
        <v>191</v>
      </c>
      <c r="B84" s="118"/>
      <c r="C84" s="119"/>
      <c r="D84" s="203"/>
      <c r="E84" s="233" t="s">
        <v>192</v>
      </c>
      <c r="F84" s="27"/>
      <c r="G84" s="120" t="s">
        <v>71</v>
      </c>
      <c r="H84" s="121"/>
      <c r="I84" s="122"/>
      <c r="J84" s="123" t="s">
        <v>57</v>
      </c>
      <c r="K84" s="102"/>
      <c r="L84" s="102"/>
      <c r="M84" s="65" t="s">
        <v>53</v>
      </c>
      <c r="N84" s="102"/>
      <c r="O84" s="124"/>
      <c r="P84" s="94"/>
      <c r="Q84" s="67" t="s">
        <v>54</v>
      </c>
      <c r="R84" s="125"/>
      <c r="S84" s="125"/>
      <c r="T84" s="125"/>
      <c r="U84" s="126"/>
      <c r="V84" s="126"/>
      <c r="W84" s="126"/>
    </row>
    <row r="85" spans="1:23" ht="15.75" customHeight="1">
      <c r="A85" s="23" t="s">
        <v>193</v>
      </c>
      <c r="B85" s="118"/>
      <c r="C85" s="119"/>
      <c r="D85" s="203"/>
      <c r="E85" s="234"/>
      <c r="F85" s="27"/>
      <c r="G85" s="27" t="s">
        <v>73</v>
      </c>
      <c r="H85" s="121"/>
      <c r="I85" s="122"/>
      <c r="J85" s="127" t="s">
        <v>52</v>
      </c>
      <c r="K85" s="102"/>
      <c r="L85" s="102"/>
      <c r="M85" s="65" t="s">
        <v>53</v>
      </c>
      <c r="N85" s="102"/>
      <c r="O85" s="124"/>
      <c r="P85" s="94"/>
      <c r="Q85" s="67" t="s">
        <v>54</v>
      </c>
      <c r="R85" s="125"/>
      <c r="S85" s="125"/>
      <c r="T85" s="125"/>
      <c r="U85" s="126"/>
      <c r="V85" s="126"/>
      <c r="W85" s="126"/>
    </row>
    <row r="86" spans="1:23" ht="15.75">
      <c r="A86" s="23" t="s">
        <v>194</v>
      </c>
      <c r="B86" s="118"/>
      <c r="C86" s="128"/>
      <c r="D86" s="203"/>
      <c r="E86" s="234"/>
      <c r="F86" s="27"/>
      <c r="G86" s="21" t="s">
        <v>186</v>
      </c>
      <c r="H86" s="121"/>
      <c r="I86" s="122"/>
      <c r="J86" s="129" t="s">
        <v>65</v>
      </c>
      <c r="K86" s="106"/>
      <c r="L86" s="102"/>
      <c r="M86" s="65" t="s">
        <v>53</v>
      </c>
      <c r="N86" s="102"/>
      <c r="O86" s="124"/>
      <c r="P86" s="94"/>
      <c r="Q86" s="67" t="s">
        <v>54</v>
      </c>
      <c r="R86" s="125"/>
      <c r="S86" s="125"/>
      <c r="T86" s="125"/>
      <c r="U86" s="126"/>
      <c r="V86" s="126"/>
      <c r="W86" s="126"/>
    </row>
    <row r="87" spans="1:23" ht="15.75">
      <c r="A87" s="23" t="s">
        <v>195</v>
      </c>
      <c r="B87" s="118"/>
      <c r="C87" s="128"/>
      <c r="D87" s="203"/>
      <c r="E87" s="234"/>
      <c r="F87" s="28"/>
      <c r="G87" s="28" t="s">
        <v>51</v>
      </c>
      <c r="H87" s="130"/>
      <c r="I87" s="131"/>
      <c r="J87" s="132" t="s">
        <v>78</v>
      </c>
      <c r="K87" s="104"/>
      <c r="L87" s="105"/>
      <c r="M87" s="65" t="s">
        <v>53</v>
      </c>
      <c r="N87" s="102"/>
      <c r="O87" s="124"/>
      <c r="P87" s="94"/>
      <c r="Q87" s="67" t="s">
        <v>54</v>
      </c>
      <c r="R87" s="125"/>
      <c r="S87" s="125"/>
      <c r="T87" s="125"/>
      <c r="U87" s="126"/>
      <c r="V87" s="126"/>
      <c r="W87" s="126"/>
    </row>
    <row r="88" spans="1:23" ht="15.75" customHeight="1">
      <c r="A88" s="23" t="s">
        <v>196</v>
      </c>
      <c r="B88" s="118"/>
      <c r="C88" s="128"/>
      <c r="D88" s="203"/>
      <c r="E88" s="234"/>
      <c r="F88" s="27"/>
      <c r="G88" s="120" t="s">
        <v>56</v>
      </c>
      <c r="H88" s="121"/>
      <c r="I88" s="131"/>
      <c r="J88" s="132" t="s">
        <v>68</v>
      </c>
      <c r="K88" s="104"/>
      <c r="L88" s="105"/>
      <c r="M88" s="65" t="s">
        <v>53</v>
      </c>
      <c r="N88" s="102"/>
      <c r="O88" s="124"/>
      <c r="P88" s="94"/>
      <c r="Q88" s="67" t="s">
        <v>54</v>
      </c>
      <c r="R88" s="125"/>
      <c r="S88" s="125"/>
      <c r="T88" s="125"/>
      <c r="U88" s="126"/>
      <c r="V88" s="126"/>
      <c r="W88" s="126"/>
    </row>
    <row r="89" spans="1:23" ht="15.75" customHeight="1">
      <c r="A89" s="23" t="s">
        <v>197</v>
      </c>
      <c r="B89" s="118"/>
      <c r="C89" s="128"/>
      <c r="D89" s="203"/>
      <c r="E89" s="234"/>
      <c r="F89" s="27"/>
      <c r="G89" s="133" t="s">
        <v>107</v>
      </c>
      <c r="H89" s="121"/>
      <c r="I89" s="131"/>
      <c r="J89" s="132"/>
      <c r="K89" s="104"/>
      <c r="L89" s="105"/>
      <c r="M89" s="65"/>
      <c r="N89" s="102"/>
      <c r="O89" s="124"/>
      <c r="P89" s="94"/>
      <c r="Q89" s="67" t="s">
        <v>54</v>
      </c>
      <c r="R89" s="125"/>
      <c r="S89" s="125"/>
      <c r="T89" s="125"/>
      <c r="U89" s="126"/>
      <c r="V89" s="126"/>
      <c r="W89" s="126"/>
    </row>
    <row r="90" spans="1:23" ht="15.75" customHeight="1">
      <c r="A90" s="23" t="s">
        <v>198</v>
      </c>
      <c r="B90" s="118"/>
      <c r="C90" s="128"/>
      <c r="D90" s="203"/>
      <c r="E90" s="190"/>
      <c r="F90" s="44"/>
      <c r="G90" s="134" t="s">
        <v>87</v>
      </c>
      <c r="H90" s="135"/>
      <c r="I90" s="121"/>
      <c r="J90" s="132"/>
      <c r="K90" s="104"/>
      <c r="L90" s="105"/>
      <c r="M90" s="65"/>
      <c r="N90" s="102"/>
      <c r="O90" s="124"/>
      <c r="P90" s="94"/>
      <c r="Q90" s="67" t="s">
        <v>54</v>
      </c>
      <c r="R90" s="125"/>
      <c r="S90" s="125"/>
      <c r="T90" s="125"/>
      <c r="U90" s="126"/>
      <c r="V90" s="126"/>
      <c r="W90" s="126"/>
    </row>
    <row r="91" spans="1:23">
      <c r="A91" s="210" t="s">
        <v>199</v>
      </c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0"/>
      <c r="O91" s="210"/>
      <c r="P91" s="210"/>
      <c r="Q91" s="210"/>
      <c r="R91" s="103">
        <f>COUNTIF($N92:N178,"PASS")</f>
        <v>0</v>
      </c>
      <c r="S91" s="103">
        <f>COUNTIF($N92:N178,"FAIL")</f>
        <v>0</v>
      </c>
      <c r="T91" s="103">
        <f>COUNTBLANK(N92:N178)</f>
        <v>87</v>
      </c>
      <c r="U91" s="103">
        <f>COUNTIF($N92:N178,"IN PROGRESS")</f>
        <v>0</v>
      </c>
      <c r="V91" s="103">
        <f>COUNTIF($N92:N178,"BLOCKED")</f>
        <v>0</v>
      </c>
    </row>
    <row r="92" spans="1:23" ht="75" customHeight="1">
      <c r="A92" s="23" t="s">
        <v>200</v>
      </c>
      <c r="B92" s="42"/>
      <c r="C92" s="11"/>
      <c r="D92" s="188" t="s">
        <v>49</v>
      </c>
      <c r="E92" s="188" t="s">
        <v>50</v>
      </c>
      <c r="F92" s="39"/>
      <c r="G92" s="27" t="s">
        <v>51</v>
      </c>
      <c r="H92" s="33"/>
      <c r="I92" s="33"/>
      <c r="J92" s="127" t="s">
        <v>52</v>
      </c>
      <c r="K92" s="65" t="s">
        <v>53</v>
      </c>
      <c r="L92" s="102"/>
      <c r="N92" s="102"/>
      <c r="O92" s="22"/>
      <c r="P92" s="7"/>
      <c r="Q92" s="67"/>
      <c r="R92" s="5"/>
      <c r="S92" s="5"/>
      <c r="T92" s="5"/>
      <c r="U92" s="9"/>
      <c r="V92" s="9"/>
      <c r="W92" s="9"/>
    </row>
    <row r="93" spans="1:23" ht="30" customHeight="1">
      <c r="A93" s="23" t="s">
        <v>201</v>
      </c>
      <c r="B93" s="42"/>
      <c r="C93" s="11"/>
      <c r="D93" s="189"/>
      <c r="E93" s="189"/>
      <c r="F93" s="40"/>
      <c r="G93" s="137" t="s">
        <v>56</v>
      </c>
      <c r="H93" s="33"/>
      <c r="I93" s="33"/>
      <c r="J93" s="123" t="s">
        <v>57</v>
      </c>
      <c r="K93" s="65" t="s">
        <v>53</v>
      </c>
      <c r="L93" s="102"/>
      <c r="N93" s="102"/>
      <c r="O93" s="22"/>
      <c r="P93" s="7"/>
      <c r="Q93" s="67"/>
      <c r="R93" s="5"/>
      <c r="S93" s="5"/>
      <c r="T93" s="5"/>
      <c r="U93" s="9"/>
      <c r="V93" s="9"/>
      <c r="W93" s="9"/>
    </row>
    <row r="94" spans="1:23" ht="42.75" customHeight="1">
      <c r="A94" s="23" t="s">
        <v>202</v>
      </c>
      <c r="B94" s="42"/>
      <c r="C94" s="11"/>
      <c r="D94" s="189"/>
      <c r="E94" s="189"/>
      <c r="F94" s="20"/>
      <c r="G94" s="138" t="s">
        <v>59</v>
      </c>
      <c r="H94" s="33"/>
      <c r="I94" s="33"/>
      <c r="J94" s="127" t="s">
        <v>60</v>
      </c>
      <c r="K94" s="65" t="s">
        <v>53</v>
      </c>
      <c r="L94" s="102"/>
      <c r="N94" s="102"/>
      <c r="O94" s="22"/>
      <c r="P94" s="7"/>
      <c r="Q94" s="67"/>
      <c r="R94" s="5"/>
      <c r="S94" s="5"/>
      <c r="T94" s="5"/>
      <c r="U94" s="9"/>
      <c r="V94" s="9"/>
      <c r="W94" s="9"/>
    </row>
    <row r="95" spans="1:23" ht="15.75">
      <c r="A95" s="23" t="s">
        <v>203</v>
      </c>
      <c r="B95" s="42"/>
      <c r="C95" s="11"/>
      <c r="D95" s="189"/>
      <c r="E95" s="189"/>
      <c r="F95" s="39"/>
      <c r="G95" s="138" t="s">
        <v>62</v>
      </c>
      <c r="H95" s="33"/>
      <c r="I95" s="33"/>
      <c r="J95" s="127" t="s">
        <v>60</v>
      </c>
      <c r="K95" s="65" t="s">
        <v>53</v>
      </c>
      <c r="L95" s="102"/>
      <c r="N95" s="102"/>
      <c r="O95" s="22"/>
      <c r="P95" s="7"/>
      <c r="Q95" s="67"/>
      <c r="R95" s="5"/>
      <c r="S95" s="5"/>
      <c r="T95" s="5"/>
      <c r="U95" s="9"/>
      <c r="V95" s="9"/>
      <c r="W95" s="9"/>
    </row>
    <row r="96" spans="1:23" ht="30" customHeight="1">
      <c r="A96" s="23" t="s">
        <v>204</v>
      </c>
      <c r="B96" s="42"/>
      <c r="C96" s="11"/>
      <c r="D96" s="189"/>
      <c r="E96" s="189"/>
      <c r="F96" s="39"/>
      <c r="G96" s="27" t="s">
        <v>64</v>
      </c>
      <c r="H96" s="33"/>
      <c r="I96" s="33"/>
      <c r="J96" s="132" t="s">
        <v>65</v>
      </c>
      <c r="K96" s="65" t="s">
        <v>53</v>
      </c>
      <c r="L96" s="102"/>
      <c r="N96" s="102"/>
      <c r="O96" s="22"/>
      <c r="P96" s="7"/>
      <c r="Q96" s="67"/>
      <c r="R96" s="5"/>
      <c r="S96" s="5"/>
      <c r="T96" s="5"/>
      <c r="U96" s="9"/>
      <c r="V96" s="9"/>
      <c r="W96" s="9"/>
    </row>
    <row r="97" spans="1:23" ht="45" customHeight="1">
      <c r="A97" s="23" t="s">
        <v>205</v>
      </c>
      <c r="B97" s="42"/>
      <c r="C97" s="11"/>
      <c r="D97" s="189"/>
      <c r="E97" s="190"/>
      <c r="F97" s="39"/>
      <c r="G97" s="27" t="s">
        <v>67</v>
      </c>
      <c r="H97" s="33"/>
      <c r="I97" s="33"/>
      <c r="J97" s="132" t="s">
        <v>68</v>
      </c>
      <c r="K97" s="65" t="s">
        <v>53</v>
      </c>
      <c r="L97" s="102"/>
      <c r="N97" s="102"/>
      <c r="O97" s="22"/>
      <c r="P97" s="7"/>
      <c r="Q97" s="67"/>
      <c r="R97" s="5"/>
      <c r="S97" s="5"/>
      <c r="T97" s="5"/>
      <c r="U97" s="9"/>
      <c r="V97" s="9"/>
      <c r="W97" s="9"/>
    </row>
    <row r="98" spans="1:23" ht="32.25" customHeight="1">
      <c r="A98" s="23" t="s">
        <v>206</v>
      </c>
      <c r="B98" s="38"/>
      <c r="C98" s="37"/>
      <c r="D98" s="189"/>
      <c r="E98" s="188" t="s">
        <v>90</v>
      </c>
      <c r="F98" s="28"/>
      <c r="G98" s="137" t="s">
        <v>71</v>
      </c>
      <c r="H98" s="33"/>
      <c r="I98" s="33"/>
      <c r="J98" s="123" t="s">
        <v>57</v>
      </c>
      <c r="K98" s="65" t="s">
        <v>53</v>
      </c>
      <c r="L98" s="102"/>
      <c r="N98" s="102"/>
      <c r="O98" s="22"/>
      <c r="P98" s="7"/>
      <c r="Q98" s="67"/>
      <c r="R98" s="5"/>
      <c r="S98" s="5"/>
      <c r="T98" s="5"/>
      <c r="U98" s="9"/>
      <c r="V98" s="9"/>
      <c r="W98" s="9"/>
    </row>
    <row r="99" spans="1:23" ht="30.75" customHeight="1">
      <c r="A99" s="23" t="s">
        <v>207</v>
      </c>
      <c r="B99" s="38"/>
      <c r="C99" s="37"/>
      <c r="D99" s="189"/>
      <c r="E99" s="189"/>
      <c r="F99" s="28"/>
      <c r="G99" s="27" t="s">
        <v>73</v>
      </c>
      <c r="H99" s="33"/>
      <c r="I99" s="33"/>
      <c r="J99" s="127" t="s">
        <v>52</v>
      </c>
      <c r="K99" s="65" t="s">
        <v>53</v>
      </c>
      <c r="L99" s="102"/>
      <c r="N99" s="102"/>
      <c r="O99" s="22"/>
      <c r="P99" s="7"/>
      <c r="Q99" s="67"/>
      <c r="R99" s="5"/>
      <c r="S99" s="5"/>
      <c r="T99" s="5"/>
      <c r="U99" s="9"/>
      <c r="V99" s="9"/>
      <c r="W99" s="9"/>
    </row>
    <row r="100" spans="1:23" ht="32.25" customHeight="1">
      <c r="A100" s="23" t="s">
        <v>208</v>
      </c>
      <c r="B100" s="38"/>
      <c r="C100" s="12"/>
      <c r="D100" s="189"/>
      <c r="E100" s="189"/>
      <c r="F100" s="28"/>
      <c r="G100" t="s">
        <v>75</v>
      </c>
      <c r="H100" s="33"/>
      <c r="I100" s="33"/>
      <c r="J100" s="129" t="s">
        <v>65</v>
      </c>
      <c r="K100" s="65" t="s">
        <v>53</v>
      </c>
      <c r="L100" s="102"/>
      <c r="N100" s="102"/>
      <c r="O100" s="22"/>
      <c r="P100" s="7"/>
      <c r="Q100" s="67"/>
      <c r="R100" s="5"/>
      <c r="S100" s="5"/>
      <c r="T100" s="5"/>
      <c r="U100" s="9"/>
      <c r="V100" s="9"/>
      <c r="W100" s="9"/>
    </row>
    <row r="101" spans="1:23" ht="26.25" customHeight="1">
      <c r="A101" s="23" t="s">
        <v>209</v>
      </c>
      <c r="B101" s="38"/>
      <c r="C101" s="12"/>
      <c r="D101" s="189"/>
      <c r="E101" s="189"/>
      <c r="F101" s="28"/>
      <c r="G101" s="139" t="s">
        <v>77</v>
      </c>
      <c r="H101" s="121"/>
      <c r="I101" s="121"/>
      <c r="J101" s="132" t="s">
        <v>78</v>
      </c>
      <c r="K101" s="65" t="s">
        <v>53</v>
      </c>
      <c r="L101" s="105"/>
      <c r="N101" s="102"/>
      <c r="O101" s="22"/>
      <c r="P101" s="7"/>
      <c r="Q101" s="67"/>
      <c r="R101" s="5"/>
      <c r="S101" s="5"/>
      <c r="T101" s="5"/>
      <c r="U101" s="9"/>
      <c r="V101" s="9"/>
      <c r="W101" s="9"/>
    </row>
    <row r="102" spans="1:23" ht="30" customHeight="1">
      <c r="A102" s="23" t="s">
        <v>210</v>
      </c>
      <c r="B102" s="38"/>
      <c r="C102" s="12"/>
      <c r="D102" s="189"/>
      <c r="E102" s="189"/>
      <c r="F102" s="28"/>
      <c r="G102" s="139" t="s">
        <v>80</v>
      </c>
      <c r="H102" s="15"/>
      <c r="I102" s="121"/>
      <c r="J102" s="132" t="s">
        <v>68</v>
      </c>
      <c r="K102" s="65" t="s">
        <v>53</v>
      </c>
      <c r="L102" s="105"/>
      <c r="N102" s="102"/>
      <c r="O102" s="22"/>
      <c r="P102" s="7"/>
      <c r="Q102" s="67"/>
      <c r="R102" s="5"/>
      <c r="S102" s="5"/>
      <c r="T102" s="5"/>
      <c r="U102" s="9"/>
      <c r="V102" s="9"/>
      <c r="W102" s="9"/>
    </row>
    <row r="103" spans="1:23" ht="30.75" customHeight="1">
      <c r="A103" s="23" t="s">
        <v>211</v>
      </c>
      <c r="B103" s="38"/>
      <c r="C103" s="12"/>
      <c r="D103" s="234"/>
      <c r="E103" s="189"/>
      <c r="F103" s="39"/>
      <c r="G103" s="139" t="s">
        <v>82</v>
      </c>
      <c r="H103" s="15"/>
      <c r="I103" s="121"/>
      <c r="J103" s="132"/>
      <c r="K103" s="65"/>
      <c r="L103" s="105"/>
      <c r="N103" s="102"/>
      <c r="O103" s="22"/>
      <c r="P103" s="7"/>
      <c r="Q103" s="67"/>
      <c r="R103" s="5"/>
      <c r="S103" s="5"/>
      <c r="T103" s="5"/>
      <c r="U103" s="9"/>
      <c r="V103" s="9"/>
      <c r="W103" s="9"/>
    </row>
    <row r="104" spans="1:23" ht="15.75" customHeight="1">
      <c r="A104" s="23" t="s">
        <v>212</v>
      </c>
      <c r="B104" s="38"/>
      <c r="C104" s="12"/>
      <c r="D104" s="234"/>
      <c r="E104" s="189"/>
      <c r="F104" s="39"/>
      <c r="G104" s="139" t="s">
        <v>64</v>
      </c>
      <c r="H104" s="121"/>
      <c r="I104" s="121"/>
      <c r="J104" s="132"/>
      <c r="K104" s="65"/>
      <c r="L104" s="105"/>
      <c r="N104" s="102"/>
      <c r="O104" s="22"/>
      <c r="P104" s="7"/>
      <c r="Q104" s="67"/>
      <c r="R104" s="5"/>
      <c r="S104" s="5"/>
      <c r="T104" s="5"/>
      <c r="U104" s="9"/>
      <c r="V104" s="9"/>
      <c r="W104" s="9"/>
    </row>
    <row r="105" spans="1:23" ht="15.75" customHeight="1">
      <c r="A105" s="23" t="s">
        <v>213</v>
      </c>
      <c r="B105" s="38"/>
      <c r="C105" s="12"/>
      <c r="D105" s="234"/>
      <c r="E105" s="190"/>
      <c r="F105" s="39"/>
      <c r="G105" s="139" t="s">
        <v>87</v>
      </c>
      <c r="H105" s="121"/>
      <c r="I105" s="121"/>
      <c r="J105" s="132"/>
      <c r="K105" s="65"/>
      <c r="L105" s="105"/>
      <c r="N105" s="102"/>
      <c r="O105" s="22"/>
      <c r="P105" s="7"/>
      <c r="Q105" s="67"/>
      <c r="R105" s="5"/>
      <c r="S105" s="5"/>
      <c r="T105" s="5"/>
      <c r="U105" s="9"/>
      <c r="V105" s="9"/>
      <c r="W105" s="9"/>
    </row>
    <row r="106" spans="1:23" ht="15.75" customHeight="1">
      <c r="A106" s="23" t="s">
        <v>214</v>
      </c>
      <c r="B106" s="38"/>
      <c r="C106" s="119"/>
      <c r="D106" s="234"/>
      <c r="E106" s="188" t="s">
        <v>70</v>
      </c>
      <c r="F106" s="28"/>
      <c r="G106" s="137" t="s">
        <v>71</v>
      </c>
      <c r="H106" s="33"/>
      <c r="I106" s="33"/>
      <c r="J106" s="123" t="s">
        <v>57</v>
      </c>
      <c r="K106" s="65" t="s">
        <v>53</v>
      </c>
      <c r="L106" s="102"/>
      <c r="N106" s="102"/>
      <c r="O106" s="22"/>
      <c r="P106" s="7"/>
      <c r="Q106" s="67"/>
      <c r="R106" s="5"/>
      <c r="S106" s="5"/>
      <c r="T106" s="5"/>
      <c r="U106" s="9"/>
      <c r="V106" s="9"/>
      <c r="W106" s="9"/>
    </row>
    <row r="107" spans="1:23" ht="15.75" customHeight="1">
      <c r="A107" s="23" t="s">
        <v>215</v>
      </c>
      <c r="B107" s="38"/>
      <c r="C107" s="119"/>
      <c r="D107" s="234"/>
      <c r="E107" s="189"/>
      <c r="F107" s="28"/>
      <c r="G107" s="27" t="s">
        <v>73</v>
      </c>
      <c r="H107" s="33"/>
      <c r="I107" s="33"/>
      <c r="J107" s="127" t="s">
        <v>52</v>
      </c>
      <c r="K107" s="65" t="s">
        <v>53</v>
      </c>
      <c r="L107" s="102"/>
      <c r="N107" s="102"/>
      <c r="O107" s="22"/>
      <c r="P107" s="7"/>
      <c r="Q107" s="67"/>
      <c r="R107" s="5"/>
      <c r="S107" s="5"/>
      <c r="T107" s="5"/>
      <c r="U107" s="9"/>
      <c r="V107" s="9"/>
      <c r="W107" s="9"/>
    </row>
    <row r="108" spans="1:23" ht="15.75" customHeight="1">
      <c r="A108" s="23" t="s">
        <v>216</v>
      </c>
      <c r="B108" s="38"/>
      <c r="C108" s="128"/>
      <c r="D108" s="234"/>
      <c r="E108" s="189"/>
      <c r="F108" s="28"/>
      <c r="G108" t="s">
        <v>75</v>
      </c>
      <c r="H108" s="33"/>
      <c r="I108" s="33"/>
      <c r="J108" s="129" t="s">
        <v>65</v>
      </c>
      <c r="K108" s="65" t="s">
        <v>53</v>
      </c>
      <c r="L108" s="102"/>
      <c r="N108" s="102"/>
      <c r="O108" s="22"/>
      <c r="P108" s="7"/>
      <c r="Q108" s="67"/>
      <c r="R108" s="5"/>
      <c r="S108" s="5"/>
      <c r="T108" s="5"/>
      <c r="U108" s="9"/>
      <c r="V108" s="9"/>
      <c r="W108" s="9"/>
    </row>
    <row r="109" spans="1:23" ht="15.75" customHeight="1">
      <c r="A109" s="23" t="s">
        <v>217</v>
      </c>
      <c r="B109" s="38"/>
      <c r="C109" s="128"/>
      <c r="D109" s="234"/>
      <c r="E109" s="189"/>
      <c r="F109" s="28"/>
      <c r="G109" s="139" t="s">
        <v>77</v>
      </c>
      <c r="H109" s="121"/>
      <c r="I109" s="121"/>
      <c r="J109" s="132" t="s">
        <v>78</v>
      </c>
      <c r="K109" s="65" t="s">
        <v>53</v>
      </c>
      <c r="L109" s="105"/>
      <c r="N109" s="102"/>
      <c r="O109" s="22"/>
      <c r="P109" s="7"/>
      <c r="Q109" s="67"/>
      <c r="R109" s="5"/>
      <c r="S109" s="5"/>
      <c r="T109" s="5"/>
      <c r="U109" s="9"/>
      <c r="V109" s="9"/>
      <c r="W109" s="9"/>
    </row>
    <row r="110" spans="1:23" ht="15.75" customHeight="1">
      <c r="A110" s="23" t="s">
        <v>218</v>
      </c>
      <c r="B110" s="38"/>
      <c r="C110" s="128"/>
      <c r="D110" s="234"/>
      <c r="E110" s="189"/>
      <c r="F110" s="28"/>
      <c r="G110" s="139" t="s">
        <v>80</v>
      </c>
      <c r="H110" s="121"/>
      <c r="I110" s="121"/>
      <c r="J110" s="132" t="s">
        <v>68</v>
      </c>
      <c r="K110" s="65" t="s">
        <v>53</v>
      </c>
      <c r="L110" s="105"/>
      <c r="N110" s="102"/>
      <c r="O110" s="22"/>
      <c r="P110" s="7"/>
      <c r="Q110" s="67"/>
      <c r="R110" s="5"/>
      <c r="S110" s="5"/>
      <c r="T110" s="5"/>
      <c r="U110" s="9"/>
      <c r="V110" s="9"/>
      <c r="W110" s="9"/>
    </row>
    <row r="111" spans="1:23" ht="15.75" customHeight="1">
      <c r="A111" s="23" t="s">
        <v>219</v>
      </c>
      <c r="B111" s="38"/>
      <c r="C111" s="128"/>
      <c r="D111" s="234"/>
      <c r="E111" s="189"/>
      <c r="F111" s="39"/>
      <c r="G111" s="139" t="s">
        <v>82</v>
      </c>
      <c r="H111" s="121"/>
      <c r="I111" s="121"/>
      <c r="J111" s="132"/>
      <c r="K111" s="65"/>
      <c r="L111" s="105"/>
      <c r="N111" s="102"/>
      <c r="O111" s="22"/>
      <c r="P111" s="7"/>
      <c r="Q111" s="67"/>
      <c r="R111" s="5"/>
      <c r="S111" s="5"/>
      <c r="T111" s="5"/>
      <c r="U111" s="9"/>
      <c r="V111" s="9"/>
      <c r="W111" s="9"/>
    </row>
    <row r="112" spans="1:23" ht="15.75" customHeight="1">
      <c r="A112" s="23" t="s">
        <v>220</v>
      </c>
      <c r="B112" s="38"/>
      <c r="C112" s="128"/>
      <c r="D112" s="234"/>
      <c r="E112" s="189"/>
      <c r="F112" s="39"/>
      <c r="G112" s="139" t="s">
        <v>64</v>
      </c>
      <c r="H112" s="121"/>
      <c r="I112" s="121"/>
      <c r="J112" s="132"/>
      <c r="K112" s="65"/>
      <c r="L112" s="105"/>
      <c r="N112" s="102"/>
      <c r="O112" s="22"/>
      <c r="P112" s="7"/>
      <c r="Q112" s="67"/>
      <c r="R112" s="5"/>
      <c r="S112" s="5"/>
      <c r="T112" s="5"/>
      <c r="U112" s="9"/>
      <c r="V112" s="9"/>
      <c r="W112" s="9"/>
    </row>
    <row r="113" spans="1:23" ht="15.75" customHeight="1">
      <c r="A113" s="23" t="s">
        <v>221</v>
      </c>
      <c r="B113" s="38"/>
      <c r="C113" s="128"/>
      <c r="D113" s="234"/>
      <c r="E113" s="190"/>
      <c r="F113" s="39"/>
      <c r="G113" s="139" t="s">
        <v>87</v>
      </c>
      <c r="H113" s="130"/>
      <c r="I113" s="121"/>
      <c r="J113" s="132"/>
      <c r="K113" s="65"/>
      <c r="L113" s="105"/>
      <c r="N113" s="102"/>
      <c r="O113" s="22"/>
      <c r="P113" s="7"/>
      <c r="Q113" s="67"/>
      <c r="R113" s="5"/>
      <c r="S113" s="5"/>
      <c r="T113" s="5"/>
      <c r="U113" s="9"/>
      <c r="V113" s="9"/>
      <c r="W113" s="9"/>
    </row>
    <row r="114" spans="1:23" ht="15.75" customHeight="1">
      <c r="A114" s="23" t="s">
        <v>222</v>
      </c>
      <c r="B114" s="118"/>
      <c r="C114" s="119"/>
      <c r="D114" s="234"/>
      <c r="E114" s="233" t="s">
        <v>99</v>
      </c>
      <c r="F114" s="27"/>
      <c r="G114" s="120" t="s">
        <v>71</v>
      </c>
      <c r="H114" s="121"/>
      <c r="I114" s="122"/>
      <c r="J114" s="123" t="s">
        <v>57</v>
      </c>
      <c r="K114" s="65" t="s">
        <v>53</v>
      </c>
      <c r="L114" s="102"/>
      <c r="N114" s="102"/>
      <c r="O114" s="22"/>
      <c r="P114" s="7"/>
      <c r="Q114" s="67"/>
      <c r="R114" s="5"/>
      <c r="S114" s="5"/>
      <c r="T114" s="5"/>
      <c r="U114" s="9"/>
      <c r="V114" s="9"/>
      <c r="W114" s="9"/>
    </row>
    <row r="115" spans="1:23" ht="15.75" customHeight="1">
      <c r="A115" s="23" t="s">
        <v>223</v>
      </c>
      <c r="B115" s="118"/>
      <c r="C115" s="119"/>
      <c r="D115" s="234"/>
      <c r="E115" s="234"/>
      <c r="F115" s="27"/>
      <c r="G115" s="27" t="s">
        <v>73</v>
      </c>
      <c r="H115" s="121"/>
      <c r="I115" s="122"/>
      <c r="J115" s="127" t="s">
        <v>52</v>
      </c>
      <c r="K115" s="65" t="s">
        <v>53</v>
      </c>
      <c r="L115" s="102"/>
      <c r="N115" s="102"/>
      <c r="O115" s="22"/>
      <c r="P115" s="7"/>
      <c r="Q115" s="67"/>
      <c r="R115" s="5"/>
      <c r="S115" s="5"/>
      <c r="T115" s="5"/>
      <c r="U115" s="9"/>
      <c r="V115" s="9"/>
      <c r="W115" s="9"/>
    </row>
    <row r="116" spans="1:23" ht="15.75" customHeight="1">
      <c r="A116" s="23" t="s">
        <v>224</v>
      </c>
      <c r="B116" s="118"/>
      <c r="C116" s="128"/>
      <c r="D116" s="234"/>
      <c r="E116" s="234"/>
      <c r="F116" s="27"/>
      <c r="G116" s="21" t="s">
        <v>99</v>
      </c>
      <c r="H116" s="121"/>
      <c r="I116" s="122"/>
      <c r="J116" s="129" t="s">
        <v>65</v>
      </c>
      <c r="K116" s="65" t="s">
        <v>53</v>
      </c>
      <c r="L116" s="102"/>
      <c r="N116" s="102"/>
      <c r="O116" s="22"/>
      <c r="P116" s="7"/>
      <c r="Q116" s="67"/>
      <c r="R116" s="5"/>
      <c r="S116" s="5"/>
      <c r="T116" s="5"/>
      <c r="U116" s="9"/>
      <c r="V116" s="9"/>
      <c r="W116" s="9"/>
    </row>
    <row r="117" spans="1:23" ht="15.75" customHeight="1">
      <c r="A117" s="23" t="s">
        <v>225</v>
      </c>
      <c r="B117" s="118"/>
      <c r="C117" s="128"/>
      <c r="D117" s="234"/>
      <c r="E117" s="234"/>
      <c r="F117" s="28"/>
      <c r="G117" s="28" t="s">
        <v>51</v>
      </c>
      <c r="H117" s="130"/>
      <c r="I117" s="131"/>
      <c r="J117" s="132" t="s">
        <v>78</v>
      </c>
      <c r="K117" s="65" t="s">
        <v>53</v>
      </c>
      <c r="L117" s="105"/>
      <c r="N117" s="102"/>
      <c r="O117" s="22"/>
      <c r="P117" s="7"/>
      <c r="Q117" s="67"/>
      <c r="R117" s="5"/>
      <c r="S117" s="5"/>
      <c r="T117" s="5"/>
      <c r="U117" s="9"/>
      <c r="V117" s="9"/>
      <c r="W117" s="9"/>
    </row>
    <row r="118" spans="1:23" ht="15.75" customHeight="1">
      <c r="A118" s="23" t="s">
        <v>226</v>
      </c>
      <c r="B118" s="118"/>
      <c r="C118" s="128"/>
      <c r="D118" s="234"/>
      <c r="E118" s="234"/>
      <c r="F118" s="27"/>
      <c r="G118" s="120" t="s">
        <v>56</v>
      </c>
      <c r="H118" s="121"/>
      <c r="I118" s="131"/>
      <c r="J118" s="132" t="s">
        <v>68</v>
      </c>
      <c r="K118" s="65" t="s">
        <v>53</v>
      </c>
      <c r="L118" s="105"/>
      <c r="N118" s="102"/>
      <c r="O118" s="22"/>
      <c r="P118" s="7"/>
      <c r="Q118" s="67"/>
      <c r="R118" s="5"/>
      <c r="S118" s="5"/>
      <c r="T118" s="5"/>
      <c r="U118" s="9"/>
      <c r="V118" s="9"/>
      <c r="W118" s="9"/>
    </row>
    <row r="119" spans="1:23" ht="15.75" customHeight="1">
      <c r="A119" s="23" t="s">
        <v>227</v>
      </c>
      <c r="B119" s="118"/>
      <c r="C119" s="128"/>
      <c r="D119" s="234"/>
      <c r="E119" s="234"/>
      <c r="F119" s="27"/>
      <c r="G119" s="133" t="s">
        <v>105</v>
      </c>
      <c r="H119" s="121"/>
      <c r="I119" s="131"/>
      <c r="J119" s="132"/>
      <c r="K119" s="65"/>
      <c r="L119" s="105"/>
      <c r="N119" s="102"/>
      <c r="O119" s="22"/>
      <c r="P119" s="7"/>
      <c r="Q119" s="67"/>
      <c r="R119" s="5"/>
      <c r="S119" s="5"/>
      <c r="T119" s="5"/>
      <c r="U119" s="9"/>
      <c r="V119" s="9"/>
      <c r="W119" s="9"/>
    </row>
    <row r="120" spans="1:23" ht="15.75" customHeight="1">
      <c r="A120" s="23" t="s">
        <v>228</v>
      </c>
      <c r="B120" s="118"/>
      <c r="C120" s="128"/>
      <c r="D120" s="234"/>
      <c r="E120" s="234"/>
      <c r="F120" s="27"/>
      <c r="G120" s="133" t="s">
        <v>107</v>
      </c>
      <c r="H120" s="121"/>
      <c r="I120" s="131"/>
      <c r="J120" s="132"/>
      <c r="K120" s="65"/>
      <c r="L120" s="105"/>
      <c r="N120" s="102"/>
      <c r="O120" s="22"/>
      <c r="P120" s="7"/>
      <c r="Q120" s="67"/>
      <c r="R120" s="5"/>
      <c r="S120" s="5"/>
      <c r="T120" s="5"/>
      <c r="U120" s="9"/>
      <c r="V120" s="9"/>
      <c r="W120" s="9"/>
    </row>
    <row r="121" spans="1:23" ht="30" customHeight="1">
      <c r="A121" s="23" t="s">
        <v>229</v>
      </c>
      <c r="B121" s="118"/>
      <c r="C121" s="128"/>
      <c r="D121" s="234"/>
      <c r="E121" s="190"/>
      <c r="F121" s="44"/>
      <c r="G121" s="134" t="s">
        <v>87</v>
      </c>
      <c r="H121" s="135"/>
      <c r="I121" s="121"/>
      <c r="J121" s="132"/>
      <c r="K121" s="65"/>
      <c r="L121" s="105"/>
      <c r="N121" s="102"/>
      <c r="O121" s="22"/>
      <c r="P121" s="7"/>
      <c r="Q121" s="67"/>
      <c r="R121" s="5"/>
      <c r="S121" s="5"/>
      <c r="T121" s="5"/>
      <c r="U121" s="9"/>
      <c r="V121" s="9"/>
      <c r="W121" s="9"/>
    </row>
    <row r="122" spans="1:23" ht="30" customHeight="1">
      <c r="A122" s="23" t="s">
        <v>230</v>
      </c>
      <c r="B122" s="42"/>
      <c r="C122" s="11"/>
      <c r="D122" s="203" t="s">
        <v>110</v>
      </c>
      <c r="E122" s="188" t="s">
        <v>111</v>
      </c>
      <c r="F122" s="27"/>
      <c r="G122" s="120" t="s">
        <v>71</v>
      </c>
      <c r="H122" s="122"/>
      <c r="I122" s="33"/>
      <c r="J122" s="123" t="s">
        <v>57</v>
      </c>
      <c r="K122" s="65" t="s">
        <v>53</v>
      </c>
      <c r="L122" s="102"/>
      <c r="N122" s="102"/>
      <c r="O122" s="22"/>
      <c r="P122" s="7"/>
      <c r="Q122" s="67"/>
      <c r="R122" s="5"/>
      <c r="S122" s="5"/>
      <c r="T122" s="5"/>
      <c r="U122" s="9"/>
      <c r="V122" s="9"/>
      <c r="W122" s="9"/>
    </row>
    <row r="123" spans="1:23" ht="15.75" customHeight="1">
      <c r="A123" s="23" t="s">
        <v>231</v>
      </c>
      <c r="B123" s="136"/>
      <c r="C123" s="140"/>
      <c r="D123" s="203"/>
      <c r="E123" s="189"/>
      <c r="F123" s="27"/>
      <c r="G123" s="27" t="s">
        <v>113</v>
      </c>
      <c r="H123" s="43"/>
      <c r="I123" s="33"/>
      <c r="J123" s="127" t="s">
        <v>52</v>
      </c>
      <c r="K123" s="65" t="s">
        <v>53</v>
      </c>
      <c r="L123" s="102"/>
      <c r="N123" s="102"/>
      <c r="O123" s="22"/>
      <c r="P123" s="7"/>
      <c r="Q123" s="7"/>
      <c r="R123" s="5"/>
      <c r="S123" s="5"/>
      <c r="T123" s="5"/>
      <c r="U123" s="9"/>
      <c r="V123" s="9"/>
      <c r="W123" s="9"/>
    </row>
    <row r="124" spans="1:23" ht="15.75" customHeight="1">
      <c r="A124" s="23" t="s">
        <v>232</v>
      </c>
      <c r="B124" s="136"/>
      <c r="C124" s="140"/>
      <c r="D124" s="203"/>
      <c r="E124" s="189"/>
      <c r="F124" s="27"/>
      <c r="G124" s="141" t="s">
        <v>115</v>
      </c>
      <c r="H124" s="85"/>
      <c r="I124" s="33"/>
      <c r="J124" s="132" t="s">
        <v>116</v>
      </c>
      <c r="K124" s="65" t="s">
        <v>53</v>
      </c>
      <c r="L124" s="102"/>
      <c r="N124" s="102"/>
      <c r="O124" s="22"/>
      <c r="P124" s="7"/>
      <c r="Q124" s="7"/>
      <c r="R124" s="5"/>
      <c r="S124" s="5"/>
      <c r="T124" s="5"/>
      <c r="U124" s="9"/>
      <c r="V124" s="9"/>
      <c r="W124" s="9"/>
    </row>
    <row r="125" spans="1:23" ht="15.75" customHeight="1">
      <c r="A125" s="23" t="s">
        <v>233</v>
      </c>
      <c r="B125" s="136"/>
      <c r="C125" s="140"/>
      <c r="D125" s="203"/>
      <c r="E125" s="189"/>
      <c r="F125" s="27"/>
      <c r="G125" s="120" t="s">
        <v>118</v>
      </c>
      <c r="H125" s="142"/>
      <c r="I125" s="33"/>
      <c r="J125" s="123" t="s">
        <v>57</v>
      </c>
      <c r="K125" s="65"/>
      <c r="L125" s="102"/>
      <c r="N125" s="102"/>
      <c r="O125" s="22"/>
      <c r="P125" s="7"/>
      <c r="Q125" s="7"/>
      <c r="R125" s="5"/>
      <c r="S125" s="5"/>
      <c r="T125" s="5"/>
      <c r="U125" s="9"/>
      <c r="V125" s="9"/>
      <c r="W125" s="9"/>
    </row>
    <row r="126" spans="1:23" ht="15.75" customHeight="1">
      <c r="A126" s="23" t="s">
        <v>234</v>
      </c>
      <c r="B126" s="136"/>
      <c r="C126" s="140"/>
      <c r="D126" s="203"/>
      <c r="E126" s="189"/>
      <c r="F126" s="27"/>
      <c r="G126" s="27" t="s">
        <v>120</v>
      </c>
      <c r="H126" s="142"/>
      <c r="I126" s="33"/>
      <c r="J126" s="127" t="s">
        <v>52</v>
      </c>
      <c r="K126" s="65"/>
      <c r="L126" s="102"/>
      <c r="N126" s="102"/>
      <c r="O126" s="22"/>
      <c r="P126" s="7"/>
      <c r="Q126" s="7"/>
      <c r="R126" s="5"/>
      <c r="S126" s="5"/>
      <c r="T126" s="5"/>
      <c r="U126" s="9"/>
      <c r="V126" s="9"/>
      <c r="W126" s="9"/>
    </row>
    <row r="127" spans="1:23" ht="15.75" customHeight="1">
      <c r="A127" s="23" t="s">
        <v>235</v>
      </c>
      <c r="B127" s="136"/>
      <c r="C127" s="140"/>
      <c r="D127" s="203"/>
      <c r="E127" s="190"/>
      <c r="F127" s="27"/>
      <c r="G127" s="27" t="s">
        <v>122</v>
      </c>
      <c r="H127" s="142"/>
      <c r="I127" s="33"/>
      <c r="J127" s="143"/>
      <c r="K127" s="65"/>
      <c r="L127" s="102"/>
      <c r="N127" s="102"/>
      <c r="O127" s="22"/>
      <c r="P127" s="7"/>
      <c r="Q127" s="7"/>
      <c r="R127" s="5"/>
      <c r="S127" s="5"/>
      <c r="T127" s="5"/>
      <c r="U127" s="9"/>
      <c r="V127" s="9"/>
      <c r="W127" s="9"/>
    </row>
    <row r="128" spans="1:23" ht="15.75" customHeight="1">
      <c r="A128" s="23" t="s">
        <v>236</v>
      </c>
      <c r="B128" s="136"/>
      <c r="C128" s="140"/>
      <c r="D128" s="203"/>
      <c r="E128" s="188" t="s">
        <v>125</v>
      </c>
      <c r="F128" s="27"/>
      <c r="G128" s="120" t="s">
        <v>71</v>
      </c>
      <c r="H128" s="122"/>
      <c r="I128" s="33"/>
      <c r="J128" s="123" t="s">
        <v>57</v>
      </c>
      <c r="K128" s="65" t="s">
        <v>53</v>
      </c>
      <c r="L128" s="102"/>
      <c r="N128" s="102"/>
      <c r="O128" s="22"/>
      <c r="P128" s="7"/>
      <c r="Q128" s="7"/>
      <c r="R128" s="5"/>
      <c r="S128" s="5"/>
      <c r="T128" s="5"/>
      <c r="U128" s="9"/>
      <c r="V128" s="9"/>
      <c r="W128" s="9"/>
    </row>
    <row r="129" spans="1:23" ht="15.75" customHeight="1">
      <c r="A129" s="23" t="s">
        <v>237</v>
      </c>
      <c r="B129" s="136"/>
      <c r="C129" s="140"/>
      <c r="D129" s="203"/>
      <c r="E129" s="189"/>
      <c r="F129" s="27"/>
      <c r="G129" s="27" t="s">
        <v>113</v>
      </c>
      <c r="H129" s="122"/>
      <c r="I129" s="33"/>
      <c r="J129" s="127" t="s">
        <v>52</v>
      </c>
      <c r="K129" s="65" t="s">
        <v>53</v>
      </c>
      <c r="L129" s="102"/>
      <c r="N129" s="102"/>
      <c r="O129" s="22"/>
      <c r="P129" s="7"/>
      <c r="Q129" s="7"/>
      <c r="R129" s="5"/>
      <c r="S129" s="5"/>
      <c r="T129" s="5"/>
      <c r="U129" s="9"/>
      <c r="V129" s="9"/>
      <c r="W129" s="9"/>
    </row>
    <row r="130" spans="1:23" ht="15.75" customHeight="1">
      <c r="A130" s="23" t="s">
        <v>238</v>
      </c>
      <c r="B130" s="136"/>
      <c r="C130" s="140"/>
      <c r="D130" s="203"/>
      <c r="E130" s="189"/>
      <c r="F130" s="27"/>
      <c r="G130" s="141" t="s">
        <v>115</v>
      </c>
      <c r="H130" s="85"/>
      <c r="I130" s="33"/>
      <c r="J130" s="132" t="s">
        <v>116</v>
      </c>
      <c r="K130" s="65" t="s">
        <v>53</v>
      </c>
      <c r="L130" s="102"/>
      <c r="N130" s="102"/>
      <c r="O130" s="22"/>
      <c r="P130" s="7"/>
      <c r="Q130" s="7"/>
      <c r="R130" s="5"/>
      <c r="S130" s="5"/>
      <c r="T130" s="5"/>
      <c r="U130" s="9"/>
      <c r="V130" s="9"/>
      <c r="W130" s="9"/>
    </row>
    <row r="131" spans="1:23" ht="15.75" customHeight="1">
      <c r="A131" s="23" t="s">
        <v>239</v>
      </c>
      <c r="B131" s="136"/>
      <c r="C131" s="140"/>
      <c r="D131" s="203"/>
      <c r="E131" s="189"/>
      <c r="F131" s="27"/>
      <c r="G131" s="120" t="s">
        <v>129</v>
      </c>
      <c r="H131" s="142"/>
      <c r="I131" s="33"/>
      <c r="J131" s="123" t="s">
        <v>57</v>
      </c>
      <c r="K131" s="65"/>
      <c r="L131" s="102"/>
      <c r="N131" s="102"/>
      <c r="O131" s="22"/>
      <c r="P131" s="7"/>
      <c r="Q131" s="7"/>
      <c r="R131" s="5"/>
      <c r="S131" s="5"/>
      <c r="T131" s="5"/>
      <c r="U131" s="9"/>
      <c r="V131" s="9"/>
      <c r="W131" s="9"/>
    </row>
    <row r="132" spans="1:23" ht="15.75" customHeight="1">
      <c r="A132" s="23" t="s">
        <v>240</v>
      </c>
      <c r="B132" s="136"/>
      <c r="C132" s="11"/>
      <c r="D132" s="203"/>
      <c r="E132" s="189"/>
      <c r="F132" s="27"/>
      <c r="G132" s="27" t="s">
        <v>131</v>
      </c>
      <c r="H132" s="142"/>
      <c r="I132" s="33"/>
      <c r="J132" s="127" t="s">
        <v>52</v>
      </c>
      <c r="K132" s="65"/>
      <c r="L132" s="102"/>
      <c r="N132" s="102"/>
      <c r="O132" s="22"/>
      <c r="P132" s="7"/>
      <c r="Q132" s="7"/>
      <c r="R132" s="5"/>
      <c r="S132" s="5"/>
      <c r="T132" s="5"/>
      <c r="U132" s="9"/>
      <c r="V132" s="9"/>
      <c r="W132" s="9"/>
    </row>
    <row r="133" spans="1:23" ht="30" customHeight="1">
      <c r="A133" s="23" t="s">
        <v>241</v>
      </c>
      <c r="B133" s="136"/>
      <c r="C133" s="11"/>
      <c r="D133" s="188" t="s">
        <v>133</v>
      </c>
      <c r="E133" s="188" t="s">
        <v>134</v>
      </c>
      <c r="F133" s="27"/>
      <c r="G133" s="120" t="s">
        <v>71</v>
      </c>
      <c r="H133" s="122"/>
      <c r="I133" s="33"/>
      <c r="J133" s="123" t="s">
        <v>57</v>
      </c>
      <c r="K133" s="65" t="s">
        <v>53</v>
      </c>
      <c r="L133" s="102"/>
      <c r="N133" s="102"/>
      <c r="O133" s="22"/>
      <c r="P133" s="7"/>
      <c r="Q133" s="7"/>
      <c r="R133" s="5"/>
      <c r="S133" s="5"/>
      <c r="T133" s="5"/>
      <c r="U133" s="9"/>
      <c r="V133" s="9"/>
      <c r="W133" s="9"/>
    </row>
    <row r="134" spans="1:23" ht="15.75" customHeight="1">
      <c r="A134" s="23" t="s">
        <v>242</v>
      </c>
      <c r="B134" s="136"/>
      <c r="C134" s="11"/>
      <c r="D134" s="189"/>
      <c r="E134" s="189"/>
      <c r="F134" s="27"/>
      <c r="G134" s="27" t="s">
        <v>113</v>
      </c>
      <c r="H134" s="122"/>
      <c r="I134" s="33"/>
      <c r="J134" s="127" t="s">
        <v>52</v>
      </c>
      <c r="K134" s="65" t="s">
        <v>53</v>
      </c>
      <c r="L134" s="102"/>
      <c r="N134" s="102"/>
      <c r="O134" s="22"/>
      <c r="P134" s="7"/>
      <c r="Q134" s="7"/>
      <c r="R134" s="5"/>
      <c r="S134" s="5"/>
      <c r="T134" s="5"/>
      <c r="U134" s="9"/>
      <c r="V134" s="9"/>
      <c r="W134" s="9"/>
    </row>
    <row r="135" spans="1:23" ht="30" customHeight="1">
      <c r="A135" s="23" t="s">
        <v>243</v>
      </c>
      <c r="B135" s="136"/>
      <c r="C135" s="11"/>
      <c r="D135" s="189"/>
      <c r="E135" s="189"/>
      <c r="F135" s="27"/>
      <c r="G135" s="141" t="s">
        <v>115</v>
      </c>
      <c r="H135" s="85"/>
      <c r="I135" s="33"/>
      <c r="J135" s="132" t="s">
        <v>116</v>
      </c>
      <c r="K135" s="65" t="s">
        <v>53</v>
      </c>
      <c r="L135" s="102"/>
      <c r="N135" s="102"/>
      <c r="O135" s="22"/>
      <c r="P135" s="7"/>
      <c r="Q135" s="7"/>
      <c r="R135" s="5"/>
      <c r="S135" s="5"/>
      <c r="T135" s="5"/>
      <c r="U135" s="9"/>
      <c r="V135" s="9"/>
      <c r="W135" s="9"/>
    </row>
    <row r="136" spans="1:23" ht="15.75" customHeight="1">
      <c r="A136" s="23" t="s">
        <v>244</v>
      </c>
      <c r="B136" s="136"/>
      <c r="C136" s="11"/>
      <c r="D136" s="189"/>
      <c r="E136" s="189"/>
      <c r="F136" s="27"/>
      <c r="G136" s="120" t="s">
        <v>118</v>
      </c>
      <c r="H136" s="142"/>
      <c r="I136" s="33"/>
      <c r="J136" s="123" t="s">
        <v>57</v>
      </c>
      <c r="K136" s="65"/>
      <c r="L136" s="102"/>
      <c r="N136" s="102"/>
      <c r="O136" s="22"/>
      <c r="P136" s="7"/>
      <c r="Q136" s="7"/>
      <c r="R136" s="5"/>
      <c r="S136" s="5"/>
      <c r="T136" s="5"/>
      <c r="U136" s="9"/>
      <c r="V136" s="9"/>
      <c r="W136" s="9"/>
    </row>
    <row r="137" spans="1:23" ht="30" customHeight="1">
      <c r="A137" s="23" t="s">
        <v>245</v>
      </c>
      <c r="B137" s="136"/>
      <c r="C137" s="11"/>
      <c r="D137" s="189"/>
      <c r="E137" s="189"/>
      <c r="F137" s="27"/>
      <c r="G137" s="27" t="s">
        <v>120</v>
      </c>
      <c r="H137" s="142"/>
      <c r="I137" s="33"/>
      <c r="J137" s="127" t="s">
        <v>52</v>
      </c>
      <c r="K137" s="65"/>
      <c r="L137" s="102"/>
      <c r="N137" s="102"/>
      <c r="O137" s="22"/>
      <c r="P137" s="7"/>
      <c r="Q137" s="7"/>
      <c r="R137" s="5"/>
      <c r="S137" s="5"/>
      <c r="T137" s="5"/>
      <c r="U137" s="9"/>
      <c r="V137" s="9"/>
      <c r="W137" s="9"/>
    </row>
    <row r="138" spans="1:23" ht="30" customHeight="1">
      <c r="A138" s="23" t="s">
        <v>246</v>
      </c>
      <c r="B138" s="136"/>
      <c r="C138" s="11"/>
      <c r="D138" s="189"/>
      <c r="E138" s="190"/>
      <c r="F138" s="27"/>
      <c r="G138" s="28" t="s">
        <v>122</v>
      </c>
      <c r="H138" s="142"/>
      <c r="I138" s="33"/>
      <c r="J138" s="143"/>
      <c r="K138" s="65"/>
      <c r="L138" s="102"/>
      <c r="N138" s="102"/>
      <c r="O138" s="22"/>
      <c r="P138" s="7"/>
      <c r="Q138" s="7"/>
      <c r="R138" s="5"/>
      <c r="S138" s="5"/>
      <c r="T138" s="5"/>
      <c r="U138" s="9"/>
      <c r="V138" s="9"/>
      <c r="W138" s="9"/>
    </row>
    <row r="139" spans="1:23" ht="15.75" customHeight="1">
      <c r="A139" s="23" t="s">
        <v>247</v>
      </c>
      <c r="B139" s="136"/>
      <c r="C139" s="11"/>
      <c r="D139" s="189"/>
      <c r="E139" s="188" t="s">
        <v>141</v>
      </c>
      <c r="F139" s="112"/>
      <c r="G139" s="120" t="s">
        <v>71</v>
      </c>
      <c r="H139" s="121"/>
      <c r="I139" s="121"/>
      <c r="J139" s="132" t="s">
        <v>57</v>
      </c>
      <c r="K139" s="65" t="s">
        <v>53</v>
      </c>
      <c r="L139" s="102"/>
      <c r="N139" s="102"/>
      <c r="O139" s="22"/>
      <c r="P139" s="7"/>
      <c r="Q139" s="7"/>
      <c r="R139" s="5"/>
      <c r="S139" s="5"/>
      <c r="T139" s="5"/>
      <c r="U139" s="9"/>
      <c r="V139" s="9"/>
      <c r="W139" s="9"/>
    </row>
    <row r="140" spans="1:23" ht="15.75" customHeight="1">
      <c r="A140" s="23" t="s">
        <v>248</v>
      </c>
      <c r="B140" s="136"/>
      <c r="C140" s="11"/>
      <c r="D140" s="189"/>
      <c r="E140" s="189"/>
      <c r="F140" s="112"/>
      <c r="G140" s="27" t="s">
        <v>113</v>
      </c>
      <c r="H140" s="121"/>
      <c r="I140" s="121"/>
      <c r="J140" s="144" t="s">
        <v>52</v>
      </c>
      <c r="K140" s="65" t="s">
        <v>53</v>
      </c>
      <c r="L140" s="102"/>
      <c r="N140" s="102"/>
      <c r="O140" s="22"/>
      <c r="P140" s="7"/>
      <c r="Q140" s="7"/>
      <c r="R140" s="5"/>
      <c r="S140" s="5"/>
      <c r="T140" s="5"/>
      <c r="U140" s="9"/>
      <c r="V140" s="9"/>
      <c r="W140" s="9"/>
    </row>
    <row r="141" spans="1:23" ht="15.75" customHeight="1">
      <c r="A141" s="23" t="s">
        <v>249</v>
      </c>
      <c r="B141" s="136"/>
      <c r="C141" s="11"/>
      <c r="D141" s="189"/>
      <c r="E141" s="189"/>
      <c r="F141" s="112"/>
      <c r="G141" s="141" t="s">
        <v>115</v>
      </c>
      <c r="H141" s="133"/>
      <c r="I141" s="121"/>
      <c r="J141" s="132" t="s">
        <v>116</v>
      </c>
      <c r="K141" s="65" t="s">
        <v>53</v>
      </c>
      <c r="L141" s="102"/>
      <c r="N141" s="102"/>
      <c r="O141" s="22"/>
      <c r="P141" s="7"/>
      <c r="Q141" s="7"/>
      <c r="R141" s="5"/>
      <c r="S141" s="5"/>
      <c r="T141" s="5"/>
      <c r="U141" s="9"/>
      <c r="V141" s="9"/>
      <c r="W141" s="9"/>
    </row>
    <row r="142" spans="1:23" ht="30" customHeight="1">
      <c r="A142" s="23" t="s">
        <v>250</v>
      </c>
      <c r="B142" s="136"/>
      <c r="C142" s="11"/>
      <c r="D142" s="189"/>
      <c r="E142" s="189"/>
      <c r="F142" s="112"/>
      <c r="G142" s="120" t="s">
        <v>118</v>
      </c>
      <c r="H142" s="133"/>
      <c r="I142" s="121"/>
      <c r="J142" s="132" t="s">
        <v>57</v>
      </c>
      <c r="K142" s="65"/>
      <c r="L142" s="102"/>
      <c r="N142" s="102"/>
      <c r="O142" s="22"/>
      <c r="P142" s="7"/>
      <c r="Q142" s="7"/>
      <c r="R142" s="5"/>
      <c r="S142" s="5"/>
      <c r="T142" s="5"/>
      <c r="U142" s="9"/>
      <c r="V142" s="9"/>
      <c r="W142" s="9"/>
    </row>
    <row r="143" spans="1:23" ht="15.75" customHeight="1">
      <c r="A143" s="23" t="s">
        <v>251</v>
      </c>
      <c r="B143" s="136"/>
      <c r="C143" s="11"/>
      <c r="D143" s="189"/>
      <c r="E143" s="189"/>
      <c r="F143" s="112"/>
      <c r="G143" s="27" t="s">
        <v>120</v>
      </c>
      <c r="H143" s="133"/>
      <c r="I143" s="121"/>
      <c r="J143" s="144" t="s">
        <v>52</v>
      </c>
      <c r="K143" s="65"/>
      <c r="L143" s="102"/>
      <c r="N143" s="102"/>
      <c r="O143" s="22"/>
      <c r="P143" s="7"/>
      <c r="Q143" s="7"/>
      <c r="R143" s="5"/>
      <c r="S143" s="5"/>
      <c r="T143" s="5"/>
      <c r="U143" s="9"/>
      <c r="V143" s="9"/>
      <c r="W143" s="9"/>
    </row>
    <row r="144" spans="1:23" ht="15.75" customHeight="1">
      <c r="A144" s="23" t="s">
        <v>252</v>
      </c>
      <c r="B144" s="136"/>
      <c r="C144" s="11"/>
      <c r="D144" s="190"/>
      <c r="E144" s="190"/>
      <c r="F144" s="112"/>
      <c r="G144" s="27" t="s">
        <v>122</v>
      </c>
      <c r="H144" s="133"/>
      <c r="I144" s="121"/>
      <c r="J144" s="144"/>
      <c r="K144" s="65"/>
      <c r="L144" s="102"/>
      <c r="N144" s="102"/>
      <c r="O144" s="22"/>
      <c r="P144" s="7"/>
      <c r="Q144" s="7"/>
      <c r="R144" s="5"/>
      <c r="S144" s="5"/>
      <c r="T144" s="5"/>
      <c r="U144" s="9"/>
      <c r="V144" s="9"/>
      <c r="W144" s="9"/>
    </row>
    <row r="145" spans="1:23" ht="30" customHeight="1">
      <c r="A145" s="23" t="s">
        <v>253</v>
      </c>
      <c r="B145" s="69"/>
      <c r="C145" s="11"/>
      <c r="D145" s="203" t="s">
        <v>148</v>
      </c>
      <c r="E145" s="188" t="s">
        <v>149</v>
      </c>
      <c r="F145" s="113"/>
      <c r="G145" s="120" t="s">
        <v>71</v>
      </c>
      <c r="H145" s="133"/>
      <c r="I145" s="121"/>
      <c r="J145" s="116" t="s">
        <v>150</v>
      </c>
      <c r="K145" s="65" t="s">
        <v>53</v>
      </c>
      <c r="L145" s="102"/>
      <c r="N145" s="102"/>
      <c r="O145" s="22"/>
      <c r="P145" s="7"/>
      <c r="Q145" s="7"/>
      <c r="R145" s="5"/>
      <c r="S145" s="5"/>
      <c r="T145" s="5"/>
      <c r="U145" s="9"/>
      <c r="V145" s="9"/>
      <c r="W145" s="9"/>
    </row>
    <row r="146" spans="1:23" ht="15.75" customHeight="1">
      <c r="A146" s="23" t="s">
        <v>254</v>
      </c>
      <c r="B146" s="69"/>
      <c r="C146" s="11"/>
      <c r="D146" s="203"/>
      <c r="E146" s="189"/>
      <c r="F146" s="27"/>
      <c r="G146" s="27" t="s">
        <v>113</v>
      </c>
      <c r="H146" s="145"/>
      <c r="I146" s="146"/>
      <c r="J146" s="117" t="s">
        <v>152</v>
      </c>
      <c r="K146" s="65" t="s">
        <v>53</v>
      </c>
      <c r="L146" s="102"/>
      <c r="N146" s="102"/>
      <c r="O146" s="22"/>
      <c r="P146" s="7"/>
      <c r="Q146" s="7"/>
      <c r="R146" s="5"/>
      <c r="S146" s="5"/>
      <c r="T146" s="5"/>
      <c r="U146" s="9"/>
      <c r="V146" s="9"/>
      <c r="W146" s="9"/>
    </row>
    <row r="147" spans="1:23" ht="15.75" customHeight="1">
      <c r="A147" s="23" t="s">
        <v>255</v>
      </c>
      <c r="B147" s="69"/>
      <c r="C147" s="11"/>
      <c r="D147" s="203"/>
      <c r="E147" s="189"/>
      <c r="F147" s="27"/>
      <c r="G147" s="141" t="s">
        <v>154</v>
      </c>
      <c r="H147" s="85"/>
      <c r="I147" s="33"/>
      <c r="J147" s="116" t="s">
        <v>155</v>
      </c>
      <c r="K147" s="65" t="s">
        <v>53</v>
      </c>
      <c r="L147" s="102"/>
      <c r="N147" s="102"/>
      <c r="O147" s="22"/>
      <c r="P147" s="7"/>
      <c r="Q147" s="7"/>
      <c r="R147" s="5"/>
      <c r="S147" s="5"/>
      <c r="T147" s="5"/>
      <c r="U147" s="9"/>
      <c r="V147" s="9"/>
      <c r="W147" s="9"/>
    </row>
    <row r="148" spans="1:23" ht="30" customHeight="1">
      <c r="A148" s="23" t="s">
        <v>256</v>
      </c>
      <c r="B148" s="69"/>
      <c r="C148" s="11"/>
      <c r="D148" s="203"/>
      <c r="E148" s="189"/>
      <c r="F148" s="27"/>
      <c r="G148" s="141" t="s">
        <v>157</v>
      </c>
      <c r="H148" s="85"/>
      <c r="I148" s="33"/>
      <c r="J148" s="116"/>
      <c r="K148" s="65"/>
      <c r="L148" s="102"/>
      <c r="N148" s="102"/>
      <c r="O148" s="22"/>
      <c r="P148" s="7"/>
      <c r="Q148" s="7"/>
      <c r="R148" s="5"/>
      <c r="S148" s="5"/>
      <c r="T148" s="5"/>
      <c r="U148" s="9"/>
      <c r="V148" s="9"/>
      <c r="W148" s="9"/>
    </row>
    <row r="149" spans="1:23" ht="15.75" customHeight="1">
      <c r="A149" s="23" t="s">
        <v>257</v>
      </c>
      <c r="B149" s="118"/>
      <c r="C149" s="12"/>
      <c r="D149" s="203"/>
      <c r="E149" s="190"/>
      <c r="F149" s="44"/>
      <c r="G149" s="134" t="s">
        <v>87</v>
      </c>
      <c r="H149" s="135"/>
      <c r="I149" s="121"/>
      <c r="J149" s="132"/>
      <c r="K149" s="65"/>
      <c r="L149" s="105"/>
      <c r="N149" s="102"/>
      <c r="O149" s="124"/>
      <c r="P149" s="94"/>
      <c r="Q149" s="94"/>
      <c r="R149" s="5"/>
      <c r="S149" s="5"/>
      <c r="T149" s="5"/>
      <c r="U149" s="9"/>
      <c r="V149" s="9"/>
      <c r="W149" s="9"/>
    </row>
    <row r="150" spans="1:23" ht="15.75" customHeight="1">
      <c r="A150" s="23" t="s">
        <v>258</v>
      </c>
      <c r="B150" s="136"/>
      <c r="C150" s="11"/>
      <c r="D150" s="203"/>
      <c r="E150" s="188" t="s">
        <v>160</v>
      </c>
      <c r="F150" s="112"/>
      <c r="G150" s="120" t="s">
        <v>71</v>
      </c>
      <c r="H150" s="121"/>
      <c r="I150" s="15"/>
      <c r="J150" s="132" t="s">
        <v>57</v>
      </c>
      <c r="K150" s="65" t="s">
        <v>53</v>
      </c>
      <c r="L150" s="102"/>
      <c r="N150" s="102"/>
      <c r="O150" s="124"/>
      <c r="P150" s="94"/>
      <c r="Q150" s="94"/>
      <c r="R150" s="5"/>
      <c r="S150" s="5"/>
      <c r="T150" s="5"/>
      <c r="U150" s="9"/>
      <c r="V150" s="9"/>
      <c r="W150" s="9"/>
    </row>
    <row r="151" spans="1:23" ht="15.75" customHeight="1">
      <c r="A151" s="23" t="s">
        <v>259</v>
      </c>
      <c r="B151" s="136"/>
      <c r="C151" s="11"/>
      <c r="D151" s="203"/>
      <c r="E151" s="189"/>
      <c r="F151" s="112"/>
      <c r="G151" s="27" t="s">
        <v>113</v>
      </c>
      <c r="H151" s="121"/>
      <c r="I151" s="15"/>
      <c r="J151" s="144" t="s">
        <v>52</v>
      </c>
      <c r="K151" s="65" t="s">
        <v>53</v>
      </c>
      <c r="L151" s="102"/>
      <c r="N151" s="102"/>
      <c r="O151" s="124"/>
      <c r="P151" s="94"/>
      <c r="Q151" s="94"/>
      <c r="R151" s="5"/>
      <c r="S151" s="5"/>
      <c r="T151" s="5"/>
      <c r="U151" s="9"/>
      <c r="V151" s="9"/>
      <c r="W151" s="9"/>
    </row>
    <row r="152" spans="1:23" ht="15.75" customHeight="1">
      <c r="A152" s="23" t="s">
        <v>260</v>
      </c>
      <c r="B152" s="136"/>
      <c r="C152" s="11"/>
      <c r="D152" s="203"/>
      <c r="E152" s="189"/>
      <c r="F152" s="112"/>
      <c r="G152" s="141" t="s">
        <v>115</v>
      </c>
      <c r="H152" s="90"/>
      <c r="I152" s="15"/>
      <c r="J152" s="132" t="s">
        <v>116</v>
      </c>
      <c r="K152" s="65" t="s">
        <v>53</v>
      </c>
      <c r="L152" s="102"/>
      <c r="N152" s="102"/>
      <c r="O152" s="124"/>
      <c r="P152" s="94"/>
      <c r="Q152" s="94"/>
      <c r="R152" s="5"/>
      <c r="S152" s="5"/>
      <c r="T152" s="5"/>
      <c r="U152" s="9"/>
      <c r="V152" s="9"/>
      <c r="W152" s="9"/>
    </row>
    <row r="153" spans="1:23" ht="15.75" customHeight="1">
      <c r="A153" s="23" t="s">
        <v>261</v>
      </c>
      <c r="B153" s="136"/>
      <c r="C153" s="11"/>
      <c r="D153" s="203"/>
      <c r="E153" s="189"/>
      <c r="F153" s="112"/>
      <c r="G153" s="120" t="s">
        <v>118</v>
      </c>
      <c r="H153" s="90"/>
      <c r="I153" s="15"/>
      <c r="J153" s="132" t="s">
        <v>57</v>
      </c>
      <c r="K153" s="65"/>
      <c r="L153" s="102"/>
      <c r="N153" s="102"/>
      <c r="O153" s="124"/>
      <c r="P153" s="94"/>
      <c r="Q153" s="94"/>
      <c r="R153" s="5"/>
      <c r="S153" s="5"/>
      <c r="T153" s="5"/>
      <c r="U153" s="9"/>
      <c r="V153" s="9"/>
      <c r="W153" s="9"/>
    </row>
    <row r="154" spans="1:23" ht="30" customHeight="1">
      <c r="A154" s="23" t="s">
        <v>262</v>
      </c>
      <c r="B154" s="136"/>
      <c r="C154" s="11"/>
      <c r="D154" s="203"/>
      <c r="E154" s="189"/>
      <c r="F154" s="112"/>
      <c r="G154" s="27" t="s">
        <v>120</v>
      </c>
      <c r="H154" s="90"/>
      <c r="I154" s="15"/>
      <c r="J154" s="144" t="s">
        <v>52</v>
      </c>
      <c r="K154" s="65"/>
      <c r="L154" s="102"/>
      <c r="N154" s="102"/>
      <c r="O154" s="124"/>
      <c r="P154" s="94"/>
      <c r="Q154" s="94"/>
      <c r="R154" s="5"/>
      <c r="S154" s="5"/>
      <c r="T154" s="5"/>
      <c r="U154" s="9"/>
      <c r="V154" s="9"/>
      <c r="W154" s="9"/>
    </row>
    <row r="155" spans="1:23" ht="15.75" customHeight="1">
      <c r="A155" s="23" t="s">
        <v>263</v>
      </c>
      <c r="B155" s="136"/>
      <c r="C155" s="11"/>
      <c r="D155" s="203"/>
      <c r="E155" s="189"/>
      <c r="F155" s="112"/>
      <c r="G155" s="27" t="s">
        <v>122</v>
      </c>
      <c r="H155" s="90"/>
      <c r="I155" s="15"/>
      <c r="J155" s="144"/>
      <c r="K155" s="65"/>
      <c r="L155" s="102"/>
      <c r="N155" s="102"/>
      <c r="O155" s="124"/>
      <c r="P155" s="94"/>
      <c r="Q155" s="94"/>
      <c r="R155" s="5"/>
      <c r="S155" s="5"/>
      <c r="T155" s="5"/>
      <c r="U155" s="9"/>
      <c r="V155" s="9"/>
      <c r="W155" s="9"/>
    </row>
    <row r="156" spans="1:23" ht="15.75" customHeight="1">
      <c r="A156" s="23" t="s">
        <v>264</v>
      </c>
      <c r="B156" s="118"/>
      <c r="C156" s="128"/>
      <c r="D156" s="203"/>
      <c r="E156" s="190"/>
      <c r="F156" s="44"/>
      <c r="G156" s="134" t="s">
        <v>87</v>
      </c>
      <c r="H156" s="135"/>
      <c r="I156" s="121"/>
      <c r="J156" s="132"/>
      <c r="K156" s="65"/>
      <c r="L156" s="105"/>
      <c r="N156" s="102"/>
      <c r="O156" s="124"/>
      <c r="P156" s="94"/>
      <c r="Q156" s="94"/>
      <c r="R156" s="125"/>
      <c r="S156" s="125"/>
      <c r="T156" s="125"/>
      <c r="U156" s="126"/>
      <c r="V156" s="126"/>
      <c r="W156" s="126"/>
    </row>
    <row r="157" spans="1:23" ht="75" customHeight="1">
      <c r="A157" s="23" t="s">
        <v>265</v>
      </c>
      <c r="B157" s="147"/>
      <c r="C157" s="11"/>
      <c r="D157" s="188" t="s">
        <v>168</v>
      </c>
      <c r="E157" s="203" t="s">
        <v>169</v>
      </c>
      <c r="F157" s="27"/>
      <c r="G157" s="141" t="s">
        <v>170</v>
      </c>
      <c r="H157" s="148"/>
      <c r="I157" s="33"/>
      <c r="J157" s="116" t="s">
        <v>150</v>
      </c>
      <c r="K157" s="35" t="s">
        <v>53</v>
      </c>
      <c r="L157" s="102"/>
      <c r="N157" s="102"/>
      <c r="O157" s="22"/>
      <c r="P157" s="7"/>
      <c r="Q157" s="7"/>
      <c r="R157" s="5"/>
      <c r="S157" s="5"/>
      <c r="T157" s="5"/>
      <c r="U157" s="9"/>
      <c r="V157" s="9"/>
      <c r="W157" s="9"/>
    </row>
    <row r="158" spans="1:23" ht="30" customHeight="1">
      <c r="A158" s="23" t="s">
        <v>266</v>
      </c>
      <c r="B158" s="147"/>
      <c r="C158" s="11"/>
      <c r="D158" s="189"/>
      <c r="E158" s="203"/>
      <c r="F158" s="27"/>
      <c r="G158" s="141" t="s">
        <v>172</v>
      </c>
      <c r="H158" s="148"/>
      <c r="I158" s="33"/>
      <c r="J158" s="116" t="s">
        <v>152</v>
      </c>
      <c r="K158" s="35" t="s">
        <v>53</v>
      </c>
      <c r="L158" s="102"/>
      <c r="N158" s="102"/>
      <c r="O158" s="22"/>
      <c r="P158" s="7"/>
      <c r="Q158" s="7"/>
      <c r="R158" s="5"/>
      <c r="S158" s="5"/>
      <c r="T158" s="5"/>
      <c r="U158" s="9"/>
      <c r="V158" s="9"/>
      <c r="W158" s="9"/>
    </row>
    <row r="159" spans="1:23" ht="45" customHeight="1">
      <c r="A159" s="23" t="s">
        <v>267</v>
      </c>
      <c r="B159" s="147"/>
      <c r="C159" s="11"/>
      <c r="D159" s="189"/>
      <c r="E159" s="203" t="s">
        <v>174</v>
      </c>
      <c r="F159" s="27"/>
      <c r="G159" s="141" t="s">
        <v>170</v>
      </c>
      <c r="H159" s="148"/>
      <c r="I159" s="33"/>
      <c r="J159" s="116" t="s">
        <v>150</v>
      </c>
      <c r="K159" s="35" t="s">
        <v>53</v>
      </c>
      <c r="L159" s="102"/>
      <c r="N159" s="102"/>
      <c r="O159" s="22"/>
      <c r="P159" s="7"/>
      <c r="Q159" s="7"/>
      <c r="R159" s="5"/>
      <c r="S159" s="5"/>
      <c r="T159" s="5"/>
      <c r="U159" s="9"/>
      <c r="V159" s="9"/>
      <c r="W159" s="9"/>
    </row>
    <row r="160" spans="1:23" ht="45" customHeight="1">
      <c r="A160" s="23" t="s">
        <v>268</v>
      </c>
      <c r="B160" s="147"/>
      <c r="C160" s="11"/>
      <c r="D160" s="189"/>
      <c r="E160" s="203"/>
      <c r="F160" s="27"/>
      <c r="G160" s="141" t="s">
        <v>172</v>
      </c>
      <c r="H160" s="148"/>
      <c r="I160" s="33"/>
      <c r="J160" s="116" t="s">
        <v>152</v>
      </c>
      <c r="K160" s="35" t="s">
        <v>53</v>
      </c>
      <c r="L160" s="102"/>
      <c r="N160" s="102"/>
      <c r="O160" s="22"/>
      <c r="P160" s="7"/>
      <c r="Q160" s="7"/>
      <c r="R160" s="5"/>
      <c r="S160" s="5"/>
      <c r="T160" s="5"/>
      <c r="U160" s="9"/>
      <c r="V160" s="9"/>
      <c r="W160" s="9"/>
    </row>
    <row r="161" spans="1:23" ht="30" customHeight="1">
      <c r="A161" s="23" t="s">
        <v>269</v>
      </c>
      <c r="B161" s="147"/>
      <c r="C161" s="11"/>
      <c r="D161" s="189"/>
      <c r="E161" s="203" t="s">
        <v>177</v>
      </c>
      <c r="F161" s="27"/>
      <c r="G161" s="141" t="s">
        <v>170</v>
      </c>
      <c r="H161" s="148"/>
      <c r="I161" s="33"/>
      <c r="J161" s="116" t="s">
        <v>150</v>
      </c>
      <c r="K161" s="35" t="s">
        <v>53</v>
      </c>
      <c r="L161" s="102"/>
      <c r="N161" s="102"/>
      <c r="O161" s="22"/>
      <c r="P161" s="7"/>
      <c r="Q161" s="7"/>
      <c r="R161" s="5"/>
      <c r="S161" s="5"/>
      <c r="T161" s="5"/>
      <c r="U161" s="9"/>
      <c r="V161" s="9"/>
      <c r="W161" s="9"/>
    </row>
    <row r="162" spans="1:23" ht="45" customHeight="1">
      <c r="A162" s="23" t="s">
        <v>270</v>
      </c>
      <c r="B162" s="147"/>
      <c r="C162" s="11"/>
      <c r="D162" s="189"/>
      <c r="E162" s="203"/>
      <c r="F162" s="27"/>
      <c r="G162" s="141" t="s">
        <v>172</v>
      </c>
      <c r="H162" s="148"/>
      <c r="I162" s="33"/>
      <c r="J162" s="116" t="s">
        <v>152</v>
      </c>
      <c r="K162" s="35" t="s">
        <v>53</v>
      </c>
      <c r="L162" s="102"/>
      <c r="N162" s="102"/>
      <c r="O162" s="22"/>
      <c r="P162" s="7"/>
      <c r="Q162" s="7"/>
      <c r="R162" s="5"/>
      <c r="S162" s="5"/>
      <c r="T162" s="5"/>
      <c r="U162" s="9"/>
      <c r="V162" s="9"/>
      <c r="W162" s="9"/>
    </row>
    <row r="163" spans="1:23" ht="30" customHeight="1">
      <c r="A163" s="23" t="s">
        <v>271</v>
      </c>
      <c r="B163" s="147"/>
      <c r="C163" s="140"/>
      <c r="D163" s="189"/>
      <c r="E163" s="203" t="s">
        <v>49</v>
      </c>
      <c r="F163" s="27"/>
      <c r="G163" s="141" t="s">
        <v>170</v>
      </c>
      <c r="H163" s="148"/>
      <c r="I163" s="33"/>
      <c r="J163" s="116" t="s">
        <v>150</v>
      </c>
      <c r="K163" s="35" t="s">
        <v>53</v>
      </c>
      <c r="L163" s="102"/>
      <c r="N163" s="102"/>
      <c r="O163" s="22"/>
      <c r="P163" s="7"/>
      <c r="Q163" s="7"/>
      <c r="R163" s="5"/>
      <c r="S163" s="5"/>
      <c r="T163" s="5"/>
      <c r="U163" s="9"/>
      <c r="V163" s="9"/>
      <c r="W163" s="9"/>
    </row>
    <row r="164" spans="1:23" ht="30" customHeight="1">
      <c r="A164" s="23" t="s">
        <v>272</v>
      </c>
      <c r="B164" s="147"/>
      <c r="C164" s="140"/>
      <c r="D164" s="189"/>
      <c r="E164" s="203"/>
      <c r="F164" s="27"/>
      <c r="G164" s="141" t="s">
        <v>172</v>
      </c>
      <c r="H164" s="148"/>
      <c r="I164" s="33"/>
      <c r="J164" s="116" t="s">
        <v>152</v>
      </c>
      <c r="K164" s="35" t="s">
        <v>53</v>
      </c>
      <c r="L164" s="102"/>
      <c r="N164" s="102"/>
      <c r="O164" s="22"/>
      <c r="P164" s="7"/>
      <c r="Q164" s="7"/>
      <c r="R164" s="5"/>
      <c r="S164" s="5"/>
      <c r="T164" s="5"/>
      <c r="U164" s="9"/>
      <c r="V164" s="9"/>
      <c r="W164" s="9"/>
    </row>
    <row r="165" spans="1:23" ht="30" customHeight="1">
      <c r="A165" s="23" t="s">
        <v>273</v>
      </c>
      <c r="B165" s="38"/>
      <c r="C165" s="119"/>
      <c r="D165" s="203" t="s">
        <v>182</v>
      </c>
      <c r="E165" s="233" t="s">
        <v>183</v>
      </c>
      <c r="F165" s="27"/>
      <c r="G165" s="120" t="s">
        <v>71</v>
      </c>
      <c r="H165" s="121"/>
      <c r="I165" s="122"/>
      <c r="J165" s="123" t="s">
        <v>57</v>
      </c>
      <c r="K165" s="35" t="s">
        <v>53</v>
      </c>
      <c r="L165" s="102"/>
      <c r="N165" s="102"/>
      <c r="O165" s="22"/>
      <c r="P165" s="7"/>
      <c r="Q165" s="67" t="s">
        <v>54</v>
      </c>
      <c r="R165" s="5"/>
      <c r="S165" s="5"/>
      <c r="T165" s="5"/>
      <c r="U165" s="9"/>
      <c r="V165" s="9"/>
      <c r="W165" s="9"/>
    </row>
    <row r="166" spans="1:23" ht="30" customHeight="1">
      <c r="A166" s="23" t="s">
        <v>274</v>
      </c>
      <c r="B166" s="38"/>
      <c r="C166" s="119"/>
      <c r="D166" s="203"/>
      <c r="E166" s="234"/>
      <c r="F166" s="27"/>
      <c r="G166" s="27" t="s">
        <v>73</v>
      </c>
      <c r="H166" s="121"/>
      <c r="I166" s="122"/>
      <c r="J166" s="127" t="s">
        <v>52</v>
      </c>
      <c r="K166" s="35" t="s">
        <v>53</v>
      </c>
      <c r="L166" s="102"/>
      <c r="N166" s="102"/>
      <c r="O166" s="22"/>
      <c r="P166" s="7"/>
      <c r="Q166" s="67" t="s">
        <v>54</v>
      </c>
      <c r="R166" s="5"/>
      <c r="S166" s="5"/>
      <c r="T166" s="5"/>
      <c r="U166" s="9"/>
      <c r="V166" s="9"/>
      <c r="W166" s="9"/>
    </row>
    <row r="167" spans="1:23" ht="30" customHeight="1">
      <c r="A167" s="23" t="s">
        <v>275</v>
      </c>
      <c r="B167" s="38"/>
      <c r="C167" s="12"/>
      <c r="D167" s="203"/>
      <c r="E167" s="234"/>
      <c r="F167" s="27"/>
      <c r="G167" s="21" t="s">
        <v>186</v>
      </c>
      <c r="H167" s="15"/>
      <c r="I167" s="43"/>
      <c r="J167" s="129" t="s">
        <v>65</v>
      </c>
      <c r="K167" s="35" t="s">
        <v>53</v>
      </c>
      <c r="L167" s="102"/>
      <c r="N167" s="102"/>
      <c r="O167" s="22"/>
      <c r="P167" s="7"/>
      <c r="Q167" s="67" t="s">
        <v>54</v>
      </c>
      <c r="R167" s="5"/>
      <c r="S167" s="5"/>
      <c r="T167" s="5"/>
      <c r="U167" s="9"/>
      <c r="V167" s="9"/>
      <c r="W167" s="9"/>
    </row>
    <row r="168" spans="1:23" ht="30" customHeight="1">
      <c r="A168" s="23" t="s">
        <v>276</v>
      </c>
      <c r="B168" s="38"/>
      <c r="C168" s="12"/>
      <c r="D168" s="203"/>
      <c r="E168" s="234"/>
      <c r="F168" s="28"/>
      <c r="G168" s="28" t="s">
        <v>51</v>
      </c>
      <c r="H168" s="130"/>
      <c r="I168" s="131"/>
      <c r="J168" s="132" t="s">
        <v>78</v>
      </c>
      <c r="K168" s="35" t="s">
        <v>53</v>
      </c>
      <c r="L168" s="105"/>
      <c r="N168" s="102"/>
      <c r="O168" s="22"/>
      <c r="P168" s="7"/>
      <c r="Q168" s="67" t="s">
        <v>54</v>
      </c>
      <c r="R168" s="5"/>
      <c r="S168" s="5"/>
      <c r="T168" s="5"/>
      <c r="U168" s="9"/>
      <c r="V168" s="9"/>
      <c r="W168" s="9"/>
    </row>
    <row r="169" spans="1:23" ht="30" customHeight="1">
      <c r="A169" s="23" t="s">
        <v>277</v>
      </c>
      <c r="B169" s="38"/>
      <c r="C169" s="12"/>
      <c r="D169" s="203"/>
      <c r="E169" s="234"/>
      <c r="F169" s="27"/>
      <c r="G169" s="120" t="s">
        <v>56</v>
      </c>
      <c r="H169" s="121"/>
      <c r="I169" s="131"/>
      <c r="J169" s="132" t="s">
        <v>68</v>
      </c>
      <c r="K169" s="35" t="s">
        <v>53</v>
      </c>
      <c r="L169" s="105"/>
      <c r="N169" s="102"/>
      <c r="O169" s="22"/>
      <c r="P169" s="7"/>
      <c r="Q169" s="67" t="s">
        <v>54</v>
      </c>
      <c r="R169" s="5"/>
      <c r="S169" s="5"/>
      <c r="T169" s="5"/>
      <c r="U169" s="9"/>
      <c r="V169" s="9"/>
      <c r="W169" s="9"/>
    </row>
    <row r="170" spans="1:23" ht="45" customHeight="1">
      <c r="A170" s="23" t="s">
        <v>278</v>
      </c>
      <c r="B170" s="38"/>
      <c r="C170" s="12"/>
      <c r="D170" s="203"/>
      <c r="E170" s="234"/>
      <c r="F170" s="27"/>
      <c r="G170" s="133" t="s">
        <v>107</v>
      </c>
      <c r="H170" s="121"/>
      <c r="I170" s="131"/>
      <c r="J170" s="132"/>
      <c r="K170" s="35"/>
      <c r="L170" s="105"/>
      <c r="N170" s="102"/>
      <c r="O170" s="22"/>
      <c r="P170" s="7"/>
      <c r="Q170" s="67" t="s">
        <v>54</v>
      </c>
      <c r="R170" s="5"/>
      <c r="S170" s="5"/>
      <c r="T170" s="5"/>
      <c r="U170" s="9"/>
      <c r="V170" s="9"/>
      <c r="W170" s="9"/>
    </row>
    <row r="171" spans="1:23" ht="15.75">
      <c r="A171" s="23" t="s">
        <v>279</v>
      </c>
      <c r="B171" s="38"/>
      <c r="C171" s="12"/>
      <c r="D171" s="203"/>
      <c r="E171" s="190"/>
      <c r="F171" s="44"/>
      <c r="G171" s="134" t="s">
        <v>87</v>
      </c>
      <c r="H171" s="135"/>
      <c r="I171" s="121"/>
      <c r="J171" s="132"/>
      <c r="K171" s="35"/>
      <c r="L171" s="105"/>
      <c r="N171" s="102"/>
      <c r="O171" s="22"/>
      <c r="P171" s="7"/>
      <c r="Q171" s="67" t="s">
        <v>54</v>
      </c>
      <c r="R171" s="5"/>
      <c r="S171" s="5"/>
      <c r="T171" s="5"/>
      <c r="U171" s="9"/>
      <c r="V171" s="9"/>
      <c r="W171" s="9"/>
    </row>
    <row r="172" spans="1:23" ht="15.75" customHeight="1">
      <c r="A172" s="23" t="s">
        <v>280</v>
      </c>
      <c r="B172" s="38"/>
      <c r="C172" s="119"/>
      <c r="D172" s="203"/>
      <c r="E172" s="233" t="s">
        <v>192</v>
      </c>
      <c r="F172" s="27"/>
      <c r="G172" s="120" t="s">
        <v>71</v>
      </c>
      <c r="H172" s="121"/>
      <c r="I172" s="122"/>
      <c r="J172" s="123" t="s">
        <v>57</v>
      </c>
      <c r="K172" s="35" t="s">
        <v>53</v>
      </c>
      <c r="L172" s="102"/>
      <c r="N172" s="102"/>
      <c r="O172" s="22"/>
      <c r="P172" s="7"/>
      <c r="Q172" s="67" t="s">
        <v>54</v>
      </c>
      <c r="R172" s="5"/>
      <c r="S172" s="5"/>
      <c r="T172" s="5"/>
      <c r="U172" s="9"/>
      <c r="V172" s="9"/>
      <c r="W172" s="9"/>
    </row>
    <row r="173" spans="1:23" ht="29.25">
      <c r="A173" s="23" t="s">
        <v>281</v>
      </c>
      <c r="B173" s="38"/>
      <c r="C173" s="119"/>
      <c r="D173" s="203"/>
      <c r="E173" s="234"/>
      <c r="F173" s="27"/>
      <c r="G173" s="27" t="s">
        <v>73</v>
      </c>
      <c r="H173" s="121"/>
      <c r="I173" s="122"/>
      <c r="J173" s="127" t="s">
        <v>52</v>
      </c>
      <c r="K173" s="35" t="s">
        <v>53</v>
      </c>
      <c r="L173" s="102"/>
      <c r="N173" s="102"/>
      <c r="O173" s="22"/>
      <c r="P173" s="7"/>
      <c r="Q173" s="67" t="s">
        <v>54</v>
      </c>
      <c r="R173" s="5"/>
      <c r="S173" s="5"/>
      <c r="T173" s="5"/>
      <c r="U173" s="9"/>
      <c r="V173" s="9"/>
      <c r="W173" s="9"/>
    </row>
    <row r="174" spans="1:23" ht="30" customHeight="1">
      <c r="A174" s="23" t="s">
        <v>282</v>
      </c>
      <c r="B174" s="38"/>
      <c r="C174" s="128"/>
      <c r="D174" s="203"/>
      <c r="E174" s="234"/>
      <c r="F174" s="27"/>
      <c r="G174" s="21" t="s">
        <v>186</v>
      </c>
      <c r="H174" s="121"/>
      <c r="I174" s="122"/>
      <c r="J174" s="129" t="s">
        <v>65</v>
      </c>
      <c r="K174" s="35" t="s">
        <v>53</v>
      </c>
      <c r="L174" s="102"/>
      <c r="N174" s="102"/>
      <c r="O174" s="22"/>
      <c r="P174" s="7"/>
      <c r="Q174" s="67" t="s">
        <v>54</v>
      </c>
      <c r="R174" s="5"/>
      <c r="S174" s="5"/>
      <c r="T174" s="5"/>
      <c r="U174" s="9"/>
      <c r="V174" s="9"/>
      <c r="W174" s="9"/>
    </row>
    <row r="175" spans="1:23" ht="45" customHeight="1">
      <c r="A175" s="23" t="s">
        <v>283</v>
      </c>
      <c r="B175" s="38"/>
      <c r="C175" s="128"/>
      <c r="D175" s="203"/>
      <c r="E175" s="234"/>
      <c r="F175" s="28"/>
      <c r="G175" s="28" t="s">
        <v>51</v>
      </c>
      <c r="H175" s="130"/>
      <c r="I175" s="131"/>
      <c r="J175" s="132" t="s">
        <v>78</v>
      </c>
      <c r="K175" s="35" t="s">
        <v>53</v>
      </c>
      <c r="L175" s="105"/>
      <c r="N175" s="102"/>
      <c r="O175" s="22"/>
      <c r="P175" s="7"/>
      <c r="Q175" s="67" t="s">
        <v>54</v>
      </c>
      <c r="R175" s="5"/>
      <c r="S175" s="5"/>
      <c r="T175" s="5"/>
      <c r="U175" s="9"/>
      <c r="V175" s="9"/>
      <c r="W175" s="9"/>
    </row>
    <row r="176" spans="1:23" ht="30" customHeight="1">
      <c r="A176" s="23" t="s">
        <v>284</v>
      </c>
      <c r="B176" s="38"/>
      <c r="C176" s="128"/>
      <c r="D176" s="203"/>
      <c r="E176" s="234"/>
      <c r="F176" s="27"/>
      <c r="G176" s="120" t="s">
        <v>56</v>
      </c>
      <c r="H176" s="121"/>
      <c r="I176" s="131"/>
      <c r="J176" s="132" t="s">
        <v>68</v>
      </c>
      <c r="K176" s="35" t="s">
        <v>53</v>
      </c>
      <c r="L176" s="105"/>
      <c r="N176" s="102"/>
      <c r="O176" s="22"/>
      <c r="P176" s="7"/>
      <c r="Q176" s="67" t="s">
        <v>54</v>
      </c>
      <c r="R176" s="5"/>
      <c r="S176" s="5"/>
      <c r="T176" s="5"/>
      <c r="U176" s="9"/>
      <c r="V176" s="9"/>
      <c r="W176" s="9"/>
    </row>
    <row r="177" spans="1:23" ht="15.75">
      <c r="A177" s="23" t="s">
        <v>285</v>
      </c>
      <c r="B177" s="38"/>
      <c r="C177" s="128"/>
      <c r="D177" s="203"/>
      <c r="E177" s="234"/>
      <c r="F177" s="27"/>
      <c r="G177" s="133" t="s">
        <v>107</v>
      </c>
      <c r="H177" s="121"/>
      <c r="I177" s="131"/>
      <c r="J177" s="132"/>
      <c r="K177" s="35"/>
      <c r="L177" s="105"/>
      <c r="N177" s="102"/>
      <c r="O177" s="22"/>
      <c r="P177" s="7"/>
      <c r="Q177" s="67" t="s">
        <v>54</v>
      </c>
      <c r="R177" s="5"/>
      <c r="S177" s="5"/>
      <c r="T177" s="5"/>
      <c r="U177" s="9"/>
      <c r="V177" s="9"/>
      <c r="W177" s="9"/>
    </row>
    <row r="178" spans="1:23" ht="15.75">
      <c r="A178" s="23" t="s">
        <v>286</v>
      </c>
      <c r="B178" s="38"/>
      <c r="C178" s="128"/>
      <c r="D178" s="203"/>
      <c r="E178" s="190"/>
      <c r="F178" s="44"/>
      <c r="G178" s="134" t="s">
        <v>87</v>
      </c>
      <c r="H178" s="135"/>
      <c r="I178" s="121"/>
      <c r="J178" s="132"/>
      <c r="K178" s="35"/>
      <c r="L178" s="105"/>
      <c r="N178" s="102"/>
      <c r="O178" s="22"/>
      <c r="P178" s="7"/>
      <c r="Q178" s="67" t="s">
        <v>54</v>
      </c>
      <c r="R178" s="5"/>
      <c r="S178" s="5"/>
      <c r="T178" s="5"/>
      <c r="U178" s="9"/>
      <c r="V178" s="9"/>
      <c r="W178" s="9"/>
    </row>
    <row r="179" spans="1:23">
      <c r="A179" s="237" t="s">
        <v>287</v>
      </c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7"/>
      <c r="O179" s="237"/>
      <c r="P179" s="237"/>
      <c r="Q179" s="237"/>
      <c r="R179" s="103">
        <f>COUNTIF($N180:N266,"PASS")</f>
        <v>0</v>
      </c>
      <c r="S179" s="103">
        <f>COUNTIF($N180:N266,"FAIL")</f>
        <v>0</v>
      </c>
      <c r="T179" s="103">
        <f>COUNTBLANK(N180:N266)</f>
        <v>87</v>
      </c>
      <c r="U179" s="103">
        <f>COUNTIF($N180:N266,"IN PROGRESS")</f>
        <v>0</v>
      </c>
      <c r="V179" s="103">
        <f>COUNTIF($N180:N266,"BLOCKED")</f>
        <v>0</v>
      </c>
    </row>
    <row r="180" spans="1:23" ht="15.75" customHeight="1">
      <c r="A180" s="23" t="s">
        <v>288</v>
      </c>
      <c r="B180" s="136"/>
      <c r="C180" s="140"/>
      <c r="D180" s="188" t="s">
        <v>49</v>
      </c>
      <c r="E180" s="188" t="s">
        <v>50</v>
      </c>
      <c r="F180" s="39"/>
      <c r="G180" s="27" t="s">
        <v>51</v>
      </c>
      <c r="H180" s="152"/>
      <c r="I180" s="152"/>
      <c r="J180" s="127" t="s">
        <v>52</v>
      </c>
      <c r="L180" s="102"/>
      <c r="M180" s="65" t="s">
        <v>53</v>
      </c>
      <c r="N180" s="102"/>
      <c r="O180" s="124"/>
      <c r="P180" s="94"/>
      <c r="Q180" s="67" t="s">
        <v>54</v>
      </c>
      <c r="R180" s="125"/>
      <c r="S180" s="125"/>
      <c r="T180" s="125"/>
      <c r="U180" s="126"/>
      <c r="V180" s="126"/>
      <c r="W180" s="126"/>
    </row>
    <row r="181" spans="1:23" ht="15.75" customHeight="1">
      <c r="A181" s="23" t="s">
        <v>289</v>
      </c>
      <c r="B181" s="136"/>
      <c r="C181" s="140"/>
      <c r="D181" s="189"/>
      <c r="E181" s="189"/>
      <c r="F181" s="150"/>
      <c r="G181" s="137" t="s">
        <v>56</v>
      </c>
      <c r="H181" s="152"/>
      <c r="I181" s="152"/>
      <c r="J181" s="123" t="s">
        <v>57</v>
      </c>
      <c r="L181" s="102"/>
      <c r="M181" s="65" t="s">
        <v>53</v>
      </c>
      <c r="N181" s="102"/>
      <c r="O181" s="124"/>
      <c r="P181" s="94"/>
      <c r="Q181" s="67" t="s">
        <v>54</v>
      </c>
      <c r="R181" s="125"/>
      <c r="S181" s="125"/>
      <c r="T181" s="125"/>
      <c r="U181" s="126"/>
      <c r="V181" s="126"/>
      <c r="W181" s="126"/>
    </row>
    <row r="182" spans="1:23" ht="15.75" customHeight="1">
      <c r="A182" s="23" t="s">
        <v>290</v>
      </c>
      <c r="B182" s="136"/>
      <c r="C182" s="140"/>
      <c r="D182" s="189"/>
      <c r="E182" s="189"/>
      <c r="F182" s="149"/>
      <c r="G182" s="138" t="s">
        <v>59</v>
      </c>
      <c r="H182" s="152"/>
      <c r="I182" s="152"/>
      <c r="J182" s="127" t="s">
        <v>60</v>
      </c>
      <c r="L182" s="102"/>
      <c r="M182" s="65" t="s">
        <v>53</v>
      </c>
      <c r="N182" s="102"/>
      <c r="O182" s="124"/>
      <c r="P182" s="94"/>
      <c r="Q182" s="67" t="s">
        <v>54</v>
      </c>
      <c r="R182" s="125"/>
      <c r="S182" s="125"/>
      <c r="T182" s="125"/>
      <c r="U182" s="126"/>
      <c r="V182" s="126"/>
      <c r="W182" s="126"/>
    </row>
    <row r="183" spans="1:23" ht="15.75">
      <c r="A183" s="23" t="s">
        <v>291</v>
      </c>
      <c r="B183" s="136"/>
      <c r="C183" s="140"/>
      <c r="D183" s="189"/>
      <c r="E183" s="189"/>
      <c r="F183" s="39"/>
      <c r="G183" s="138" t="s">
        <v>62</v>
      </c>
      <c r="H183" s="152"/>
      <c r="I183" s="152"/>
      <c r="J183" s="127" t="s">
        <v>60</v>
      </c>
      <c r="L183" s="102"/>
      <c r="M183" s="65" t="s">
        <v>53</v>
      </c>
      <c r="N183" s="102"/>
      <c r="O183" s="124"/>
      <c r="P183" s="94"/>
      <c r="Q183" s="67" t="s">
        <v>54</v>
      </c>
      <c r="R183" s="125"/>
      <c r="S183" s="125"/>
      <c r="T183" s="125"/>
      <c r="U183" s="126"/>
      <c r="V183" s="126"/>
      <c r="W183" s="126"/>
    </row>
    <row r="184" spans="1:23" ht="15.75" customHeight="1">
      <c r="A184" s="23" t="s">
        <v>292</v>
      </c>
      <c r="B184" s="136"/>
      <c r="C184" s="140"/>
      <c r="D184" s="189"/>
      <c r="E184" s="189"/>
      <c r="F184" s="39"/>
      <c r="G184" s="27" t="s">
        <v>64</v>
      </c>
      <c r="H184" s="152"/>
      <c r="I184" s="152"/>
      <c r="J184" s="132" t="s">
        <v>65</v>
      </c>
      <c r="L184" s="102"/>
      <c r="M184" s="65" t="s">
        <v>53</v>
      </c>
      <c r="N184" s="102"/>
      <c r="O184" s="124"/>
      <c r="P184" s="94"/>
      <c r="Q184" s="67" t="s">
        <v>54</v>
      </c>
      <c r="R184" s="125"/>
      <c r="S184" s="125"/>
      <c r="T184" s="125"/>
      <c r="U184" s="126"/>
      <c r="V184" s="126"/>
      <c r="W184" s="126"/>
    </row>
    <row r="185" spans="1:23" ht="15.75" customHeight="1">
      <c r="A185" s="23" t="s">
        <v>293</v>
      </c>
      <c r="B185" s="136"/>
      <c r="C185" s="140"/>
      <c r="D185" s="189"/>
      <c r="E185" s="190"/>
      <c r="F185" s="39"/>
      <c r="G185" s="27" t="s">
        <v>67</v>
      </c>
      <c r="H185" s="152"/>
      <c r="I185" s="152"/>
      <c r="J185" s="132" t="s">
        <v>68</v>
      </c>
      <c r="L185" s="102"/>
      <c r="M185" s="65" t="s">
        <v>53</v>
      </c>
      <c r="N185" s="102"/>
      <c r="O185" s="124"/>
      <c r="P185" s="94"/>
      <c r="Q185" s="67" t="s">
        <v>54</v>
      </c>
      <c r="R185" s="125"/>
      <c r="S185" s="125"/>
      <c r="T185" s="125"/>
      <c r="U185" s="126"/>
      <c r="V185" s="126"/>
      <c r="W185" s="126"/>
    </row>
    <row r="186" spans="1:23" ht="15.75" customHeight="1">
      <c r="A186" s="23" t="s">
        <v>294</v>
      </c>
      <c r="B186" s="118"/>
      <c r="C186" s="119"/>
      <c r="D186" s="189"/>
      <c r="E186" s="188" t="s">
        <v>90</v>
      </c>
      <c r="F186" s="28"/>
      <c r="G186" s="137" t="s">
        <v>71</v>
      </c>
      <c r="H186" s="152"/>
      <c r="I186" s="152"/>
      <c r="J186" s="123" t="s">
        <v>57</v>
      </c>
      <c r="L186" s="102"/>
      <c r="M186" s="65" t="s">
        <v>53</v>
      </c>
      <c r="N186" s="102"/>
      <c r="O186" s="124"/>
      <c r="P186" s="94"/>
      <c r="Q186" s="67" t="s">
        <v>54</v>
      </c>
      <c r="R186" s="125"/>
      <c r="S186" s="125"/>
      <c r="T186" s="125"/>
      <c r="U186" s="126"/>
      <c r="V186" s="126"/>
      <c r="W186" s="126"/>
    </row>
    <row r="187" spans="1:23" ht="15.75" customHeight="1">
      <c r="A187" s="23" t="s">
        <v>295</v>
      </c>
      <c r="B187" s="118"/>
      <c r="C187" s="119"/>
      <c r="D187" s="189"/>
      <c r="E187" s="189"/>
      <c r="F187" s="28"/>
      <c r="G187" s="27" t="s">
        <v>73</v>
      </c>
      <c r="H187" s="152"/>
      <c r="I187" s="152"/>
      <c r="J187" s="127" t="s">
        <v>52</v>
      </c>
      <c r="L187" s="102"/>
      <c r="M187" s="65" t="s">
        <v>53</v>
      </c>
      <c r="N187" s="102"/>
      <c r="O187" s="124"/>
      <c r="P187" s="94"/>
      <c r="Q187" s="67" t="s">
        <v>54</v>
      </c>
      <c r="R187" s="125"/>
      <c r="S187" s="125"/>
      <c r="T187" s="125"/>
      <c r="U187" s="126"/>
      <c r="V187" s="126"/>
      <c r="W187" s="126"/>
    </row>
    <row r="188" spans="1:23" ht="15.75" customHeight="1">
      <c r="A188" s="23" t="s">
        <v>296</v>
      </c>
      <c r="B188" s="118"/>
      <c r="C188" s="128"/>
      <c r="D188" s="189"/>
      <c r="E188" s="189"/>
      <c r="F188" s="28"/>
      <c r="G188" t="s">
        <v>75</v>
      </c>
      <c r="H188" s="152"/>
      <c r="I188" s="152"/>
      <c r="J188" s="129" t="s">
        <v>65</v>
      </c>
      <c r="L188" s="102"/>
      <c r="M188" s="65" t="s">
        <v>53</v>
      </c>
      <c r="N188" s="102"/>
      <c r="O188" s="124"/>
      <c r="P188" s="94"/>
      <c r="Q188" s="67" t="s">
        <v>54</v>
      </c>
      <c r="R188" s="125"/>
      <c r="S188" s="125"/>
      <c r="T188" s="125"/>
      <c r="U188" s="126"/>
      <c r="V188" s="126"/>
      <c r="W188" s="126"/>
    </row>
    <row r="189" spans="1:23" ht="15.75" customHeight="1">
      <c r="A189" s="23" t="s">
        <v>297</v>
      </c>
      <c r="B189" s="118"/>
      <c r="C189" s="128"/>
      <c r="D189" s="189"/>
      <c r="E189" s="189"/>
      <c r="F189" s="28"/>
      <c r="G189" s="139" t="s">
        <v>77</v>
      </c>
      <c r="H189" s="121"/>
      <c r="I189" s="121"/>
      <c r="J189" s="132" t="s">
        <v>78</v>
      </c>
      <c r="L189" s="105"/>
      <c r="M189" s="65" t="s">
        <v>53</v>
      </c>
      <c r="N189" s="102"/>
      <c r="O189" s="124"/>
      <c r="P189" s="94"/>
      <c r="Q189" s="67" t="s">
        <v>54</v>
      </c>
      <c r="R189" s="125"/>
      <c r="S189" s="125"/>
      <c r="T189" s="125"/>
      <c r="U189" s="126"/>
      <c r="V189" s="126"/>
      <c r="W189" s="126"/>
    </row>
    <row r="190" spans="1:23" ht="15.75" customHeight="1">
      <c r="A190" s="23" t="s">
        <v>298</v>
      </c>
      <c r="B190" s="118"/>
      <c r="C190" s="128"/>
      <c r="D190" s="189"/>
      <c r="E190" s="189"/>
      <c r="F190" s="28"/>
      <c r="G190" s="139" t="s">
        <v>80</v>
      </c>
      <c r="H190" s="121"/>
      <c r="I190" s="121"/>
      <c r="J190" s="132" t="s">
        <v>68</v>
      </c>
      <c r="L190" s="105"/>
      <c r="M190" s="65" t="s">
        <v>53</v>
      </c>
      <c r="N190" s="102"/>
      <c r="O190" s="124"/>
      <c r="P190" s="94"/>
      <c r="Q190" s="67" t="s">
        <v>54</v>
      </c>
      <c r="R190" s="125"/>
      <c r="S190" s="125"/>
      <c r="T190" s="125"/>
      <c r="U190" s="126"/>
      <c r="V190" s="126"/>
      <c r="W190" s="126"/>
    </row>
    <row r="191" spans="1:23" ht="15.75" customHeight="1">
      <c r="A191" s="23" t="s">
        <v>299</v>
      </c>
      <c r="B191" s="118"/>
      <c r="C191" s="128"/>
      <c r="D191" s="234"/>
      <c r="E191" s="189"/>
      <c r="F191" s="39"/>
      <c r="G191" s="139" t="s">
        <v>82</v>
      </c>
      <c r="H191" s="121"/>
      <c r="I191" s="121"/>
      <c r="J191" s="132"/>
      <c r="L191" s="105"/>
      <c r="M191" s="65"/>
      <c r="N191" s="102"/>
      <c r="O191" s="124"/>
      <c r="P191" s="94"/>
      <c r="Q191" s="67" t="s">
        <v>54</v>
      </c>
      <c r="R191" s="125"/>
      <c r="S191" s="125"/>
      <c r="T191" s="125"/>
      <c r="U191" s="126"/>
      <c r="V191" s="126"/>
      <c r="W191" s="126"/>
    </row>
    <row r="192" spans="1:23" ht="15.75">
      <c r="A192" s="23" t="s">
        <v>300</v>
      </c>
      <c r="B192" s="118"/>
      <c r="C192" s="128"/>
      <c r="D192" s="234"/>
      <c r="E192" s="189"/>
      <c r="F192" s="39"/>
      <c r="G192" s="139" t="s">
        <v>64</v>
      </c>
      <c r="H192" s="121"/>
      <c r="I192" s="121"/>
      <c r="J192" s="132"/>
      <c r="L192" s="105"/>
      <c r="M192" s="65"/>
      <c r="N192" s="102"/>
      <c r="O192" s="124"/>
      <c r="P192" s="94"/>
      <c r="Q192" s="67" t="s">
        <v>54</v>
      </c>
      <c r="R192" s="125"/>
      <c r="S192" s="125"/>
      <c r="T192" s="125"/>
      <c r="U192" s="126"/>
      <c r="V192" s="126"/>
      <c r="W192" s="126"/>
    </row>
    <row r="193" spans="1:23" ht="15.75">
      <c r="A193" s="23" t="s">
        <v>301</v>
      </c>
      <c r="B193" s="118"/>
      <c r="C193" s="128"/>
      <c r="D193" s="234"/>
      <c r="E193" s="190"/>
      <c r="F193" s="39"/>
      <c r="G193" s="139" t="s">
        <v>87</v>
      </c>
      <c r="H193" s="121"/>
      <c r="I193" s="121"/>
      <c r="J193" s="132"/>
      <c r="L193" s="105"/>
      <c r="M193" s="65"/>
      <c r="N193" s="102"/>
      <c r="O193" s="124"/>
      <c r="P193" s="94"/>
      <c r="Q193" s="67" t="s">
        <v>54</v>
      </c>
      <c r="R193" s="125"/>
      <c r="S193" s="125"/>
      <c r="T193" s="125"/>
      <c r="U193" s="126"/>
      <c r="V193" s="126"/>
      <c r="W193" s="126"/>
    </row>
    <row r="194" spans="1:23" ht="15.75" customHeight="1">
      <c r="A194" s="23" t="s">
        <v>302</v>
      </c>
      <c r="B194" s="118"/>
      <c r="C194" s="119"/>
      <c r="D194" s="234"/>
      <c r="E194" s="188" t="s">
        <v>70</v>
      </c>
      <c r="F194" s="28"/>
      <c r="G194" s="137" t="s">
        <v>71</v>
      </c>
      <c r="H194" s="152"/>
      <c r="I194" s="152"/>
      <c r="J194" s="123" t="s">
        <v>57</v>
      </c>
      <c r="L194" s="102"/>
      <c r="M194" s="65" t="s">
        <v>53</v>
      </c>
      <c r="N194" s="102"/>
      <c r="O194" s="124"/>
      <c r="P194" s="94"/>
      <c r="Q194" s="67" t="s">
        <v>54</v>
      </c>
      <c r="R194" s="125"/>
      <c r="S194" s="125"/>
      <c r="T194" s="125"/>
      <c r="U194" s="126"/>
      <c r="V194" s="126"/>
      <c r="W194" s="126"/>
    </row>
    <row r="195" spans="1:23" ht="15.75" customHeight="1">
      <c r="A195" s="23" t="s">
        <v>303</v>
      </c>
      <c r="B195" s="118"/>
      <c r="C195" s="119"/>
      <c r="D195" s="234"/>
      <c r="E195" s="189"/>
      <c r="F195" s="28"/>
      <c r="G195" s="27" t="s">
        <v>73</v>
      </c>
      <c r="H195" s="152"/>
      <c r="I195" s="152"/>
      <c r="J195" s="127" t="s">
        <v>52</v>
      </c>
      <c r="L195" s="102"/>
      <c r="M195" s="65" t="s">
        <v>53</v>
      </c>
      <c r="N195" s="102"/>
      <c r="O195" s="124"/>
      <c r="P195" s="94"/>
      <c r="Q195" s="67" t="s">
        <v>54</v>
      </c>
      <c r="R195" s="125"/>
      <c r="S195" s="125"/>
      <c r="T195" s="125"/>
      <c r="U195" s="126"/>
      <c r="V195" s="126"/>
      <c r="W195" s="126"/>
    </row>
    <row r="196" spans="1:23" ht="15.75">
      <c r="A196" s="23" t="s">
        <v>304</v>
      </c>
      <c r="B196" s="118"/>
      <c r="C196" s="128"/>
      <c r="D196" s="234"/>
      <c r="E196" s="189"/>
      <c r="F196" s="28"/>
      <c r="G196" t="s">
        <v>75</v>
      </c>
      <c r="H196" s="152"/>
      <c r="I196" s="152"/>
      <c r="J196" s="129" t="s">
        <v>65</v>
      </c>
      <c r="L196" s="102"/>
      <c r="M196" s="65" t="s">
        <v>53</v>
      </c>
      <c r="N196" s="102"/>
      <c r="O196" s="124"/>
      <c r="P196" s="94"/>
      <c r="Q196" s="67" t="s">
        <v>54</v>
      </c>
      <c r="R196" s="125"/>
      <c r="S196" s="125"/>
      <c r="T196" s="125"/>
      <c r="U196" s="126"/>
      <c r="V196" s="126"/>
      <c r="W196" s="126"/>
    </row>
    <row r="197" spans="1:23" ht="15.75">
      <c r="A197" s="23" t="s">
        <v>305</v>
      </c>
      <c r="B197" s="118"/>
      <c r="C197" s="128"/>
      <c r="D197" s="234"/>
      <c r="E197" s="189"/>
      <c r="F197" s="28"/>
      <c r="G197" s="139" t="s">
        <v>77</v>
      </c>
      <c r="H197" s="121"/>
      <c r="I197" s="121"/>
      <c r="J197" s="132" t="s">
        <v>78</v>
      </c>
      <c r="L197" s="105"/>
      <c r="M197" s="65" t="s">
        <v>53</v>
      </c>
      <c r="N197" s="102"/>
      <c r="O197" s="124"/>
      <c r="P197" s="94"/>
      <c r="Q197" s="67" t="s">
        <v>54</v>
      </c>
      <c r="R197" s="125"/>
      <c r="S197" s="125"/>
      <c r="T197" s="125"/>
      <c r="U197" s="126"/>
      <c r="V197" s="126"/>
      <c r="W197" s="126"/>
    </row>
    <row r="198" spans="1:23" ht="15.75" customHeight="1">
      <c r="A198" s="23" t="s">
        <v>306</v>
      </c>
      <c r="B198" s="118"/>
      <c r="C198" s="128"/>
      <c r="D198" s="234"/>
      <c r="E198" s="189"/>
      <c r="F198" s="28"/>
      <c r="G198" s="139" t="s">
        <v>80</v>
      </c>
      <c r="H198" s="121"/>
      <c r="I198" s="121"/>
      <c r="J198" s="132" t="s">
        <v>68</v>
      </c>
      <c r="L198" s="105"/>
      <c r="M198" s="65" t="s">
        <v>53</v>
      </c>
      <c r="N198" s="102"/>
      <c r="O198" s="124"/>
      <c r="P198" s="94"/>
      <c r="Q198" s="67" t="s">
        <v>54</v>
      </c>
      <c r="R198" s="125"/>
      <c r="S198" s="125"/>
      <c r="T198" s="125"/>
      <c r="U198" s="126"/>
      <c r="V198" s="126"/>
      <c r="W198" s="126"/>
    </row>
    <row r="199" spans="1:23" ht="15.75">
      <c r="A199" s="23" t="s">
        <v>307</v>
      </c>
      <c r="B199" s="118"/>
      <c r="C199" s="128"/>
      <c r="D199" s="234"/>
      <c r="E199" s="189"/>
      <c r="F199" s="39"/>
      <c r="G199" s="139" t="s">
        <v>82</v>
      </c>
      <c r="H199" s="121"/>
      <c r="I199" s="121"/>
      <c r="J199" s="132"/>
      <c r="L199" s="105"/>
      <c r="M199" s="65"/>
      <c r="N199" s="102"/>
      <c r="O199" s="124"/>
      <c r="P199" s="94"/>
      <c r="Q199" s="67" t="s">
        <v>54</v>
      </c>
      <c r="R199" s="125"/>
      <c r="S199" s="125"/>
      <c r="T199" s="125"/>
      <c r="U199" s="126"/>
      <c r="V199" s="126"/>
      <c r="W199" s="126"/>
    </row>
    <row r="200" spans="1:23" ht="15.75">
      <c r="A200" s="23" t="s">
        <v>308</v>
      </c>
      <c r="B200" s="118"/>
      <c r="C200" s="128"/>
      <c r="D200" s="234"/>
      <c r="E200" s="189"/>
      <c r="F200" s="39"/>
      <c r="G200" s="139" t="s">
        <v>64</v>
      </c>
      <c r="H200" s="121"/>
      <c r="I200" s="121"/>
      <c r="J200" s="132"/>
      <c r="L200" s="105"/>
      <c r="M200" s="65"/>
      <c r="N200" s="102"/>
      <c r="O200" s="124"/>
      <c r="P200" s="94"/>
      <c r="Q200" s="67" t="s">
        <v>54</v>
      </c>
      <c r="R200" s="125"/>
      <c r="S200" s="125"/>
      <c r="T200" s="125"/>
      <c r="U200" s="126"/>
      <c r="V200" s="126"/>
      <c r="W200" s="126"/>
    </row>
    <row r="201" spans="1:23" ht="15.75">
      <c r="A201" s="23" t="s">
        <v>309</v>
      </c>
      <c r="B201" s="118"/>
      <c r="C201" s="128"/>
      <c r="D201" s="234"/>
      <c r="E201" s="190"/>
      <c r="F201" s="39"/>
      <c r="G201" s="139" t="s">
        <v>87</v>
      </c>
      <c r="H201" s="130"/>
      <c r="I201" s="121"/>
      <c r="J201" s="132"/>
      <c r="L201" s="105"/>
      <c r="M201" s="65"/>
      <c r="N201" s="102"/>
      <c r="O201" s="124"/>
      <c r="P201" s="94"/>
      <c r="Q201" s="67" t="s">
        <v>54</v>
      </c>
      <c r="R201" s="125"/>
      <c r="S201" s="125"/>
      <c r="T201" s="125"/>
      <c r="U201" s="126"/>
      <c r="V201" s="126"/>
      <c r="W201" s="126"/>
    </row>
    <row r="202" spans="1:23" ht="15.75" customHeight="1">
      <c r="A202" s="23" t="s">
        <v>310</v>
      </c>
      <c r="B202" s="118"/>
      <c r="C202" s="119"/>
      <c r="D202" s="234"/>
      <c r="E202" s="233" t="s">
        <v>99</v>
      </c>
      <c r="F202" s="27"/>
      <c r="G202" s="120" t="s">
        <v>71</v>
      </c>
      <c r="H202" s="121"/>
      <c r="I202" s="122"/>
      <c r="J202" s="123" t="s">
        <v>57</v>
      </c>
      <c r="L202" s="102"/>
      <c r="M202" s="65" t="s">
        <v>53</v>
      </c>
      <c r="N202" s="102"/>
      <c r="O202" s="124"/>
      <c r="P202" s="94"/>
      <c r="Q202" s="67" t="s">
        <v>54</v>
      </c>
      <c r="R202" s="125"/>
      <c r="S202" s="125"/>
      <c r="T202" s="125"/>
      <c r="U202" s="126"/>
      <c r="V202" s="126"/>
      <c r="W202" s="126"/>
    </row>
    <row r="203" spans="1:23" ht="15.75" customHeight="1">
      <c r="A203" s="23" t="s">
        <v>311</v>
      </c>
      <c r="B203" s="118"/>
      <c r="C203" s="119"/>
      <c r="D203" s="234"/>
      <c r="E203" s="234"/>
      <c r="F203" s="27"/>
      <c r="G203" s="27" t="s">
        <v>73</v>
      </c>
      <c r="H203" s="121"/>
      <c r="I203" s="122"/>
      <c r="J203" s="127" t="s">
        <v>52</v>
      </c>
      <c r="L203" s="102"/>
      <c r="M203" s="65" t="s">
        <v>53</v>
      </c>
      <c r="N203" s="102"/>
      <c r="O203" s="124"/>
      <c r="P203" s="94"/>
      <c r="Q203" s="67" t="s">
        <v>54</v>
      </c>
      <c r="R203" s="125"/>
      <c r="S203" s="125"/>
      <c r="T203" s="125"/>
      <c r="U203" s="126"/>
      <c r="V203" s="126"/>
      <c r="W203" s="126"/>
    </row>
    <row r="204" spans="1:23" ht="15.75">
      <c r="A204" s="23" t="s">
        <v>312</v>
      </c>
      <c r="B204" s="118"/>
      <c r="C204" s="128"/>
      <c r="D204" s="234"/>
      <c r="E204" s="234"/>
      <c r="F204" s="27"/>
      <c r="G204" s="21" t="s">
        <v>99</v>
      </c>
      <c r="H204" s="121"/>
      <c r="I204" s="122"/>
      <c r="J204" s="129" t="s">
        <v>65</v>
      </c>
      <c r="L204" s="102"/>
      <c r="M204" s="65" t="s">
        <v>53</v>
      </c>
      <c r="N204" s="102"/>
      <c r="O204" s="124"/>
      <c r="P204" s="94"/>
      <c r="Q204" s="67" t="s">
        <v>54</v>
      </c>
      <c r="R204" s="125"/>
      <c r="S204" s="125"/>
      <c r="T204" s="125"/>
      <c r="U204" s="126"/>
      <c r="V204" s="126"/>
      <c r="W204" s="126"/>
    </row>
    <row r="205" spans="1:23" ht="15.75">
      <c r="A205" s="23" t="s">
        <v>313</v>
      </c>
      <c r="B205" s="118"/>
      <c r="C205" s="128"/>
      <c r="D205" s="234"/>
      <c r="E205" s="234"/>
      <c r="F205" s="28"/>
      <c r="G205" s="28" t="s">
        <v>51</v>
      </c>
      <c r="H205" s="130"/>
      <c r="I205" s="131"/>
      <c r="J205" s="132" t="s">
        <v>78</v>
      </c>
      <c r="L205" s="105"/>
      <c r="M205" s="65" t="s">
        <v>53</v>
      </c>
      <c r="N205" s="102"/>
      <c r="O205" s="124"/>
      <c r="P205" s="94"/>
      <c r="Q205" s="67" t="s">
        <v>54</v>
      </c>
      <c r="R205" s="125"/>
      <c r="S205" s="125"/>
      <c r="T205" s="125"/>
      <c r="U205" s="126"/>
      <c r="V205" s="126"/>
      <c r="W205" s="126"/>
    </row>
    <row r="206" spans="1:23" ht="15.75" customHeight="1">
      <c r="A206" s="23" t="s">
        <v>314</v>
      </c>
      <c r="B206" s="118"/>
      <c r="C206" s="128"/>
      <c r="D206" s="234"/>
      <c r="E206" s="234"/>
      <c r="F206" s="27"/>
      <c r="G206" s="120" t="s">
        <v>56</v>
      </c>
      <c r="H206" s="121"/>
      <c r="I206" s="131"/>
      <c r="J206" s="132" t="s">
        <v>68</v>
      </c>
      <c r="L206" s="105"/>
      <c r="M206" s="65" t="s">
        <v>53</v>
      </c>
      <c r="N206" s="102"/>
      <c r="O206" s="124"/>
      <c r="P206" s="94"/>
      <c r="Q206" s="67" t="s">
        <v>54</v>
      </c>
      <c r="R206" s="125"/>
      <c r="S206" s="125"/>
      <c r="T206" s="125"/>
      <c r="U206" s="126"/>
      <c r="V206" s="126"/>
      <c r="W206" s="126"/>
    </row>
    <row r="207" spans="1:23" ht="15.75">
      <c r="A207" s="23" t="s">
        <v>315</v>
      </c>
      <c r="B207" s="118"/>
      <c r="C207" s="128"/>
      <c r="D207" s="234"/>
      <c r="E207" s="234"/>
      <c r="F207" s="27"/>
      <c r="G207" s="133" t="s">
        <v>105</v>
      </c>
      <c r="H207" s="121"/>
      <c r="I207" s="131"/>
      <c r="J207" s="132"/>
      <c r="L207" s="105"/>
      <c r="M207" s="65"/>
      <c r="N207" s="102"/>
      <c r="O207" s="124"/>
      <c r="P207" s="94"/>
      <c r="Q207" s="67" t="s">
        <v>54</v>
      </c>
      <c r="R207" s="125"/>
      <c r="S207" s="125"/>
      <c r="T207" s="125"/>
      <c r="U207" s="126"/>
      <c r="V207" s="126"/>
      <c r="W207" s="126"/>
    </row>
    <row r="208" spans="1:23" ht="15.75">
      <c r="A208" s="23" t="s">
        <v>316</v>
      </c>
      <c r="B208" s="118"/>
      <c r="C208" s="128"/>
      <c r="D208" s="234"/>
      <c r="E208" s="234"/>
      <c r="F208" s="27"/>
      <c r="G208" s="133" t="s">
        <v>107</v>
      </c>
      <c r="H208" s="121"/>
      <c r="I208" s="131"/>
      <c r="J208" s="132"/>
      <c r="L208" s="105"/>
      <c r="M208" s="65"/>
      <c r="N208" s="102"/>
      <c r="O208" s="124"/>
      <c r="P208" s="94"/>
      <c r="Q208" s="67" t="s">
        <v>54</v>
      </c>
      <c r="R208" s="125"/>
      <c r="S208" s="125"/>
      <c r="T208" s="125"/>
      <c r="U208" s="126"/>
      <c r="V208" s="126"/>
      <c r="W208" s="126"/>
    </row>
    <row r="209" spans="1:23" ht="15.75" customHeight="1">
      <c r="A209" s="23" t="s">
        <v>317</v>
      </c>
      <c r="B209" s="118"/>
      <c r="C209" s="128"/>
      <c r="D209" s="234"/>
      <c r="E209" s="190"/>
      <c r="F209" s="44"/>
      <c r="G209" s="134" t="s">
        <v>87</v>
      </c>
      <c r="H209" s="135"/>
      <c r="I209" s="121"/>
      <c r="J209" s="132"/>
      <c r="L209" s="105"/>
      <c r="M209" s="65"/>
      <c r="N209" s="102"/>
      <c r="O209" s="124"/>
      <c r="P209" s="94"/>
      <c r="Q209" s="67" t="s">
        <v>54</v>
      </c>
      <c r="R209" s="125"/>
      <c r="S209" s="125"/>
      <c r="T209" s="125"/>
      <c r="U209" s="126"/>
      <c r="V209" s="126"/>
      <c r="W209" s="126"/>
    </row>
    <row r="210" spans="1:23" ht="15.75" customHeight="1">
      <c r="A210" s="23" t="s">
        <v>318</v>
      </c>
      <c r="B210" s="136"/>
      <c r="C210" s="140"/>
      <c r="D210" s="203" t="s">
        <v>110</v>
      </c>
      <c r="E210" s="188" t="s">
        <v>111</v>
      </c>
      <c r="F210" s="27"/>
      <c r="G210" s="120" t="s">
        <v>71</v>
      </c>
      <c r="H210" s="122"/>
      <c r="I210" s="152"/>
      <c r="J210" s="123" t="s">
        <v>57</v>
      </c>
      <c r="L210" s="102"/>
      <c r="M210" s="65" t="s">
        <v>53</v>
      </c>
      <c r="N210" s="102"/>
      <c r="O210" s="124"/>
      <c r="P210" s="94"/>
      <c r="Q210" s="67"/>
      <c r="R210" s="125"/>
      <c r="S210" s="125"/>
      <c r="T210" s="125"/>
      <c r="U210" s="126"/>
      <c r="V210" s="126"/>
      <c r="W210" s="126"/>
    </row>
    <row r="211" spans="1:23" ht="15.75" customHeight="1">
      <c r="A211" s="23" t="s">
        <v>319</v>
      </c>
      <c r="B211" s="136"/>
      <c r="C211" s="140"/>
      <c r="D211" s="203"/>
      <c r="E211" s="189"/>
      <c r="F211" s="27"/>
      <c r="G211" s="27" t="s">
        <v>113</v>
      </c>
      <c r="H211" s="122"/>
      <c r="I211" s="152"/>
      <c r="J211" s="127" t="s">
        <v>52</v>
      </c>
      <c r="L211" s="102"/>
      <c r="M211" s="65" t="s">
        <v>53</v>
      </c>
      <c r="N211" s="102"/>
      <c r="O211" s="124"/>
      <c r="P211" s="94"/>
      <c r="Q211" s="94"/>
      <c r="R211" s="125"/>
      <c r="S211" s="125"/>
      <c r="T211" s="125"/>
      <c r="U211" s="126"/>
      <c r="V211" s="126"/>
      <c r="W211" s="126"/>
    </row>
    <row r="212" spans="1:23" ht="15.75">
      <c r="A212" s="23" t="s">
        <v>320</v>
      </c>
      <c r="B212" s="136"/>
      <c r="C212" s="140"/>
      <c r="D212" s="203"/>
      <c r="E212" s="189"/>
      <c r="F212" s="27"/>
      <c r="G212" s="141" t="s">
        <v>115</v>
      </c>
      <c r="H212" s="148"/>
      <c r="I212" s="152"/>
      <c r="J212" s="132" t="s">
        <v>116</v>
      </c>
      <c r="L212" s="102"/>
      <c r="M212" s="65" t="s">
        <v>53</v>
      </c>
      <c r="N212" s="102"/>
      <c r="O212" s="124"/>
      <c r="P212" s="94"/>
      <c r="Q212" s="94"/>
      <c r="R212" s="125"/>
      <c r="S212" s="125"/>
      <c r="T212" s="125"/>
      <c r="U212" s="126"/>
      <c r="V212" s="126"/>
      <c r="W212" s="126"/>
    </row>
    <row r="213" spans="1:23" ht="15.75" customHeight="1">
      <c r="A213" s="23" t="s">
        <v>321</v>
      </c>
      <c r="B213" s="136"/>
      <c r="C213" s="140"/>
      <c r="D213" s="203"/>
      <c r="E213" s="189"/>
      <c r="F213" s="27"/>
      <c r="G213" s="120" t="s">
        <v>118</v>
      </c>
      <c r="H213" s="142"/>
      <c r="I213" s="152"/>
      <c r="J213" s="123" t="s">
        <v>57</v>
      </c>
      <c r="L213" s="102"/>
      <c r="M213" s="65"/>
      <c r="N213" s="102"/>
      <c r="O213" s="124"/>
      <c r="P213" s="94"/>
      <c r="Q213" s="94"/>
      <c r="R213" s="125"/>
      <c r="S213" s="125"/>
      <c r="T213" s="125"/>
      <c r="U213" s="126"/>
      <c r="V213" s="126"/>
      <c r="W213" s="126"/>
    </row>
    <row r="214" spans="1:23" ht="15.75" customHeight="1">
      <c r="A214" s="23" t="s">
        <v>322</v>
      </c>
      <c r="B214" s="136"/>
      <c r="C214" s="140"/>
      <c r="D214" s="203"/>
      <c r="E214" s="189"/>
      <c r="F214" s="27"/>
      <c r="G214" s="27" t="s">
        <v>120</v>
      </c>
      <c r="H214" s="142"/>
      <c r="I214" s="152"/>
      <c r="J214" s="127" t="s">
        <v>52</v>
      </c>
      <c r="L214" s="102"/>
      <c r="M214" s="65"/>
      <c r="N214" s="102"/>
      <c r="O214" s="124"/>
      <c r="P214" s="94"/>
      <c r="Q214" s="94"/>
      <c r="R214" s="125"/>
      <c r="S214" s="125"/>
      <c r="T214" s="125"/>
      <c r="U214" s="126"/>
      <c r="V214" s="126"/>
      <c r="W214" s="126"/>
    </row>
    <row r="215" spans="1:23" ht="15.75">
      <c r="A215" s="23" t="s">
        <v>323</v>
      </c>
      <c r="B215" s="136"/>
      <c r="C215" s="140"/>
      <c r="D215" s="203"/>
      <c r="E215" s="190"/>
      <c r="F215" s="27"/>
      <c r="G215" s="27" t="s">
        <v>122</v>
      </c>
      <c r="H215" s="142"/>
      <c r="I215" s="152"/>
      <c r="J215" s="143"/>
      <c r="L215" s="102"/>
      <c r="M215" s="65"/>
      <c r="N215" s="102"/>
      <c r="O215" s="124"/>
      <c r="P215" s="94"/>
      <c r="Q215" s="94"/>
      <c r="R215" s="125"/>
      <c r="S215" s="125"/>
      <c r="T215" s="125"/>
      <c r="U215" s="126"/>
      <c r="V215" s="126"/>
      <c r="W215" s="126"/>
    </row>
    <row r="216" spans="1:23" ht="15.75" customHeight="1">
      <c r="A216" s="23" t="s">
        <v>324</v>
      </c>
      <c r="B216" s="136"/>
      <c r="C216" s="140"/>
      <c r="D216" s="203"/>
      <c r="E216" s="188" t="s">
        <v>125</v>
      </c>
      <c r="F216" s="27"/>
      <c r="G216" s="120" t="s">
        <v>71</v>
      </c>
      <c r="H216" s="122"/>
      <c r="I216" s="152"/>
      <c r="J216" s="123" t="s">
        <v>57</v>
      </c>
      <c r="L216" s="102"/>
      <c r="M216" s="65" t="s">
        <v>53</v>
      </c>
      <c r="N216" s="102"/>
      <c r="O216" s="124"/>
      <c r="P216" s="94"/>
      <c r="Q216" s="94"/>
      <c r="R216" s="125"/>
      <c r="S216" s="125"/>
      <c r="T216" s="125"/>
      <c r="U216" s="126"/>
      <c r="V216" s="126"/>
      <c r="W216" s="126"/>
    </row>
    <row r="217" spans="1:23" ht="15.75" customHeight="1">
      <c r="A217" s="23" t="s">
        <v>325</v>
      </c>
      <c r="B217" s="136"/>
      <c r="C217" s="140"/>
      <c r="D217" s="203"/>
      <c r="E217" s="189"/>
      <c r="F217" s="27"/>
      <c r="G217" s="27" t="s">
        <v>113</v>
      </c>
      <c r="H217" s="122"/>
      <c r="I217" s="152"/>
      <c r="J217" s="127" t="s">
        <v>52</v>
      </c>
      <c r="L217" s="102"/>
      <c r="M217" s="65" t="s">
        <v>53</v>
      </c>
      <c r="N217" s="102"/>
      <c r="O217" s="124"/>
      <c r="P217" s="94"/>
      <c r="Q217" s="94"/>
      <c r="R217" s="125"/>
      <c r="S217" s="125"/>
      <c r="T217" s="125"/>
      <c r="U217" s="126"/>
      <c r="V217" s="126"/>
      <c r="W217" s="126"/>
    </row>
    <row r="218" spans="1:23" ht="15.75">
      <c r="A218" s="23" t="s">
        <v>326</v>
      </c>
      <c r="B218" s="136"/>
      <c r="C218" s="140"/>
      <c r="D218" s="203"/>
      <c r="E218" s="189"/>
      <c r="F218" s="27"/>
      <c r="G218" s="141" t="s">
        <v>115</v>
      </c>
      <c r="H218" s="148"/>
      <c r="I218" s="152"/>
      <c r="J218" s="132" t="s">
        <v>116</v>
      </c>
      <c r="L218" s="102"/>
      <c r="M218" s="65" t="s">
        <v>53</v>
      </c>
      <c r="N218" s="102"/>
      <c r="O218" s="124"/>
      <c r="P218" s="94"/>
      <c r="Q218" s="94"/>
      <c r="R218" s="125"/>
      <c r="S218" s="125"/>
      <c r="T218" s="125"/>
      <c r="U218" s="126"/>
      <c r="V218" s="126"/>
      <c r="W218" s="126"/>
    </row>
    <row r="219" spans="1:23" ht="15.75" customHeight="1">
      <c r="A219" s="23" t="s">
        <v>327</v>
      </c>
      <c r="B219" s="136"/>
      <c r="C219" s="140"/>
      <c r="D219" s="203"/>
      <c r="E219" s="189"/>
      <c r="F219" s="27"/>
      <c r="G219" s="120" t="s">
        <v>129</v>
      </c>
      <c r="H219" s="142"/>
      <c r="I219" s="152"/>
      <c r="J219" s="123" t="s">
        <v>57</v>
      </c>
      <c r="L219" s="102"/>
      <c r="M219" s="65"/>
      <c r="N219" s="102"/>
      <c r="O219" s="124"/>
      <c r="P219" s="94"/>
      <c r="Q219" s="94"/>
      <c r="R219" s="125"/>
      <c r="S219" s="125"/>
      <c r="T219" s="125"/>
      <c r="U219" s="126"/>
      <c r="V219" s="126"/>
      <c r="W219" s="126"/>
    </row>
    <row r="220" spans="1:23" ht="15.75" customHeight="1">
      <c r="A220" s="23" t="s">
        <v>328</v>
      </c>
      <c r="B220" s="136"/>
      <c r="C220" s="140"/>
      <c r="D220" s="203"/>
      <c r="E220" s="189"/>
      <c r="F220" s="27"/>
      <c r="G220" s="27" t="s">
        <v>131</v>
      </c>
      <c r="H220" s="142"/>
      <c r="I220" s="152"/>
      <c r="J220" s="127" t="s">
        <v>52</v>
      </c>
      <c r="L220" s="102"/>
      <c r="M220" s="65"/>
      <c r="N220" s="102"/>
      <c r="O220" s="124"/>
      <c r="P220" s="94"/>
      <c r="Q220" s="94"/>
      <c r="R220" s="125"/>
      <c r="S220" s="125"/>
      <c r="T220" s="125"/>
      <c r="U220" s="126"/>
      <c r="V220" s="126"/>
      <c r="W220" s="126"/>
    </row>
    <row r="221" spans="1:23" ht="15.75" customHeight="1">
      <c r="A221" s="23" t="s">
        <v>329</v>
      </c>
      <c r="B221" s="136"/>
      <c r="C221" s="140"/>
      <c r="D221" s="188" t="s">
        <v>133</v>
      </c>
      <c r="E221" s="188" t="s">
        <v>134</v>
      </c>
      <c r="F221" s="27"/>
      <c r="G221" s="120" t="s">
        <v>71</v>
      </c>
      <c r="H221" s="122"/>
      <c r="I221" s="152"/>
      <c r="J221" s="123" t="s">
        <v>57</v>
      </c>
      <c r="L221" s="102"/>
      <c r="M221" s="65" t="s">
        <v>53</v>
      </c>
      <c r="N221" s="102"/>
      <c r="O221" s="124"/>
      <c r="P221" s="94"/>
      <c r="Q221" s="94"/>
      <c r="R221" s="125"/>
      <c r="S221" s="125"/>
      <c r="T221" s="125"/>
      <c r="U221" s="126"/>
      <c r="V221" s="126"/>
      <c r="W221" s="126"/>
    </row>
    <row r="222" spans="1:23" ht="15.75" customHeight="1">
      <c r="A222" s="23" t="s">
        <v>330</v>
      </c>
      <c r="B222" s="136"/>
      <c r="C222" s="140"/>
      <c r="D222" s="189"/>
      <c r="E222" s="189"/>
      <c r="F222" s="27"/>
      <c r="G222" s="27" t="s">
        <v>113</v>
      </c>
      <c r="H222" s="122"/>
      <c r="I222" s="152"/>
      <c r="J222" s="127" t="s">
        <v>52</v>
      </c>
      <c r="L222" s="102"/>
      <c r="M222" s="65" t="s">
        <v>53</v>
      </c>
      <c r="N222" s="102"/>
      <c r="O222" s="124"/>
      <c r="P222" s="94"/>
      <c r="Q222" s="94"/>
      <c r="R222" s="125"/>
      <c r="S222" s="125"/>
      <c r="T222" s="125"/>
      <c r="U222" s="126"/>
      <c r="V222" s="126"/>
      <c r="W222" s="126"/>
    </row>
    <row r="223" spans="1:23" ht="15.75" customHeight="1">
      <c r="A223" s="23" t="s">
        <v>331</v>
      </c>
      <c r="B223" s="136"/>
      <c r="C223" s="140"/>
      <c r="D223" s="189"/>
      <c r="E223" s="189"/>
      <c r="F223" s="27"/>
      <c r="G223" s="141" t="s">
        <v>115</v>
      </c>
      <c r="H223" s="148"/>
      <c r="I223" s="152"/>
      <c r="J223" s="132" t="s">
        <v>116</v>
      </c>
      <c r="L223" s="102"/>
      <c r="M223" s="65" t="s">
        <v>53</v>
      </c>
      <c r="N223" s="102"/>
      <c r="O223" s="124"/>
      <c r="P223" s="94"/>
      <c r="Q223" s="94"/>
      <c r="R223" s="125"/>
      <c r="S223" s="125"/>
      <c r="T223" s="125"/>
      <c r="U223" s="126"/>
      <c r="V223" s="126"/>
      <c r="W223" s="126"/>
    </row>
    <row r="224" spans="1:23" ht="15.75" customHeight="1">
      <c r="A224" s="23" t="s">
        <v>332</v>
      </c>
      <c r="B224" s="136"/>
      <c r="C224" s="140"/>
      <c r="D224" s="189"/>
      <c r="E224" s="189"/>
      <c r="F224" s="27"/>
      <c r="G224" s="120" t="s">
        <v>118</v>
      </c>
      <c r="H224" s="142"/>
      <c r="I224" s="152"/>
      <c r="J224" s="123" t="s">
        <v>57</v>
      </c>
      <c r="L224" s="102"/>
      <c r="M224" s="65"/>
      <c r="N224" s="102"/>
      <c r="O224" s="124"/>
      <c r="P224" s="94"/>
      <c r="Q224" s="94"/>
      <c r="R224" s="125"/>
      <c r="S224" s="125"/>
      <c r="T224" s="125"/>
      <c r="U224" s="126"/>
      <c r="V224" s="126"/>
      <c r="W224" s="126"/>
    </row>
    <row r="225" spans="1:23" ht="15.75" customHeight="1">
      <c r="A225" s="23" t="s">
        <v>333</v>
      </c>
      <c r="B225" s="136"/>
      <c r="C225" s="140"/>
      <c r="D225" s="189"/>
      <c r="E225" s="189"/>
      <c r="F225" s="27"/>
      <c r="G225" s="27" t="s">
        <v>120</v>
      </c>
      <c r="H225" s="142"/>
      <c r="I225" s="152"/>
      <c r="J225" s="127" t="s">
        <v>52</v>
      </c>
      <c r="L225" s="102"/>
      <c r="M225" s="65"/>
      <c r="N225" s="102"/>
      <c r="O225" s="124"/>
      <c r="P225" s="94"/>
      <c r="Q225" s="94"/>
      <c r="R225" s="125"/>
      <c r="S225" s="125"/>
      <c r="T225" s="125"/>
      <c r="U225" s="126"/>
      <c r="V225" s="126"/>
      <c r="W225" s="126"/>
    </row>
    <row r="226" spans="1:23" ht="15.75" customHeight="1">
      <c r="A226" s="23" t="s">
        <v>334</v>
      </c>
      <c r="B226" s="136"/>
      <c r="C226" s="140"/>
      <c r="D226" s="189"/>
      <c r="E226" s="190"/>
      <c r="F226" s="27"/>
      <c r="G226" s="28" t="s">
        <v>122</v>
      </c>
      <c r="H226" s="142"/>
      <c r="I226" s="152"/>
      <c r="J226" s="143"/>
      <c r="L226" s="102"/>
      <c r="M226" s="65"/>
      <c r="N226" s="102"/>
      <c r="O226" s="124"/>
      <c r="P226" s="94"/>
      <c r="Q226" s="94"/>
      <c r="R226" s="125"/>
      <c r="S226" s="125"/>
      <c r="T226" s="125"/>
      <c r="U226" s="126"/>
      <c r="V226" s="126"/>
      <c r="W226" s="126"/>
    </row>
    <row r="227" spans="1:23" ht="15.75" customHeight="1">
      <c r="A227" s="23" t="s">
        <v>335</v>
      </c>
      <c r="B227" s="136"/>
      <c r="C227" s="140"/>
      <c r="D227" s="189"/>
      <c r="E227" s="188" t="s">
        <v>141</v>
      </c>
      <c r="F227" s="112"/>
      <c r="G227" s="120" t="s">
        <v>71</v>
      </c>
      <c r="H227" s="121"/>
      <c r="I227" s="121"/>
      <c r="J227" s="132" t="s">
        <v>57</v>
      </c>
      <c r="L227" s="102"/>
      <c r="M227" s="65" t="s">
        <v>53</v>
      </c>
      <c r="N227" s="102"/>
      <c r="O227" s="124"/>
      <c r="P227" s="94"/>
      <c r="Q227" s="94"/>
      <c r="R227" s="125"/>
      <c r="S227" s="125"/>
      <c r="T227" s="125"/>
      <c r="U227" s="126"/>
      <c r="V227" s="126"/>
      <c r="W227" s="126"/>
    </row>
    <row r="228" spans="1:23" ht="15.75" customHeight="1">
      <c r="A228" s="23" t="s">
        <v>336</v>
      </c>
      <c r="B228" s="136"/>
      <c r="C228" s="140"/>
      <c r="D228" s="189"/>
      <c r="E228" s="189"/>
      <c r="F228" s="112"/>
      <c r="G228" s="27" t="s">
        <v>113</v>
      </c>
      <c r="H228" s="121"/>
      <c r="I228" s="121"/>
      <c r="J228" s="144" t="s">
        <v>52</v>
      </c>
      <c r="L228" s="102"/>
      <c r="M228" s="65" t="s">
        <v>53</v>
      </c>
      <c r="N228" s="102"/>
      <c r="O228" s="124"/>
      <c r="P228" s="94"/>
      <c r="Q228" s="94"/>
      <c r="R228" s="125"/>
      <c r="S228" s="125"/>
      <c r="T228" s="125"/>
      <c r="U228" s="126"/>
      <c r="V228" s="126"/>
      <c r="W228" s="126"/>
    </row>
    <row r="229" spans="1:23" ht="15.75">
      <c r="A229" s="23" t="s">
        <v>337</v>
      </c>
      <c r="B229" s="136"/>
      <c r="C229" s="140"/>
      <c r="D229" s="189"/>
      <c r="E229" s="189"/>
      <c r="F229" s="112"/>
      <c r="G229" s="141" t="s">
        <v>115</v>
      </c>
      <c r="H229" s="133"/>
      <c r="I229" s="121"/>
      <c r="J229" s="132" t="s">
        <v>116</v>
      </c>
      <c r="L229" s="102"/>
      <c r="M229" s="65" t="s">
        <v>53</v>
      </c>
      <c r="N229" s="102"/>
      <c r="O229" s="124"/>
      <c r="P229" s="94"/>
      <c r="Q229" s="94"/>
      <c r="R229" s="125"/>
      <c r="S229" s="125"/>
      <c r="T229" s="125"/>
      <c r="U229" s="126"/>
      <c r="V229" s="126"/>
      <c r="W229" s="126"/>
    </row>
    <row r="230" spans="1:23" ht="15.75" customHeight="1">
      <c r="A230" s="23" t="s">
        <v>338</v>
      </c>
      <c r="B230" s="136"/>
      <c r="C230" s="140"/>
      <c r="D230" s="189"/>
      <c r="E230" s="189"/>
      <c r="F230" s="112"/>
      <c r="G230" s="120" t="s">
        <v>118</v>
      </c>
      <c r="H230" s="133"/>
      <c r="I230" s="121"/>
      <c r="J230" s="132" t="s">
        <v>57</v>
      </c>
      <c r="L230" s="102"/>
      <c r="M230" s="65"/>
      <c r="N230" s="102"/>
      <c r="O230" s="124"/>
      <c r="P230" s="94"/>
      <c r="Q230" s="94"/>
      <c r="R230" s="125"/>
      <c r="S230" s="125"/>
      <c r="T230" s="125"/>
      <c r="U230" s="126"/>
      <c r="V230" s="126"/>
      <c r="W230" s="126"/>
    </row>
    <row r="231" spans="1:23" ht="15.75" customHeight="1">
      <c r="A231" s="23" t="s">
        <v>339</v>
      </c>
      <c r="B231" s="136"/>
      <c r="C231" s="140"/>
      <c r="D231" s="189"/>
      <c r="E231" s="189"/>
      <c r="F231" s="112"/>
      <c r="G231" s="27" t="s">
        <v>120</v>
      </c>
      <c r="H231" s="133"/>
      <c r="I231" s="121"/>
      <c r="J231" s="144" t="s">
        <v>52</v>
      </c>
      <c r="L231" s="102"/>
      <c r="M231" s="65"/>
      <c r="N231" s="102"/>
      <c r="O231" s="124"/>
      <c r="P231" s="94"/>
      <c r="Q231" s="94"/>
      <c r="R231" s="125"/>
      <c r="S231" s="125"/>
      <c r="T231" s="125"/>
      <c r="U231" s="126"/>
      <c r="V231" s="126"/>
      <c r="W231" s="126"/>
    </row>
    <row r="232" spans="1:23" ht="15.75">
      <c r="A232" s="23" t="s">
        <v>340</v>
      </c>
      <c r="B232" s="136"/>
      <c r="C232" s="140"/>
      <c r="D232" s="190"/>
      <c r="E232" s="190"/>
      <c r="F232" s="112"/>
      <c r="G232" s="27" t="s">
        <v>122</v>
      </c>
      <c r="H232" s="133"/>
      <c r="I232" s="121"/>
      <c r="J232" s="144"/>
      <c r="L232" s="102"/>
      <c r="M232" s="65"/>
      <c r="N232" s="102"/>
      <c r="O232" s="124"/>
      <c r="P232" s="94"/>
      <c r="Q232" s="94"/>
      <c r="R232" s="125"/>
      <c r="S232" s="125"/>
      <c r="T232" s="125"/>
      <c r="U232" s="126"/>
      <c r="V232" s="126"/>
      <c r="W232" s="126"/>
    </row>
    <row r="233" spans="1:23" ht="15.75" customHeight="1">
      <c r="A233" s="23" t="s">
        <v>341</v>
      </c>
      <c r="B233" s="147"/>
      <c r="C233" s="140"/>
      <c r="D233" s="203" t="s">
        <v>148</v>
      </c>
      <c r="E233" s="188" t="s">
        <v>149</v>
      </c>
      <c r="F233" s="113"/>
      <c r="G233" s="120" t="s">
        <v>71</v>
      </c>
      <c r="H233" s="133"/>
      <c r="I233" s="121"/>
      <c r="J233" s="116" t="s">
        <v>150</v>
      </c>
      <c r="L233" s="102"/>
      <c r="M233" s="65" t="s">
        <v>53</v>
      </c>
      <c r="N233" s="102"/>
      <c r="O233" s="124"/>
      <c r="P233" s="94"/>
      <c r="Q233" s="94"/>
      <c r="R233" s="125"/>
      <c r="S233" s="125"/>
      <c r="T233" s="125"/>
      <c r="U233" s="126"/>
      <c r="V233" s="126"/>
      <c r="W233" s="126"/>
    </row>
    <row r="234" spans="1:23" ht="15.75">
      <c r="A234" s="23" t="s">
        <v>342</v>
      </c>
      <c r="B234" s="147"/>
      <c r="C234" s="140"/>
      <c r="D234" s="203"/>
      <c r="E234" s="189"/>
      <c r="F234" s="27"/>
      <c r="G234" s="27" t="s">
        <v>113</v>
      </c>
      <c r="H234" s="145"/>
      <c r="I234" s="146"/>
      <c r="J234" s="117" t="s">
        <v>152</v>
      </c>
      <c r="L234" s="102"/>
      <c r="M234" s="65" t="s">
        <v>53</v>
      </c>
      <c r="N234" s="102"/>
      <c r="O234" s="124"/>
      <c r="P234" s="94"/>
      <c r="Q234" s="94"/>
      <c r="R234" s="125"/>
      <c r="S234" s="125"/>
      <c r="T234" s="125"/>
      <c r="U234" s="126"/>
      <c r="V234" s="126"/>
      <c r="W234" s="126"/>
    </row>
    <row r="235" spans="1:23" ht="15.75">
      <c r="A235" s="23" t="s">
        <v>343</v>
      </c>
      <c r="B235" s="147"/>
      <c r="C235" s="140"/>
      <c r="D235" s="203"/>
      <c r="E235" s="189"/>
      <c r="F235" s="27"/>
      <c r="G235" s="141" t="s">
        <v>154</v>
      </c>
      <c r="H235" s="148"/>
      <c r="I235" s="152"/>
      <c r="J235" s="116" t="s">
        <v>155</v>
      </c>
      <c r="L235" s="102"/>
      <c r="M235" s="65" t="s">
        <v>53</v>
      </c>
      <c r="N235" s="102"/>
      <c r="O235" s="124"/>
      <c r="P235" s="94"/>
      <c r="Q235" s="94"/>
      <c r="R235" s="125"/>
      <c r="S235" s="125"/>
      <c r="T235" s="125"/>
      <c r="U235" s="126"/>
      <c r="V235" s="126"/>
      <c r="W235" s="126"/>
    </row>
    <row r="236" spans="1:23" ht="15.75" customHeight="1">
      <c r="A236" s="23" t="s">
        <v>344</v>
      </c>
      <c r="B236" s="147"/>
      <c r="C236" s="140"/>
      <c r="D236" s="203"/>
      <c r="E236" s="189"/>
      <c r="F236" s="27"/>
      <c r="G236" s="141" t="s">
        <v>157</v>
      </c>
      <c r="H236" s="148"/>
      <c r="I236" s="152"/>
      <c r="J236" s="116"/>
      <c r="L236" s="102"/>
      <c r="M236" s="65"/>
      <c r="N236" s="102"/>
      <c r="O236" s="124"/>
      <c r="P236" s="94"/>
      <c r="Q236" s="94"/>
      <c r="R236" s="125"/>
      <c r="S236" s="125"/>
      <c r="T236" s="125"/>
      <c r="U236" s="126"/>
      <c r="V236" s="126"/>
      <c r="W236" s="126"/>
    </row>
    <row r="237" spans="1:23" ht="15.75">
      <c r="A237" s="23" t="s">
        <v>345</v>
      </c>
      <c r="B237" s="118"/>
      <c r="C237" s="128"/>
      <c r="D237" s="203"/>
      <c r="E237" s="190"/>
      <c r="F237" s="44"/>
      <c r="G237" s="134" t="s">
        <v>87</v>
      </c>
      <c r="H237" s="135"/>
      <c r="I237" s="121"/>
      <c r="J237" s="132"/>
      <c r="L237" s="105"/>
      <c r="M237" s="65"/>
      <c r="N237" s="102"/>
      <c r="O237" s="124"/>
      <c r="P237" s="94"/>
      <c r="Q237" s="94"/>
      <c r="R237" s="125"/>
      <c r="S237" s="125"/>
      <c r="T237" s="125"/>
      <c r="U237" s="126"/>
      <c r="V237" s="126"/>
      <c r="W237" s="126"/>
    </row>
    <row r="238" spans="1:23" ht="15.75" customHeight="1">
      <c r="A238" s="23" t="s">
        <v>346</v>
      </c>
      <c r="B238" s="136"/>
      <c r="C238" s="140"/>
      <c r="D238" s="203"/>
      <c r="E238" s="188" t="s">
        <v>160</v>
      </c>
      <c r="F238" s="112"/>
      <c r="G238" s="120" t="s">
        <v>71</v>
      </c>
      <c r="H238" s="121"/>
      <c r="I238" s="121"/>
      <c r="J238" s="132" t="s">
        <v>57</v>
      </c>
      <c r="L238" s="102"/>
      <c r="M238" s="65" t="s">
        <v>53</v>
      </c>
      <c r="N238" s="102"/>
      <c r="O238" s="124"/>
      <c r="P238" s="94"/>
      <c r="Q238" s="94"/>
      <c r="R238" s="125"/>
      <c r="S238" s="125"/>
      <c r="T238" s="125"/>
      <c r="U238" s="126"/>
      <c r="V238" s="126"/>
      <c r="W238" s="126"/>
    </row>
    <row r="239" spans="1:23" ht="15.75" customHeight="1">
      <c r="A239" s="23" t="s">
        <v>347</v>
      </c>
      <c r="B239" s="136"/>
      <c r="C239" s="140"/>
      <c r="D239" s="203"/>
      <c r="E239" s="189"/>
      <c r="F239" s="112"/>
      <c r="G239" s="27" t="s">
        <v>113</v>
      </c>
      <c r="H239" s="121"/>
      <c r="I239" s="121"/>
      <c r="J239" s="144" t="s">
        <v>52</v>
      </c>
      <c r="L239" s="102"/>
      <c r="M239" s="65" t="s">
        <v>53</v>
      </c>
      <c r="N239" s="102"/>
      <c r="O239" s="124"/>
      <c r="P239" s="94"/>
      <c r="Q239" s="94"/>
      <c r="R239" s="125"/>
      <c r="S239" s="125"/>
      <c r="T239" s="125"/>
      <c r="U239" s="126"/>
      <c r="V239" s="126"/>
      <c r="W239" s="126"/>
    </row>
    <row r="240" spans="1:23" ht="15.75">
      <c r="A240" s="23" t="s">
        <v>348</v>
      </c>
      <c r="B240" s="136"/>
      <c r="C240" s="140"/>
      <c r="D240" s="203"/>
      <c r="E240" s="189"/>
      <c r="F240" s="112"/>
      <c r="G240" s="141" t="s">
        <v>115</v>
      </c>
      <c r="H240" s="133"/>
      <c r="I240" s="121"/>
      <c r="J240" s="132" t="s">
        <v>116</v>
      </c>
      <c r="L240" s="102"/>
      <c r="M240" s="65" t="s">
        <v>53</v>
      </c>
      <c r="N240" s="102"/>
      <c r="O240" s="124"/>
      <c r="P240" s="94"/>
      <c r="Q240" s="94"/>
      <c r="R240" s="125"/>
      <c r="S240" s="125"/>
      <c r="T240" s="125"/>
      <c r="U240" s="126"/>
      <c r="V240" s="126"/>
      <c r="W240" s="126"/>
    </row>
    <row r="241" spans="1:23" ht="15.75" customHeight="1">
      <c r="A241" s="23" t="s">
        <v>349</v>
      </c>
      <c r="B241" s="136"/>
      <c r="C241" s="140"/>
      <c r="D241" s="203"/>
      <c r="E241" s="189"/>
      <c r="F241" s="112"/>
      <c r="G241" s="120" t="s">
        <v>118</v>
      </c>
      <c r="H241" s="133"/>
      <c r="I241" s="121"/>
      <c r="J241" s="132" t="s">
        <v>57</v>
      </c>
      <c r="L241" s="102"/>
      <c r="M241" s="65"/>
      <c r="N241" s="102"/>
      <c r="O241" s="124"/>
      <c r="P241" s="94"/>
      <c r="Q241" s="94"/>
      <c r="R241" s="125"/>
      <c r="S241" s="125"/>
      <c r="T241" s="125"/>
      <c r="U241" s="126"/>
      <c r="V241" s="126"/>
      <c r="W241" s="126"/>
    </row>
    <row r="242" spans="1:23" ht="15.75" customHeight="1">
      <c r="A242" s="23" t="s">
        <v>350</v>
      </c>
      <c r="B242" s="136"/>
      <c r="C242" s="140"/>
      <c r="D242" s="203"/>
      <c r="E242" s="189"/>
      <c r="F242" s="112"/>
      <c r="G242" s="27" t="s">
        <v>120</v>
      </c>
      <c r="H242" s="133"/>
      <c r="I242" s="121"/>
      <c r="J242" s="144" t="s">
        <v>52</v>
      </c>
      <c r="L242" s="102"/>
      <c r="M242" s="65"/>
      <c r="N242" s="102"/>
      <c r="O242" s="124"/>
      <c r="P242" s="94"/>
      <c r="Q242" s="94"/>
      <c r="R242" s="125"/>
      <c r="S242" s="125"/>
      <c r="T242" s="125"/>
      <c r="U242" s="126"/>
      <c r="V242" s="126"/>
      <c r="W242" s="126"/>
    </row>
    <row r="243" spans="1:23" ht="15.75">
      <c r="A243" s="23" t="s">
        <v>351</v>
      </c>
      <c r="B243" s="136"/>
      <c r="C243" s="140"/>
      <c r="D243" s="203"/>
      <c r="E243" s="189"/>
      <c r="F243" s="112"/>
      <c r="G243" s="27" t="s">
        <v>122</v>
      </c>
      <c r="H243" s="133"/>
      <c r="I243" s="121"/>
      <c r="J243" s="144"/>
      <c r="L243" s="102"/>
      <c r="M243" s="65"/>
      <c r="N243" s="102"/>
      <c r="O243" s="124"/>
      <c r="P243" s="94"/>
      <c r="Q243" s="94"/>
      <c r="R243" s="125"/>
      <c r="S243" s="125"/>
      <c r="T243" s="125"/>
      <c r="U243" s="126"/>
      <c r="V243" s="126"/>
      <c r="W243" s="126"/>
    </row>
    <row r="244" spans="1:23" ht="15.75">
      <c r="A244" s="23" t="s">
        <v>352</v>
      </c>
      <c r="B244" s="118"/>
      <c r="C244" s="128"/>
      <c r="D244" s="203"/>
      <c r="E244" s="190"/>
      <c r="F244" s="44"/>
      <c r="G244" s="134" t="s">
        <v>87</v>
      </c>
      <c r="H244" s="135"/>
      <c r="I244" s="121"/>
      <c r="J244" s="132"/>
      <c r="L244" s="105"/>
      <c r="M244" s="65"/>
      <c r="N244" s="102"/>
      <c r="O244" s="124"/>
      <c r="P244" s="94"/>
      <c r="Q244" s="94"/>
      <c r="R244" s="125"/>
      <c r="S244" s="125"/>
      <c r="T244" s="125"/>
      <c r="U244" s="126"/>
      <c r="V244" s="126"/>
      <c r="W244" s="126"/>
    </row>
    <row r="245" spans="1:23" ht="15.75" customHeight="1">
      <c r="A245" s="23" t="s">
        <v>353</v>
      </c>
      <c r="B245" s="147"/>
      <c r="C245" s="140"/>
      <c r="D245" s="188" t="s">
        <v>168</v>
      </c>
      <c r="E245" s="203" t="s">
        <v>169</v>
      </c>
      <c r="F245" s="27"/>
      <c r="G245" s="141" t="s">
        <v>170</v>
      </c>
      <c r="H245" s="148"/>
      <c r="I245" s="152"/>
      <c r="J245" s="116" t="s">
        <v>150</v>
      </c>
      <c r="L245" s="102"/>
      <c r="M245" s="65" t="s">
        <v>53</v>
      </c>
      <c r="N245" s="102"/>
      <c r="O245" s="124"/>
      <c r="P245" s="94"/>
      <c r="Q245" s="94"/>
      <c r="R245" s="125"/>
      <c r="S245" s="125"/>
      <c r="T245" s="125"/>
      <c r="U245" s="126"/>
      <c r="V245" s="126"/>
      <c r="W245" s="126"/>
    </row>
    <row r="246" spans="1:23" ht="15.75" customHeight="1">
      <c r="A246" s="23" t="s">
        <v>354</v>
      </c>
      <c r="B246" s="147"/>
      <c r="C246" s="140"/>
      <c r="D246" s="189"/>
      <c r="E246" s="203"/>
      <c r="F246" s="27"/>
      <c r="G246" s="141" t="s">
        <v>172</v>
      </c>
      <c r="H246" s="148"/>
      <c r="I246" s="152"/>
      <c r="J246" s="116" t="s">
        <v>152</v>
      </c>
      <c r="L246" s="102"/>
      <c r="M246" s="65" t="s">
        <v>53</v>
      </c>
      <c r="N246" s="102"/>
      <c r="O246" s="124"/>
      <c r="P246" s="94"/>
      <c r="Q246" s="94"/>
      <c r="R246" s="125"/>
      <c r="S246" s="125"/>
      <c r="T246" s="125"/>
      <c r="U246" s="126"/>
      <c r="V246" s="126"/>
      <c r="W246" s="126"/>
    </row>
    <row r="247" spans="1:23" ht="15.75" customHeight="1">
      <c r="A247" s="23" t="s">
        <v>355</v>
      </c>
      <c r="B247" s="147"/>
      <c r="C247" s="140"/>
      <c r="D247" s="189"/>
      <c r="E247" s="203" t="s">
        <v>174</v>
      </c>
      <c r="F247" s="27"/>
      <c r="G247" s="141" t="s">
        <v>170</v>
      </c>
      <c r="H247" s="148"/>
      <c r="I247" s="152"/>
      <c r="J247" s="116" t="s">
        <v>150</v>
      </c>
      <c r="L247" s="102"/>
      <c r="M247" s="65" t="s">
        <v>53</v>
      </c>
      <c r="N247" s="102"/>
      <c r="O247" s="124"/>
      <c r="P247" s="94"/>
      <c r="Q247" s="94"/>
      <c r="R247" s="125"/>
      <c r="S247" s="125"/>
      <c r="T247" s="125"/>
      <c r="U247" s="126"/>
      <c r="V247" s="126"/>
      <c r="W247" s="126"/>
    </row>
    <row r="248" spans="1:23" ht="15.75" customHeight="1">
      <c r="A248" s="23" t="s">
        <v>356</v>
      </c>
      <c r="B248" s="147"/>
      <c r="C248" s="140"/>
      <c r="D248" s="189"/>
      <c r="E248" s="203"/>
      <c r="F248" s="27"/>
      <c r="G248" s="141" t="s">
        <v>172</v>
      </c>
      <c r="H248" s="148"/>
      <c r="I248" s="152"/>
      <c r="J248" s="116" t="s">
        <v>152</v>
      </c>
      <c r="L248" s="102"/>
      <c r="M248" s="65" t="s">
        <v>53</v>
      </c>
      <c r="N248" s="102"/>
      <c r="O248" s="124"/>
      <c r="P248" s="94"/>
      <c r="Q248" s="94"/>
      <c r="R248" s="125"/>
      <c r="S248" s="125"/>
      <c r="T248" s="125"/>
      <c r="U248" s="126"/>
      <c r="V248" s="126"/>
      <c r="W248" s="126"/>
    </row>
    <row r="249" spans="1:23" ht="15.75" customHeight="1">
      <c r="A249" s="23" t="s">
        <v>357</v>
      </c>
      <c r="B249" s="147"/>
      <c r="C249" s="140"/>
      <c r="D249" s="189"/>
      <c r="E249" s="203" t="s">
        <v>177</v>
      </c>
      <c r="F249" s="27"/>
      <c r="G249" s="141" t="s">
        <v>170</v>
      </c>
      <c r="H249" s="148"/>
      <c r="I249" s="152"/>
      <c r="J249" s="116" t="s">
        <v>150</v>
      </c>
      <c r="L249" s="102"/>
      <c r="M249" s="65" t="s">
        <v>53</v>
      </c>
      <c r="N249" s="102"/>
      <c r="O249" s="124"/>
      <c r="P249" s="94"/>
      <c r="Q249" s="94"/>
      <c r="R249" s="125"/>
      <c r="S249" s="125"/>
      <c r="T249" s="125"/>
      <c r="U249" s="126"/>
      <c r="V249" s="126"/>
      <c r="W249" s="126"/>
    </row>
    <row r="250" spans="1:23" ht="15.75" customHeight="1">
      <c r="A250" s="23" t="s">
        <v>358</v>
      </c>
      <c r="B250" s="147"/>
      <c r="C250" s="140"/>
      <c r="D250" s="189"/>
      <c r="E250" s="203"/>
      <c r="F250" s="27"/>
      <c r="G250" s="141" t="s">
        <v>172</v>
      </c>
      <c r="H250" s="148"/>
      <c r="I250" s="152"/>
      <c r="J250" s="116" t="s">
        <v>152</v>
      </c>
      <c r="L250" s="102"/>
      <c r="M250" s="65" t="s">
        <v>53</v>
      </c>
      <c r="N250" s="102"/>
      <c r="O250" s="124"/>
      <c r="P250" s="94"/>
      <c r="Q250" s="94"/>
      <c r="R250" s="125"/>
      <c r="S250" s="125"/>
      <c r="T250" s="125"/>
      <c r="U250" s="126"/>
      <c r="V250" s="126"/>
      <c r="W250" s="126"/>
    </row>
    <row r="251" spans="1:23" ht="15.75" customHeight="1">
      <c r="A251" s="23" t="s">
        <v>359</v>
      </c>
      <c r="B251" s="147"/>
      <c r="C251" s="140"/>
      <c r="D251" s="189"/>
      <c r="E251" s="203" t="s">
        <v>49</v>
      </c>
      <c r="F251" s="27"/>
      <c r="G251" s="141" t="s">
        <v>170</v>
      </c>
      <c r="H251" s="148"/>
      <c r="I251" s="152"/>
      <c r="J251" s="116" t="s">
        <v>150</v>
      </c>
      <c r="L251" s="102"/>
      <c r="M251" s="65" t="s">
        <v>53</v>
      </c>
      <c r="N251" s="102"/>
      <c r="O251" s="124"/>
      <c r="P251" s="94"/>
      <c r="Q251" s="94"/>
      <c r="R251" s="125"/>
      <c r="S251" s="125"/>
      <c r="T251" s="125"/>
      <c r="U251" s="126"/>
      <c r="V251" s="126"/>
      <c r="W251" s="126"/>
    </row>
    <row r="252" spans="1:23" ht="15.75" customHeight="1">
      <c r="A252" s="23" t="s">
        <v>360</v>
      </c>
      <c r="B252" s="147"/>
      <c r="C252" s="140"/>
      <c r="D252" s="189"/>
      <c r="E252" s="203"/>
      <c r="F252" s="27"/>
      <c r="G252" s="141" t="s">
        <v>172</v>
      </c>
      <c r="H252" s="148"/>
      <c r="I252" s="152"/>
      <c r="J252" s="116" t="s">
        <v>152</v>
      </c>
      <c r="L252" s="102"/>
      <c r="M252" s="65" t="s">
        <v>53</v>
      </c>
      <c r="N252" s="102"/>
      <c r="O252" s="124"/>
      <c r="P252" s="94"/>
      <c r="Q252" s="94"/>
      <c r="R252" s="125"/>
      <c r="S252" s="125"/>
      <c r="T252" s="125"/>
      <c r="U252" s="126"/>
      <c r="V252" s="126"/>
      <c r="W252" s="126"/>
    </row>
    <row r="253" spans="1:23" ht="15.75" customHeight="1">
      <c r="A253" s="23" t="s">
        <v>361</v>
      </c>
      <c r="B253" s="118"/>
      <c r="C253" s="119"/>
      <c r="D253" s="203" t="s">
        <v>182</v>
      </c>
      <c r="E253" s="233" t="s">
        <v>183</v>
      </c>
      <c r="F253" s="27"/>
      <c r="G253" s="120" t="s">
        <v>71</v>
      </c>
      <c r="H253" s="121"/>
      <c r="I253" s="122"/>
      <c r="J253" s="123" t="s">
        <v>57</v>
      </c>
      <c r="L253" s="102"/>
      <c r="M253" s="65" t="s">
        <v>53</v>
      </c>
      <c r="N253" s="102"/>
      <c r="O253" s="124"/>
      <c r="P253" s="94"/>
      <c r="Q253" s="67" t="s">
        <v>54</v>
      </c>
      <c r="R253" s="125"/>
      <c r="S253" s="125"/>
      <c r="T253" s="125"/>
      <c r="U253" s="126"/>
      <c r="V253" s="126"/>
      <c r="W253" s="126"/>
    </row>
    <row r="254" spans="1:23" ht="15.75" customHeight="1">
      <c r="A254" s="23" t="s">
        <v>362</v>
      </c>
      <c r="B254" s="118"/>
      <c r="C254" s="119"/>
      <c r="D254" s="203"/>
      <c r="E254" s="234"/>
      <c r="F254" s="27"/>
      <c r="G254" s="27" t="s">
        <v>73</v>
      </c>
      <c r="H254" s="121"/>
      <c r="I254" s="122"/>
      <c r="J254" s="127" t="s">
        <v>52</v>
      </c>
      <c r="L254" s="102"/>
      <c r="M254" s="65" t="s">
        <v>53</v>
      </c>
      <c r="N254" s="102"/>
      <c r="O254" s="124"/>
      <c r="P254" s="94"/>
      <c r="Q254" s="67" t="s">
        <v>54</v>
      </c>
      <c r="R254" s="125"/>
      <c r="S254" s="125"/>
      <c r="T254" s="125"/>
      <c r="U254" s="126"/>
      <c r="V254" s="126"/>
      <c r="W254" s="126"/>
    </row>
    <row r="255" spans="1:23" ht="15.75" customHeight="1">
      <c r="A255" s="23" t="s">
        <v>363</v>
      </c>
      <c r="B255" s="118"/>
      <c r="C255" s="128"/>
      <c r="D255" s="203"/>
      <c r="E255" s="234"/>
      <c r="F255" s="27"/>
      <c r="G255" s="21" t="s">
        <v>186</v>
      </c>
      <c r="H255" s="121"/>
      <c r="I255" s="122"/>
      <c r="J255" s="129" t="s">
        <v>65</v>
      </c>
      <c r="L255" s="102"/>
      <c r="M255" s="65" t="s">
        <v>53</v>
      </c>
      <c r="N255" s="102"/>
      <c r="O255" s="124"/>
      <c r="P255" s="94"/>
      <c r="Q255" s="67" t="s">
        <v>54</v>
      </c>
      <c r="R255" s="125"/>
      <c r="S255" s="125"/>
      <c r="T255" s="125"/>
      <c r="U255" s="126"/>
      <c r="V255" s="126"/>
      <c r="W255" s="126"/>
    </row>
    <row r="256" spans="1:23" ht="15.75" customHeight="1">
      <c r="A256" s="23" t="s">
        <v>364</v>
      </c>
      <c r="B256" s="118"/>
      <c r="C256" s="128"/>
      <c r="D256" s="203"/>
      <c r="E256" s="234"/>
      <c r="F256" s="28"/>
      <c r="G256" s="28" t="s">
        <v>51</v>
      </c>
      <c r="H256" s="130"/>
      <c r="I256" s="131"/>
      <c r="J256" s="132" t="s">
        <v>78</v>
      </c>
      <c r="L256" s="105"/>
      <c r="M256" s="65" t="s">
        <v>53</v>
      </c>
      <c r="N256" s="102"/>
      <c r="O256" s="124"/>
      <c r="P256" s="94"/>
      <c r="Q256" s="67" t="s">
        <v>54</v>
      </c>
      <c r="R256" s="125"/>
      <c r="S256" s="125"/>
      <c r="T256" s="125"/>
      <c r="U256" s="126"/>
      <c r="V256" s="126"/>
      <c r="W256" s="126"/>
    </row>
    <row r="257" spans="1:23" ht="15.75" customHeight="1">
      <c r="A257" s="23" t="s">
        <v>365</v>
      </c>
      <c r="B257" s="118"/>
      <c r="C257" s="128"/>
      <c r="D257" s="203"/>
      <c r="E257" s="234"/>
      <c r="F257" s="27"/>
      <c r="G257" s="120" t="s">
        <v>56</v>
      </c>
      <c r="H257" s="121"/>
      <c r="I257" s="131"/>
      <c r="J257" s="132" t="s">
        <v>68</v>
      </c>
      <c r="L257" s="105"/>
      <c r="M257" s="65" t="s">
        <v>53</v>
      </c>
      <c r="N257" s="102"/>
      <c r="O257" s="124"/>
      <c r="P257" s="94"/>
      <c r="Q257" s="67" t="s">
        <v>54</v>
      </c>
      <c r="R257" s="125"/>
      <c r="S257" s="125"/>
      <c r="T257" s="125"/>
      <c r="U257" s="126"/>
      <c r="V257" s="126"/>
      <c r="W257" s="126"/>
    </row>
    <row r="258" spans="1:23" ht="15.75" customHeight="1">
      <c r="A258" s="23" t="s">
        <v>366</v>
      </c>
      <c r="B258" s="118"/>
      <c r="C258" s="128"/>
      <c r="D258" s="203"/>
      <c r="E258" s="234"/>
      <c r="F258" s="27"/>
      <c r="G258" s="133" t="s">
        <v>107</v>
      </c>
      <c r="H258" s="121"/>
      <c r="I258" s="131"/>
      <c r="J258" s="132"/>
      <c r="L258" s="105"/>
      <c r="M258" s="65"/>
      <c r="N258" s="102"/>
      <c r="O258" s="124"/>
      <c r="P258" s="94"/>
      <c r="Q258" s="67" t="s">
        <v>54</v>
      </c>
      <c r="R258" s="125"/>
      <c r="S258" s="125"/>
      <c r="T258" s="125"/>
      <c r="U258" s="126"/>
      <c r="V258" s="126"/>
      <c r="W258" s="126"/>
    </row>
    <row r="259" spans="1:23" ht="15.75">
      <c r="A259" s="23" t="s">
        <v>367</v>
      </c>
      <c r="B259" s="118"/>
      <c r="C259" s="128"/>
      <c r="D259" s="203"/>
      <c r="E259" s="190"/>
      <c r="F259" s="44"/>
      <c r="G259" s="134" t="s">
        <v>87</v>
      </c>
      <c r="H259" s="135"/>
      <c r="I259" s="121"/>
      <c r="J259" s="132"/>
      <c r="L259" s="105"/>
      <c r="M259" s="65"/>
      <c r="N259" s="102"/>
      <c r="O259" s="124"/>
      <c r="P259" s="94"/>
      <c r="Q259" s="67" t="s">
        <v>54</v>
      </c>
      <c r="R259" s="125"/>
      <c r="S259" s="125"/>
      <c r="T259" s="125"/>
      <c r="U259" s="126"/>
      <c r="V259" s="126"/>
      <c r="W259" s="126"/>
    </row>
    <row r="260" spans="1:23" ht="43.5">
      <c r="A260" s="23" t="s">
        <v>368</v>
      </c>
      <c r="B260" s="118"/>
      <c r="C260" s="119"/>
      <c r="D260" s="203"/>
      <c r="E260" s="233" t="s">
        <v>192</v>
      </c>
      <c r="F260" s="27"/>
      <c r="G260" s="120" t="s">
        <v>71</v>
      </c>
      <c r="H260" s="121"/>
      <c r="I260" s="122"/>
      <c r="J260" s="123" t="s">
        <v>57</v>
      </c>
      <c r="L260" s="102"/>
      <c r="M260" s="65" t="s">
        <v>53</v>
      </c>
      <c r="N260" s="102"/>
      <c r="O260" s="124"/>
      <c r="P260" s="94"/>
      <c r="Q260" s="67" t="s">
        <v>54</v>
      </c>
      <c r="R260" s="125"/>
      <c r="S260" s="125"/>
      <c r="T260" s="125"/>
      <c r="U260" s="126"/>
      <c r="V260" s="126"/>
      <c r="W260" s="126"/>
    </row>
    <row r="261" spans="1:23" ht="29.25">
      <c r="A261" s="23" t="s">
        <v>369</v>
      </c>
      <c r="B261" s="118"/>
      <c r="C261" s="119"/>
      <c r="D261" s="203"/>
      <c r="E261" s="234"/>
      <c r="F261" s="27"/>
      <c r="G261" s="27" t="s">
        <v>73</v>
      </c>
      <c r="H261" s="121"/>
      <c r="I261" s="122"/>
      <c r="J261" s="127" t="s">
        <v>52</v>
      </c>
      <c r="L261" s="102"/>
      <c r="M261" s="65" t="s">
        <v>53</v>
      </c>
      <c r="N261" s="102"/>
      <c r="O261" s="124"/>
      <c r="P261" s="94"/>
      <c r="Q261" s="67" t="s">
        <v>54</v>
      </c>
      <c r="R261" s="125"/>
      <c r="S261" s="125"/>
      <c r="T261" s="125"/>
      <c r="U261" s="126"/>
      <c r="V261" s="126"/>
      <c r="W261" s="126"/>
    </row>
    <row r="262" spans="1:23" ht="15.75" customHeight="1">
      <c r="A262" s="23" t="s">
        <v>370</v>
      </c>
      <c r="B262" s="118"/>
      <c r="C262" s="128"/>
      <c r="D262" s="203"/>
      <c r="E262" s="234"/>
      <c r="F262" s="27"/>
      <c r="G262" s="21" t="s">
        <v>186</v>
      </c>
      <c r="H262" s="121"/>
      <c r="I262" s="122"/>
      <c r="J262" s="129" t="s">
        <v>65</v>
      </c>
      <c r="L262" s="102"/>
      <c r="M262" s="65" t="s">
        <v>53</v>
      </c>
      <c r="N262" s="102"/>
      <c r="O262" s="124"/>
      <c r="P262" s="94"/>
      <c r="Q262" s="67" t="s">
        <v>54</v>
      </c>
      <c r="R262" s="125"/>
      <c r="S262" s="125"/>
      <c r="T262" s="125"/>
      <c r="U262" s="126"/>
      <c r="V262" s="126"/>
      <c r="W262" s="126"/>
    </row>
    <row r="263" spans="1:23" ht="15.75" customHeight="1">
      <c r="A263" s="23" t="s">
        <v>371</v>
      </c>
      <c r="B263" s="118"/>
      <c r="C263" s="128"/>
      <c r="D263" s="203"/>
      <c r="E263" s="234"/>
      <c r="F263" s="28"/>
      <c r="G263" s="28" t="s">
        <v>51</v>
      </c>
      <c r="H263" s="130"/>
      <c r="I263" s="131"/>
      <c r="J263" s="132" t="s">
        <v>78</v>
      </c>
      <c r="L263" s="105"/>
      <c r="M263" s="65" t="s">
        <v>53</v>
      </c>
      <c r="N263" s="102"/>
      <c r="O263" s="124"/>
      <c r="P263" s="94"/>
      <c r="Q263" s="67" t="s">
        <v>54</v>
      </c>
      <c r="R263" s="125"/>
      <c r="S263" s="125"/>
      <c r="T263" s="125"/>
      <c r="U263" s="126"/>
      <c r="V263" s="126"/>
      <c r="W263" s="126"/>
    </row>
    <row r="264" spans="1:23" ht="15.75" customHeight="1">
      <c r="A264" s="23" t="s">
        <v>372</v>
      </c>
      <c r="B264" s="118"/>
      <c r="C264" s="128"/>
      <c r="D264" s="203"/>
      <c r="E264" s="234"/>
      <c r="F264" s="27"/>
      <c r="G264" s="120" t="s">
        <v>56</v>
      </c>
      <c r="H264" s="121"/>
      <c r="I264" s="131"/>
      <c r="J264" s="132" t="s">
        <v>68</v>
      </c>
      <c r="L264" s="105"/>
      <c r="M264" s="65" t="s">
        <v>53</v>
      </c>
      <c r="N264" s="102"/>
      <c r="O264" s="124"/>
      <c r="P264" s="94"/>
      <c r="Q264" s="67" t="s">
        <v>54</v>
      </c>
      <c r="R264" s="125"/>
      <c r="S264" s="125"/>
      <c r="T264" s="125"/>
      <c r="U264" s="126"/>
      <c r="V264" s="126"/>
      <c r="W264" s="126"/>
    </row>
    <row r="265" spans="1:23" ht="15.75">
      <c r="A265" s="23" t="s">
        <v>373</v>
      </c>
      <c r="B265" s="118"/>
      <c r="C265" s="128"/>
      <c r="D265" s="203"/>
      <c r="E265" s="234"/>
      <c r="F265" s="27"/>
      <c r="G265" s="133" t="s">
        <v>107</v>
      </c>
      <c r="H265" s="121"/>
      <c r="I265" s="131"/>
      <c r="J265" s="132"/>
      <c r="L265" s="105"/>
      <c r="M265" s="65"/>
      <c r="N265" s="102"/>
      <c r="O265" s="124"/>
      <c r="P265" s="94"/>
      <c r="Q265" s="67" t="s">
        <v>54</v>
      </c>
      <c r="R265" s="125"/>
      <c r="S265" s="125"/>
      <c r="T265" s="125"/>
      <c r="U265" s="126"/>
      <c r="V265" s="126"/>
      <c r="W265" s="126"/>
    </row>
    <row r="266" spans="1:23" ht="15.75">
      <c r="A266" s="23" t="s">
        <v>374</v>
      </c>
      <c r="B266" s="118"/>
      <c r="C266" s="128"/>
      <c r="D266" s="203"/>
      <c r="E266" s="190"/>
      <c r="F266" s="44"/>
      <c r="G266" s="134" t="s">
        <v>87</v>
      </c>
      <c r="H266" s="135"/>
      <c r="I266" s="121"/>
      <c r="J266" s="132"/>
      <c r="L266" s="105"/>
      <c r="M266" s="65"/>
      <c r="N266" s="102"/>
      <c r="O266" s="124"/>
      <c r="P266" s="94"/>
      <c r="Q266" s="67" t="s">
        <v>54</v>
      </c>
      <c r="R266" s="125"/>
      <c r="S266" s="125"/>
      <c r="T266" s="125"/>
      <c r="U266" s="126"/>
      <c r="V266" s="126"/>
      <c r="W266" s="126"/>
    </row>
    <row r="267" spans="1:23">
      <c r="A267" s="214" t="s">
        <v>375</v>
      </c>
      <c r="B267" s="212"/>
      <c r="C267" s="211"/>
      <c r="D267" s="211"/>
      <c r="E267" s="211"/>
      <c r="F267" s="212"/>
      <c r="G267" s="212"/>
      <c r="H267" s="212"/>
      <c r="I267" s="212"/>
      <c r="J267" s="212"/>
      <c r="K267" s="212"/>
      <c r="L267" s="212"/>
      <c r="M267" s="212"/>
      <c r="N267" s="214"/>
      <c r="O267" s="214"/>
      <c r="P267" s="214"/>
      <c r="Q267" s="214"/>
      <c r="R267" s="103">
        <f>COUNTIF($N268:N354,"PASS")</f>
        <v>0</v>
      </c>
      <c r="S267" s="103">
        <f>COUNTIF($N268:N354,"FAIL")</f>
        <v>0</v>
      </c>
      <c r="T267" s="103">
        <f>COUNTBLANK(N268:N354)</f>
        <v>87</v>
      </c>
      <c r="U267" s="103">
        <f>COUNTIF($N268:N354,"IN PROGRESS")</f>
        <v>0</v>
      </c>
      <c r="V267" s="103">
        <f>COUNTIF($N268:N354,"BLOCKED")</f>
        <v>0</v>
      </c>
    </row>
    <row r="268" spans="1:23" ht="29.25">
      <c r="A268" s="23" t="s">
        <v>376</v>
      </c>
      <c r="B268" s="42"/>
      <c r="C268" s="11"/>
      <c r="D268" s="188" t="s">
        <v>49</v>
      </c>
      <c r="E268" s="188" t="s">
        <v>50</v>
      </c>
      <c r="F268" s="39"/>
      <c r="G268" s="27" t="s">
        <v>51</v>
      </c>
      <c r="H268" s="33"/>
      <c r="I268" s="33"/>
      <c r="J268" s="127" t="s">
        <v>52</v>
      </c>
      <c r="K268" s="35" t="s">
        <v>53</v>
      </c>
      <c r="L268" s="102"/>
      <c r="N268" s="102"/>
      <c r="O268" s="22"/>
      <c r="P268" s="7"/>
      <c r="Q268" s="67" t="s">
        <v>54</v>
      </c>
      <c r="R268" s="5"/>
      <c r="S268" s="5"/>
      <c r="T268" s="5"/>
      <c r="U268" s="9"/>
      <c r="V268" s="9"/>
      <c r="W268" s="9"/>
    </row>
    <row r="269" spans="1:23" ht="43.5">
      <c r="A269" s="23" t="s">
        <v>377</v>
      </c>
      <c r="B269" s="42"/>
      <c r="C269" s="11"/>
      <c r="D269" s="189"/>
      <c r="E269" s="189"/>
      <c r="F269" s="40"/>
      <c r="G269" s="137" t="s">
        <v>56</v>
      </c>
      <c r="H269" s="33"/>
      <c r="I269" s="33"/>
      <c r="J269" s="123" t="s">
        <v>57</v>
      </c>
      <c r="K269" s="35" t="s">
        <v>53</v>
      </c>
      <c r="L269" s="102"/>
      <c r="N269" s="102"/>
      <c r="O269" s="22"/>
      <c r="P269" s="7"/>
      <c r="Q269" s="67" t="s">
        <v>54</v>
      </c>
      <c r="R269" s="5"/>
      <c r="S269" s="5"/>
      <c r="T269" s="5"/>
      <c r="U269" s="9"/>
      <c r="V269" s="9"/>
      <c r="W269" s="9"/>
    </row>
    <row r="270" spans="1:23" ht="15.75">
      <c r="A270" s="23" t="s">
        <v>378</v>
      </c>
      <c r="B270" s="42"/>
      <c r="C270" s="11"/>
      <c r="D270" s="189"/>
      <c r="E270" s="189"/>
      <c r="F270" s="20"/>
      <c r="G270" s="138" t="s">
        <v>59</v>
      </c>
      <c r="H270" s="33"/>
      <c r="I270" s="33"/>
      <c r="J270" s="127" t="s">
        <v>60</v>
      </c>
      <c r="K270" s="35" t="s">
        <v>53</v>
      </c>
      <c r="L270" s="102"/>
      <c r="N270" s="102"/>
      <c r="O270" s="22"/>
      <c r="P270" s="7"/>
      <c r="Q270" s="67" t="s">
        <v>54</v>
      </c>
      <c r="R270" s="5"/>
      <c r="S270" s="5"/>
      <c r="T270" s="5"/>
      <c r="U270" s="9"/>
      <c r="V270" s="9"/>
      <c r="W270" s="9"/>
    </row>
    <row r="271" spans="1:23" ht="15.75">
      <c r="A271" s="23" t="s">
        <v>379</v>
      </c>
      <c r="B271" s="42"/>
      <c r="C271" s="11"/>
      <c r="D271" s="189"/>
      <c r="E271" s="189"/>
      <c r="F271" s="39"/>
      <c r="G271" s="138" t="s">
        <v>62</v>
      </c>
      <c r="H271" s="33"/>
      <c r="I271" s="33"/>
      <c r="J271" s="127" t="s">
        <v>60</v>
      </c>
      <c r="K271" s="35" t="s">
        <v>53</v>
      </c>
      <c r="L271" s="102"/>
      <c r="N271" s="102"/>
      <c r="O271" s="22"/>
      <c r="P271" s="7"/>
      <c r="Q271" s="67" t="s">
        <v>54</v>
      </c>
      <c r="R271" s="5"/>
      <c r="S271" s="5"/>
      <c r="T271" s="5"/>
      <c r="U271" s="9"/>
      <c r="V271" s="9"/>
      <c r="W271" s="9"/>
    </row>
    <row r="272" spans="1:23" ht="15.75">
      <c r="A272" s="23" t="s">
        <v>380</v>
      </c>
      <c r="B272" s="42"/>
      <c r="C272" s="11"/>
      <c r="D272" s="189"/>
      <c r="E272" s="189"/>
      <c r="F272" s="39"/>
      <c r="G272" s="27" t="s">
        <v>64</v>
      </c>
      <c r="H272" s="33"/>
      <c r="I272" s="33"/>
      <c r="J272" s="132" t="s">
        <v>65</v>
      </c>
      <c r="K272" s="35" t="s">
        <v>53</v>
      </c>
      <c r="L272" s="102"/>
      <c r="N272" s="102"/>
      <c r="O272" s="22"/>
      <c r="P272" s="7"/>
      <c r="Q272" s="67" t="s">
        <v>54</v>
      </c>
      <c r="R272" s="5"/>
      <c r="S272" s="5"/>
      <c r="T272" s="5"/>
      <c r="U272" s="9"/>
      <c r="V272" s="9"/>
      <c r="W272" s="9"/>
    </row>
    <row r="273" spans="1:23" ht="29.25">
      <c r="A273" s="23" t="s">
        <v>381</v>
      </c>
      <c r="B273" s="42"/>
      <c r="C273" s="11"/>
      <c r="D273" s="189"/>
      <c r="E273" s="190"/>
      <c r="F273" s="39"/>
      <c r="G273" s="27" t="s">
        <v>67</v>
      </c>
      <c r="H273" s="33"/>
      <c r="I273" s="33"/>
      <c r="J273" s="132" t="s">
        <v>68</v>
      </c>
      <c r="K273" s="35" t="s">
        <v>53</v>
      </c>
      <c r="L273" s="102"/>
      <c r="N273" s="102"/>
      <c r="O273" s="22"/>
      <c r="P273" s="7"/>
      <c r="Q273" s="67" t="s">
        <v>54</v>
      </c>
      <c r="R273" s="5"/>
      <c r="S273" s="5"/>
      <c r="T273" s="5"/>
      <c r="U273" s="9"/>
      <c r="V273" s="9"/>
      <c r="W273" s="9"/>
    </row>
    <row r="274" spans="1:23" ht="43.5">
      <c r="A274" s="23" t="s">
        <v>382</v>
      </c>
      <c r="B274" s="38"/>
      <c r="C274" s="37"/>
      <c r="D274" s="189"/>
      <c r="E274" s="188" t="s">
        <v>90</v>
      </c>
      <c r="F274" s="28"/>
      <c r="G274" s="137" t="s">
        <v>71</v>
      </c>
      <c r="H274" s="33"/>
      <c r="I274" s="33"/>
      <c r="J274" s="123" t="s">
        <v>57</v>
      </c>
      <c r="K274" s="35" t="s">
        <v>53</v>
      </c>
      <c r="L274" s="102"/>
      <c r="N274" s="102"/>
      <c r="O274" s="22"/>
      <c r="P274" s="7"/>
      <c r="Q274" s="67" t="s">
        <v>54</v>
      </c>
      <c r="R274" s="5"/>
      <c r="S274" s="5"/>
      <c r="T274" s="5"/>
      <c r="U274" s="9"/>
      <c r="V274" s="9"/>
      <c r="W274" s="9"/>
    </row>
    <row r="275" spans="1:23" ht="29.25">
      <c r="A275" s="23" t="s">
        <v>383</v>
      </c>
      <c r="B275" s="38"/>
      <c r="C275" s="37"/>
      <c r="D275" s="189"/>
      <c r="E275" s="189"/>
      <c r="F275" s="28"/>
      <c r="G275" s="27" t="s">
        <v>73</v>
      </c>
      <c r="H275" s="33"/>
      <c r="I275" s="33"/>
      <c r="J275" s="127" t="s">
        <v>52</v>
      </c>
      <c r="K275" s="35" t="s">
        <v>53</v>
      </c>
      <c r="L275" s="102"/>
      <c r="N275" s="102"/>
      <c r="O275" s="22"/>
      <c r="P275" s="7"/>
      <c r="Q275" s="67" t="s">
        <v>54</v>
      </c>
      <c r="R275" s="5"/>
      <c r="S275" s="5"/>
      <c r="T275" s="5"/>
      <c r="U275" s="9"/>
      <c r="V275" s="9"/>
      <c r="W275" s="9"/>
    </row>
    <row r="276" spans="1:23" ht="15.75">
      <c r="A276" s="23" t="s">
        <v>384</v>
      </c>
      <c r="B276" s="38"/>
      <c r="C276" s="12"/>
      <c r="D276" s="189"/>
      <c r="E276" s="189"/>
      <c r="F276" s="28"/>
      <c r="G276" t="s">
        <v>75</v>
      </c>
      <c r="H276" s="33"/>
      <c r="I276" s="33"/>
      <c r="J276" s="129" t="s">
        <v>65</v>
      </c>
      <c r="K276" s="35" t="s">
        <v>53</v>
      </c>
      <c r="L276" s="102"/>
      <c r="N276" s="102"/>
      <c r="O276" s="22"/>
      <c r="P276" s="7"/>
      <c r="Q276" s="67" t="s">
        <v>54</v>
      </c>
      <c r="R276" s="5"/>
      <c r="S276" s="5"/>
      <c r="T276" s="5"/>
      <c r="U276" s="9"/>
      <c r="V276" s="9"/>
      <c r="W276" s="9"/>
    </row>
    <row r="277" spans="1:23" ht="29.25" customHeight="1">
      <c r="A277" s="23" t="s">
        <v>385</v>
      </c>
      <c r="B277" s="38"/>
      <c r="C277" s="12"/>
      <c r="D277" s="189"/>
      <c r="E277" s="189"/>
      <c r="F277" s="28"/>
      <c r="G277" s="139" t="s">
        <v>77</v>
      </c>
      <c r="H277" s="121"/>
      <c r="I277" s="121"/>
      <c r="J277" s="132" t="s">
        <v>78</v>
      </c>
      <c r="K277" s="35" t="s">
        <v>53</v>
      </c>
      <c r="L277" s="105"/>
      <c r="N277" s="102"/>
      <c r="O277" s="22"/>
      <c r="P277" s="7"/>
      <c r="Q277" s="67" t="s">
        <v>54</v>
      </c>
      <c r="R277" s="5"/>
      <c r="S277" s="5"/>
      <c r="T277" s="5"/>
      <c r="U277" s="9"/>
      <c r="V277" s="9"/>
      <c r="W277" s="9"/>
    </row>
    <row r="278" spans="1:23" ht="29.25">
      <c r="A278" s="23" t="s">
        <v>386</v>
      </c>
      <c r="B278" s="38"/>
      <c r="C278" s="12"/>
      <c r="D278" s="189"/>
      <c r="E278" s="189"/>
      <c r="F278" s="28"/>
      <c r="G278" s="139" t="s">
        <v>80</v>
      </c>
      <c r="H278" s="15"/>
      <c r="I278" s="121"/>
      <c r="J278" s="132" t="s">
        <v>68</v>
      </c>
      <c r="K278" s="35" t="s">
        <v>53</v>
      </c>
      <c r="L278" s="105"/>
      <c r="N278" s="102"/>
      <c r="O278" s="22"/>
      <c r="P278" s="7"/>
      <c r="Q278" s="67" t="s">
        <v>54</v>
      </c>
      <c r="R278" s="5"/>
      <c r="S278" s="5"/>
      <c r="T278" s="5"/>
      <c r="U278" s="9"/>
      <c r="V278" s="9"/>
      <c r="W278" s="9"/>
    </row>
    <row r="279" spans="1:23" ht="15.75" customHeight="1">
      <c r="A279" s="23" t="s">
        <v>387</v>
      </c>
      <c r="B279" s="38"/>
      <c r="C279" s="12"/>
      <c r="D279" s="234"/>
      <c r="E279" s="189"/>
      <c r="F279" s="39"/>
      <c r="G279" s="139" t="s">
        <v>82</v>
      </c>
      <c r="H279" s="15"/>
      <c r="I279" s="121"/>
      <c r="J279" s="132"/>
      <c r="K279" s="35"/>
      <c r="L279" s="105"/>
      <c r="N279" s="102"/>
      <c r="O279" s="22"/>
      <c r="P279" s="7"/>
      <c r="Q279" s="67" t="s">
        <v>54</v>
      </c>
      <c r="R279" s="5"/>
      <c r="S279" s="5"/>
      <c r="T279" s="5"/>
      <c r="U279" s="9"/>
      <c r="V279" s="9"/>
      <c r="W279" s="9"/>
    </row>
    <row r="280" spans="1:23" ht="15.75" customHeight="1">
      <c r="A280" s="23" t="s">
        <v>388</v>
      </c>
      <c r="B280" s="38"/>
      <c r="C280" s="12"/>
      <c r="D280" s="234"/>
      <c r="E280" s="189"/>
      <c r="F280" s="39"/>
      <c r="G280" s="139" t="s">
        <v>64</v>
      </c>
      <c r="H280" s="121"/>
      <c r="I280" s="121"/>
      <c r="J280" s="132"/>
      <c r="K280" s="35"/>
      <c r="L280" s="105"/>
      <c r="N280" s="102"/>
      <c r="O280" s="22"/>
      <c r="P280" s="7"/>
      <c r="Q280" s="67" t="s">
        <v>54</v>
      </c>
      <c r="R280" s="5"/>
      <c r="S280" s="5"/>
      <c r="T280" s="5"/>
      <c r="U280" s="9"/>
      <c r="V280" s="9"/>
      <c r="W280" s="9"/>
    </row>
    <row r="281" spans="1:23" ht="15.75">
      <c r="A281" s="23" t="s">
        <v>389</v>
      </c>
      <c r="B281" s="38"/>
      <c r="C281" s="12"/>
      <c r="D281" s="234"/>
      <c r="E281" s="190"/>
      <c r="F281" s="39"/>
      <c r="G281" s="139" t="s">
        <v>87</v>
      </c>
      <c r="H281" s="121"/>
      <c r="I281" s="121"/>
      <c r="J281" s="132"/>
      <c r="K281" s="35"/>
      <c r="L281" s="105"/>
      <c r="N281" s="102"/>
      <c r="O281" s="22"/>
      <c r="P281" s="7"/>
      <c r="Q281" s="67" t="s">
        <v>54</v>
      </c>
      <c r="R281" s="5"/>
      <c r="S281" s="5"/>
      <c r="T281" s="5"/>
      <c r="U281" s="9"/>
      <c r="V281" s="9"/>
      <c r="W281" s="9"/>
    </row>
    <row r="282" spans="1:23" ht="15.75" customHeight="1">
      <c r="A282" s="23" t="s">
        <v>390</v>
      </c>
      <c r="B282" s="38"/>
      <c r="C282" s="119"/>
      <c r="D282" s="234"/>
      <c r="E282" s="188" t="s">
        <v>70</v>
      </c>
      <c r="F282" s="28"/>
      <c r="G282" s="137" t="s">
        <v>71</v>
      </c>
      <c r="H282" s="33"/>
      <c r="I282" s="33"/>
      <c r="J282" s="123" t="s">
        <v>57</v>
      </c>
      <c r="K282" s="35" t="s">
        <v>53</v>
      </c>
      <c r="L282" s="102"/>
      <c r="N282" s="102"/>
      <c r="O282" s="22"/>
      <c r="P282" s="7"/>
      <c r="Q282" s="67" t="s">
        <v>54</v>
      </c>
      <c r="R282" s="5"/>
      <c r="S282" s="5"/>
      <c r="T282" s="5"/>
      <c r="U282" s="9"/>
      <c r="V282" s="9"/>
      <c r="W282" s="9"/>
    </row>
    <row r="283" spans="1:23" ht="29.25">
      <c r="A283" s="23" t="s">
        <v>391</v>
      </c>
      <c r="B283" s="38"/>
      <c r="C283" s="119"/>
      <c r="D283" s="234"/>
      <c r="E283" s="189"/>
      <c r="F283" s="28"/>
      <c r="G283" s="27" t="s">
        <v>73</v>
      </c>
      <c r="H283" s="33"/>
      <c r="I283" s="33"/>
      <c r="J283" s="127" t="s">
        <v>52</v>
      </c>
      <c r="K283" s="35" t="s">
        <v>53</v>
      </c>
      <c r="L283" s="102"/>
      <c r="N283" s="102"/>
      <c r="O283" s="22"/>
      <c r="P283" s="7"/>
      <c r="Q283" s="67" t="s">
        <v>54</v>
      </c>
      <c r="R283" s="5"/>
      <c r="S283" s="5"/>
      <c r="T283" s="5"/>
      <c r="U283" s="9"/>
      <c r="V283" s="9"/>
      <c r="W283" s="9"/>
    </row>
    <row r="284" spans="1:23" ht="15.75" customHeight="1">
      <c r="A284" s="23" t="s">
        <v>392</v>
      </c>
      <c r="B284" s="38"/>
      <c r="C284" s="128"/>
      <c r="D284" s="234"/>
      <c r="E284" s="189"/>
      <c r="F284" s="28"/>
      <c r="G284" t="s">
        <v>75</v>
      </c>
      <c r="H284" s="33"/>
      <c r="I284" s="33"/>
      <c r="J284" s="129" t="s">
        <v>65</v>
      </c>
      <c r="K284" s="35" t="s">
        <v>53</v>
      </c>
      <c r="L284" s="102"/>
      <c r="N284" s="102"/>
      <c r="O284" s="22"/>
      <c r="P284" s="7"/>
      <c r="Q284" s="67" t="s">
        <v>54</v>
      </c>
      <c r="R284" s="5"/>
      <c r="S284" s="5"/>
      <c r="T284" s="5"/>
      <c r="U284" s="9"/>
      <c r="V284" s="9"/>
      <c r="W284" s="9"/>
    </row>
    <row r="285" spans="1:23" ht="15.75" customHeight="1">
      <c r="A285" s="23" t="s">
        <v>393</v>
      </c>
      <c r="B285" s="38"/>
      <c r="C285" s="128"/>
      <c r="D285" s="234"/>
      <c r="E285" s="189"/>
      <c r="F285" s="28"/>
      <c r="G285" s="139" t="s">
        <v>77</v>
      </c>
      <c r="H285" s="121"/>
      <c r="I285" s="121"/>
      <c r="J285" s="132" t="s">
        <v>78</v>
      </c>
      <c r="K285" s="35" t="s">
        <v>53</v>
      </c>
      <c r="L285" s="105"/>
      <c r="N285" s="102"/>
      <c r="O285" s="22"/>
      <c r="P285" s="7"/>
      <c r="Q285" s="67" t="s">
        <v>54</v>
      </c>
      <c r="R285" s="5"/>
      <c r="S285" s="5"/>
      <c r="T285" s="5"/>
      <c r="U285" s="9"/>
      <c r="V285" s="9"/>
      <c r="W285" s="9"/>
    </row>
    <row r="286" spans="1:23" ht="15.75" customHeight="1">
      <c r="A286" s="23" t="s">
        <v>394</v>
      </c>
      <c r="B286" s="38"/>
      <c r="C286" s="128"/>
      <c r="D286" s="234"/>
      <c r="E286" s="189"/>
      <c r="F286" s="28"/>
      <c r="G286" s="139" t="s">
        <v>80</v>
      </c>
      <c r="H286" s="121"/>
      <c r="I286" s="121"/>
      <c r="J286" s="132" t="s">
        <v>68</v>
      </c>
      <c r="K286" s="35" t="s">
        <v>53</v>
      </c>
      <c r="L286" s="105"/>
      <c r="N286" s="102"/>
      <c r="O286" s="22"/>
      <c r="P286" s="7"/>
      <c r="Q286" s="67" t="s">
        <v>54</v>
      </c>
      <c r="R286" s="5"/>
      <c r="S286" s="5"/>
      <c r="T286" s="5"/>
      <c r="U286" s="9"/>
      <c r="V286" s="9"/>
      <c r="W286" s="9"/>
    </row>
    <row r="287" spans="1:23" ht="15.75">
      <c r="A287" s="23" t="s">
        <v>395</v>
      </c>
      <c r="B287" s="38"/>
      <c r="C287" s="128"/>
      <c r="D287" s="234"/>
      <c r="E287" s="189"/>
      <c r="F287" s="39"/>
      <c r="G287" s="139" t="s">
        <v>82</v>
      </c>
      <c r="H287" s="121"/>
      <c r="I287" s="121"/>
      <c r="J287" s="132"/>
      <c r="K287" s="35"/>
      <c r="L287" s="105"/>
      <c r="N287" s="102"/>
      <c r="O287" s="22"/>
      <c r="P287" s="7"/>
      <c r="Q287" s="67" t="s">
        <v>54</v>
      </c>
      <c r="R287" s="5"/>
      <c r="S287" s="5"/>
      <c r="T287" s="5"/>
      <c r="U287" s="9"/>
      <c r="V287" s="9"/>
      <c r="W287" s="9"/>
    </row>
    <row r="288" spans="1:23" ht="15.75">
      <c r="A288" s="23" t="s">
        <v>396</v>
      </c>
      <c r="B288" s="38"/>
      <c r="C288" s="128"/>
      <c r="D288" s="234"/>
      <c r="E288" s="189"/>
      <c r="F288" s="39"/>
      <c r="G288" s="139" t="s">
        <v>64</v>
      </c>
      <c r="H288" s="121"/>
      <c r="I288" s="121"/>
      <c r="J288" s="132"/>
      <c r="K288" s="35"/>
      <c r="L288" s="105"/>
      <c r="N288" s="102"/>
      <c r="O288" s="22"/>
      <c r="P288" s="7"/>
      <c r="Q288" s="67" t="s">
        <v>54</v>
      </c>
      <c r="R288" s="5"/>
      <c r="S288" s="5"/>
      <c r="T288" s="5"/>
      <c r="U288" s="9"/>
      <c r="V288" s="9"/>
      <c r="W288" s="9"/>
    </row>
    <row r="289" spans="1:23" ht="15.75">
      <c r="A289" s="23" t="s">
        <v>397</v>
      </c>
      <c r="B289" s="38"/>
      <c r="C289" s="128"/>
      <c r="D289" s="234"/>
      <c r="E289" s="190"/>
      <c r="F289" s="39"/>
      <c r="G289" s="139" t="s">
        <v>87</v>
      </c>
      <c r="H289" s="130"/>
      <c r="I289" s="121"/>
      <c r="J289" s="132"/>
      <c r="K289" s="35"/>
      <c r="L289" s="105"/>
      <c r="N289" s="102"/>
      <c r="O289" s="22"/>
      <c r="P289" s="7"/>
      <c r="Q289" s="67" t="s">
        <v>54</v>
      </c>
      <c r="R289" s="5"/>
      <c r="S289" s="5"/>
      <c r="T289" s="5"/>
      <c r="U289" s="9"/>
      <c r="V289" s="9"/>
      <c r="W289" s="9"/>
    </row>
    <row r="290" spans="1:23" ht="43.5">
      <c r="A290" s="23" t="s">
        <v>398</v>
      </c>
      <c r="B290" s="118"/>
      <c r="C290" s="119"/>
      <c r="D290" s="234"/>
      <c r="E290" s="233" t="s">
        <v>99</v>
      </c>
      <c r="F290" s="27"/>
      <c r="G290" s="120" t="s">
        <v>71</v>
      </c>
      <c r="H290" s="121"/>
      <c r="I290" s="122"/>
      <c r="J290" s="123" t="s">
        <v>57</v>
      </c>
      <c r="K290" s="35" t="s">
        <v>53</v>
      </c>
      <c r="L290" s="102"/>
      <c r="N290" s="102"/>
      <c r="O290" s="22"/>
      <c r="P290" s="7"/>
      <c r="Q290" s="67" t="s">
        <v>54</v>
      </c>
      <c r="R290" s="5"/>
      <c r="S290" s="5"/>
      <c r="T290" s="5"/>
      <c r="U290" s="9"/>
      <c r="V290" s="9"/>
      <c r="W290" s="9"/>
    </row>
    <row r="291" spans="1:23" ht="29.25">
      <c r="A291" s="23" t="s">
        <v>399</v>
      </c>
      <c r="B291" s="118"/>
      <c r="C291" s="119"/>
      <c r="D291" s="234"/>
      <c r="E291" s="234"/>
      <c r="F291" s="27"/>
      <c r="G291" s="27" t="s">
        <v>73</v>
      </c>
      <c r="H291" s="121"/>
      <c r="I291" s="122"/>
      <c r="J291" s="127" t="s">
        <v>52</v>
      </c>
      <c r="K291" s="35" t="s">
        <v>53</v>
      </c>
      <c r="L291" s="102"/>
      <c r="N291" s="102"/>
      <c r="O291" s="22"/>
      <c r="P291" s="7"/>
      <c r="Q291" s="67" t="s">
        <v>54</v>
      </c>
      <c r="R291" s="5"/>
      <c r="S291" s="5"/>
      <c r="T291" s="5"/>
      <c r="U291" s="9"/>
      <c r="V291" s="9"/>
      <c r="W291" s="9"/>
    </row>
    <row r="292" spans="1:23" ht="15.75">
      <c r="A292" s="23" t="s">
        <v>400</v>
      </c>
      <c r="B292" s="118"/>
      <c r="C292" s="128"/>
      <c r="D292" s="234"/>
      <c r="E292" s="234"/>
      <c r="F292" s="27"/>
      <c r="G292" s="21" t="s">
        <v>99</v>
      </c>
      <c r="H292" s="121"/>
      <c r="I292" s="122"/>
      <c r="J292" s="129" t="s">
        <v>65</v>
      </c>
      <c r="K292" s="35" t="s">
        <v>53</v>
      </c>
      <c r="L292" s="102"/>
      <c r="N292" s="102"/>
      <c r="O292" s="22"/>
      <c r="P292" s="7"/>
      <c r="Q292" s="67" t="s">
        <v>54</v>
      </c>
      <c r="R292" s="5"/>
      <c r="S292" s="5"/>
      <c r="T292" s="5"/>
      <c r="U292" s="9"/>
      <c r="V292" s="9"/>
      <c r="W292" s="9"/>
    </row>
    <row r="293" spans="1:23" ht="15.75" customHeight="1">
      <c r="A293" s="23" t="s">
        <v>401</v>
      </c>
      <c r="B293" s="118"/>
      <c r="C293" s="128"/>
      <c r="D293" s="234"/>
      <c r="E293" s="234"/>
      <c r="F293" s="28"/>
      <c r="G293" s="28" t="s">
        <v>51</v>
      </c>
      <c r="H293" s="130"/>
      <c r="I293" s="131"/>
      <c r="J293" s="132" t="s">
        <v>78</v>
      </c>
      <c r="K293" s="35" t="s">
        <v>53</v>
      </c>
      <c r="L293" s="105"/>
      <c r="N293" s="102"/>
      <c r="O293" s="22"/>
      <c r="P293" s="7"/>
      <c r="Q293" s="67" t="s">
        <v>54</v>
      </c>
      <c r="R293" s="5"/>
      <c r="S293" s="5"/>
      <c r="T293" s="5"/>
      <c r="U293" s="9"/>
      <c r="V293" s="9"/>
      <c r="W293" s="9"/>
    </row>
    <row r="294" spans="1:23" ht="29.25">
      <c r="A294" s="23" t="s">
        <v>402</v>
      </c>
      <c r="B294" s="118"/>
      <c r="C294" s="128"/>
      <c r="D294" s="234"/>
      <c r="E294" s="234"/>
      <c r="F294" s="27"/>
      <c r="G294" s="120" t="s">
        <v>56</v>
      </c>
      <c r="H294" s="121"/>
      <c r="I294" s="131"/>
      <c r="J294" s="132" t="s">
        <v>68</v>
      </c>
      <c r="K294" s="35" t="s">
        <v>53</v>
      </c>
      <c r="L294" s="105"/>
      <c r="N294" s="102"/>
      <c r="O294" s="22"/>
      <c r="P294" s="7"/>
      <c r="Q294" s="67" t="s">
        <v>54</v>
      </c>
      <c r="R294" s="5"/>
      <c r="S294" s="5"/>
      <c r="T294" s="5"/>
      <c r="U294" s="9"/>
      <c r="V294" s="9"/>
      <c r="W294" s="9"/>
    </row>
    <row r="295" spans="1:23" ht="15.75">
      <c r="A295" s="23" t="s">
        <v>403</v>
      </c>
      <c r="B295" s="118"/>
      <c r="C295" s="128"/>
      <c r="D295" s="234"/>
      <c r="E295" s="234"/>
      <c r="F295" s="27"/>
      <c r="G295" s="133" t="s">
        <v>105</v>
      </c>
      <c r="H295" s="121"/>
      <c r="I295" s="131"/>
      <c r="J295" s="132"/>
      <c r="K295" s="35"/>
      <c r="L295" s="105"/>
      <c r="N295" s="102"/>
      <c r="O295" s="22"/>
      <c r="P295" s="7"/>
      <c r="Q295" s="67" t="s">
        <v>54</v>
      </c>
      <c r="R295" s="5"/>
      <c r="S295" s="5"/>
      <c r="T295" s="5"/>
      <c r="U295" s="9"/>
      <c r="V295" s="9"/>
      <c r="W295" s="9"/>
    </row>
    <row r="296" spans="1:23" ht="15.75" customHeight="1">
      <c r="A296" s="23" t="s">
        <v>404</v>
      </c>
      <c r="B296" s="118"/>
      <c r="C296" s="128"/>
      <c r="D296" s="234"/>
      <c r="E296" s="234"/>
      <c r="F296" s="27"/>
      <c r="G296" s="133" t="s">
        <v>107</v>
      </c>
      <c r="H296" s="121"/>
      <c r="I296" s="131"/>
      <c r="J296" s="132"/>
      <c r="K296" s="35"/>
      <c r="L296" s="105"/>
      <c r="N296" s="102"/>
      <c r="O296" s="22"/>
      <c r="P296" s="7"/>
      <c r="Q296" s="67" t="s">
        <v>54</v>
      </c>
      <c r="R296" s="5"/>
      <c r="S296" s="5"/>
      <c r="T296" s="5"/>
      <c r="U296" s="9"/>
      <c r="V296" s="9"/>
      <c r="W296" s="9"/>
    </row>
    <row r="297" spans="1:23" ht="15.75" customHeight="1">
      <c r="A297" s="23" t="s">
        <v>405</v>
      </c>
      <c r="B297" s="118"/>
      <c r="C297" s="128"/>
      <c r="D297" s="234"/>
      <c r="E297" s="190"/>
      <c r="F297" s="44"/>
      <c r="G297" s="134" t="s">
        <v>87</v>
      </c>
      <c r="H297" s="135"/>
      <c r="I297" s="121"/>
      <c r="J297" s="132"/>
      <c r="K297" s="35"/>
      <c r="L297" s="105"/>
      <c r="N297" s="102"/>
      <c r="O297" s="22"/>
      <c r="P297" s="7"/>
      <c r="Q297" s="67" t="s">
        <v>54</v>
      </c>
      <c r="R297" s="5"/>
      <c r="S297" s="5"/>
      <c r="T297" s="5"/>
      <c r="U297" s="9"/>
      <c r="V297" s="9"/>
      <c r="W297" s="9"/>
    </row>
    <row r="298" spans="1:23" ht="15.75" customHeight="1">
      <c r="A298" s="23" t="s">
        <v>406</v>
      </c>
      <c r="B298" s="42"/>
      <c r="C298" s="11"/>
      <c r="D298" s="203" t="s">
        <v>110</v>
      </c>
      <c r="E298" s="188" t="s">
        <v>111</v>
      </c>
      <c r="F298" s="27"/>
      <c r="G298" s="120" t="s">
        <v>71</v>
      </c>
      <c r="H298" s="122"/>
      <c r="I298" s="33"/>
      <c r="J298" s="123" t="s">
        <v>57</v>
      </c>
      <c r="K298" s="35" t="s">
        <v>53</v>
      </c>
      <c r="L298" s="102"/>
      <c r="N298" s="102"/>
      <c r="O298" s="22"/>
      <c r="P298" s="7"/>
      <c r="Q298" s="67"/>
      <c r="R298" s="5"/>
      <c r="S298" s="5"/>
      <c r="T298" s="5"/>
      <c r="U298" s="9"/>
      <c r="V298" s="9"/>
      <c r="W298" s="9"/>
    </row>
    <row r="299" spans="1:23" ht="29.25">
      <c r="A299" s="23" t="s">
        <v>407</v>
      </c>
      <c r="B299" s="136"/>
      <c r="C299" s="140"/>
      <c r="D299" s="203"/>
      <c r="E299" s="189"/>
      <c r="F299" s="27"/>
      <c r="G299" s="27" t="s">
        <v>113</v>
      </c>
      <c r="H299" s="43"/>
      <c r="I299" s="33"/>
      <c r="J299" s="127" t="s">
        <v>52</v>
      </c>
      <c r="K299" s="35" t="s">
        <v>53</v>
      </c>
      <c r="L299" s="102"/>
      <c r="N299" s="102"/>
      <c r="O299" s="22"/>
      <c r="P299" s="7"/>
      <c r="Q299" s="7"/>
      <c r="R299" s="5"/>
      <c r="S299" s="5"/>
      <c r="T299" s="5"/>
      <c r="U299" s="9"/>
      <c r="V299" s="9"/>
      <c r="W299" s="9"/>
    </row>
    <row r="300" spans="1:23" ht="15.75">
      <c r="A300" s="23" t="s">
        <v>408</v>
      </c>
      <c r="B300" s="136"/>
      <c r="C300" s="140"/>
      <c r="D300" s="203"/>
      <c r="E300" s="189"/>
      <c r="F300" s="27"/>
      <c r="G300" s="141" t="s">
        <v>115</v>
      </c>
      <c r="H300" s="85"/>
      <c r="I300" s="33"/>
      <c r="J300" s="132" t="s">
        <v>116</v>
      </c>
      <c r="K300" s="35" t="s">
        <v>53</v>
      </c>
      <c r="L300" s="102"/>
      <c r="N300" s="102"/>
      <c r="O300" s="22"/>
      <c r="P300" s="7"/>
      <c r="Q300" s="7"/>
      <c r="R300" s="5"/>
      <c r="S300" s="5"/>
      <c r="T300" s="5"/>
      <c r="U300" s="9"/>
      <c r="V300" s="9"/>
      <c r="W300" s="9"/>
    </row>
    <row r="301" spans="1:23" ht="15.75" customHeight="1">
      <c r="A301" s="23" t="s">
        <v>409</v>
      </c>
      <c r="B301" s="136"/>
      <c r="C301" s="140"/>
      <c r="D301" s="203"/>
      <c r="E301" s="189"/>
      <c r="F301" s="27"/>
      <c r="G301" s="120" t="s">
        <v>118</v>
      </c>
      <c r="H301" s="142"/>
      <c r="I301" s="33"/>
      <c r="J301" s="123" t="s">
        <v>57</v>
      </c>
      <c r="K301" s="35"/>
      <c r="L301" s="102"/>
      <c r="N301" s="102"/>
      <c r="O301" s="22"/>
      <c r="P301" s="7"/>
      <c r="Q301" s="7"/>
      <c r="R301" s="5"/>
      <c r="S301" s="5"/>
      <c r="T301" s="5"/>
      <c r="U301" s="9"/>
      <c r="V301" s="9"/>
      <c r="W301" s="9"/>
    </row>
    <row r="302" spans="1:23" ht="29.25">
      <c r="A302" s="23" t="s">
        <v>410</v>
      </c>
      <c r="B302" s="136"/>
      <c r="C302" s="140"/>
      <c r="D302" s="203"/>
      <c r="E302" s="189"/>
      <c r="F302" s="27"/>
      <c r="G302" s="27" t="s">
        <v>120</v>
      </c>
      <c r="H302" s="142"/>
      <c r="I302" s="33"/>
      <c r="J302" s="127" t="s">
        <v>52</v>
      </c>
      <c r="K302" s="35"/>
      <c r="L302" s="102"/>
      <c r="N302" s="102"/>
      <c r="O302" s="22"/>
      <c r="P302" s="7"/>
      <c r="Q302" s="7"/>
      <c r="R302" s="5"/>
      <c r="S302" s="5"/>
      <c r="T302" s="5"/>
      <c r="U302" s="9"/>
      <c r="V302" s="9"/>
      <c r="W302" s="9"/>
    </row>
    <row r="303" spans="1:23" ht="15.75" customHeight="1">
      <c r="A303" s="23" t="s">
        <v>411</v>
      </c>
      <c r="B303" s="136"/>
      <c r="C303" s="140"/>
      <c r="D303" s="203"/>
      <c r="E303" s="190"/>
      <c r="F303" s="27"/>
      <c r="G303" s="27" t="s">
        <v>122</v>
      </c>
      <c r="H303" s="142"/>
      <c r="I303" s="33"/>
      <c r="J303" s="143"/>
      <c r="K303" s="35"/>
      <c r="L303" s="102"/>
      <c r="N303" s="102"/>
      <c r="O303" s="22"/>
      <c r="P303" s="7"/>
      <c r="Q303" s="7"/>
      <c r="R303" s="5"/>
      <c r="S303" s="5"/>
      <c r="T303" s="5"/>
      <c r="U303" s="9"/>
      <c r="V303" s="9"/>
      <c r="W303" s="9"/>
    </row>
    <row r="304" spans="1:23" ht="15.75" customHeight="1">
      <c r="A304" s="23" t="s">
        <v>412</v>
      </c>
      <c r="B304" s="136"/>
      <c r="C304" s="140"/>
      <c r="D304" s="203"/>
      <c r="E304" s="188" t="s">
        <v>125</v>
      </c>
      <c r="F304" s="27"/>
      <c r="G304" s="120" t="s">
        <v>71</v>
      </c>
      <c r="H304" s="122"/>
      <c r="I304" s="33"/>
      <c r="J304" s="123" t="s">
        <v>57</v>
      </c>
      <c r="K304" s="35" t="s">
        <v>53</v>
      </c>
      <c r="L304" s="102"/>
      <c r="N304" s="102"/>
      <c r="O304" s="22"/>
      <c r="P304" s="7"/>
      <c r="Q304" s="7"/>
      <c r="R304" s="5"/>
      <c r="S304" s="5"/>
      <c r="T304" s="5"/>
      <c r="U304" s="9"/>
      <c r="V304" s="9"/>
      <c r="W304" s="9"/>
    </row>
    <row r="305" spans="1:23" ht="29.25">
      <c r="A305" s="23" t="s">
        <v>413</v>
      </c>
      <c r="B305" s="136"/>
      <c r="C305" s="140"/>
      <c r="D305" s="203"/>
      <c r="E305" s="189"/>
      <c r="F305" s="27"/>
      <c r="G305" s="27" t="s">
        <v>113</v>
      </c>
      <c r="H305" s="122"/>
      <c r="I305" s="33"/>
      <c r="J305" s="127" t="s">
        <v>52</v>
      </c>
      <c r="K305" s="35" t="s">
        <v>53</v>
      </c>
      <c r="L305" s="102"/>
      <c r="N305" s="102"/>
      <c r="O305" s="22"/>
      <c r="P305" s="7"/>
      <c r="Q305" s="7"/>
      <c r="R305" s="5"/>
      <c r="S305" s="5"/>
      <c r="T305" s="5"/>
      <c r="U305" s="9"/>
      <c r="V305" s="9"/>
      <c r="W305" s="9"/>
    </row>
    <row r="306" spans="1:23" ht="15.75">
      <c r="A306" s="23" t="s">
        <v>414</v>
      </c>
      <c r="B306" s="136"/>
      <c r="C306" s="140"/>
      <c r="D306" s="203"/>
      <c r="E306" s="189"/>
      <c r="F306" s="27"/>
      <c r="G306" s="141" t="s">
        <v>115</v>
      </c>
      <c r="H306" s="85"/>
      <c r="I306" s="33"/>
      <c r="J306" s="132" t="s">
        <v>116</v>
      </c>
      <c r="K306" s="35" t="s">
        <v>53</v>
      </c>
      <c r="L306" s="102"/>
      <c r="N306" s="102"/>
      <c r="O306" s="22"/>
      <c r="P306" s="7"/>
      <c r="Q306" s="7"/>
      <c r="R306" s="5"/>
      <c r="S306" s="5"/>
      <c r="T306" s="5"/>
      <c r="U306" s="9"/>
      <c r="V306" s="9"/>
      <c r="W306" s="9"/>
    </row>
    <row r="307" spans="1:23" ht="15.75" customHeight="1">
      <c r="A307" s="23" t="s">
        <v>415</v>
      </c>
      <c r="B307" s="136"/>
      <c r="C307" s="140"/>
      <c r="D307" s="203"/>
      <c r="E307" s="189"/>
      <c r="F307" s="27"/>
      <c r="G307" s="120" t="s">
        <v>129</v>
      </c>
      <c r="H307" s="142"/>
      <c r="I307" s="33"/>
      <c r="J307" s="123" t="s">
        <v>57</v>
      </c>
      <c r="K307" s="35"/>
      <c r="L307" s="102"/>
      <c r="N307" s="102"/>
      <c r="O307" s="22"/>
      <c r="P307" s="7"/>
      <c r="Q307" s="7"/>
      <c r="R307" s="5"/>
      <c r="S307" s="5"/>
      <c r="T307" s="5"/>
      <c r="U307" s="9"/>
      <c r="V307" s="9"/>
      <c r="W307" s="9"/>
    </row>
    <row r="308" spans="1:23" ht="15.75" customHeight="1">
      <c r="A308" s="23" t="s">
        <v>416</v>
      </c>
      <c r="B308" s="136"/>
      <c r="C308" s="11"/>
      <c r="D308" s="203"/>
      <c r="E308" s="189"/>
      <c r="F308" s="27"/>
      <c r="G308" s="27" t="s">
        <v>131</v>
      </c>
      <c r="H308" s="142"/>
      <c r="I308" s="33"/>
      <c r="J308" s="127" t="s">
        <v>52</v>
      </c>
      <c r="K308" s="35"/>
      <c r="L308" s="102"/>
      <c r="N308" s="102"/>
      <c r="O308" s="22"/>
      <c r="P308" s="7"/>
      <c r="Q308" s="7"/>
      <c r="R308" s="5"/>
      <c r="S308" s="5"/>
      <c r="T308" s="5"/>
      <c r="U308" s="9"/>
      <c r="V308" s="9"/>
      <c r="W308" s="9"/>
    </row>
    <row r="309" spans="1:23" ht="15.75" customHeight="1">
      <c r="A309" s="23" t="s">
        <v>417</v>
      </c>
      <c r="B309" s="136"/>
      <c r="C309" s="11"/>
      <c r="D309" s="188" t="s">
        <v>133</v>
      </c>
      <c r="E309" s="188" t="s">
        <v>134</v>
      </c>
      <c r="F309" s="27"/>
      <c r="G309" s="120" t="s">
        <v>71</v>
      </c>
      <c r="H309" s="122"/>
      <c r="I309" s="33"/>
      <c r="J309" s="123" t="s">
        <v>57</v>
      </c>
      <c r="K309" s="35" t="s">
        <v>53</v>
      </c>
      <c r="L309" s="102"/>
      <c r="N309" s="102"/>
      <c r="O309" s="22"/>
      <c r="P309" s="7"/>
      <c r="Q309" s="7"/>
      <c r="R309" s="5"/>
      <c r="S309" s="5"/>
      <c r="T309" s="5"/>
      <c r="U309" s="9"/>
      <c r="V309" s="9"/>
      <c r="W309" s="9"/>
    </row>
    <row r="310" spans="1:23" ht="29.25">
      <c r="A310" s="23" t="s">
        <v>418</v>
      </c>
      <c r="B310" s="136"/>
      <c r="C310" s="11"/>
      <c r="D310" s="189"/>
      <c r="E310" s="189"/>
      <c r="F310" s="27"/>
      <c r="G310" s="27" t="s">
        <v>113</v>
      </c>
      <c r="H310" s="122"/>
      <c r="I310" s="33"/>
      <c r="J310" s="127" t="s">
        <v>52</v>
      </c>
      <c r="K310" s="35" t="s">
        <v>53</v>
      </c>
      <c r="L310" s="102"/>
      <c r="N310" s="102"/>
      <c r="O310" s="22"/>
      <c r="P310" s="7"/>
      <c r="Q310" s="7"/>
      <c r="R310" s="5"/>
      <c r="S310" s="5"/>
      <c r="T310" s="5"/>
      <c r="U310" s="9"/>
      <c r="V310" s="9"/>
      <c r="W310" s="9"/>
    </row>
    <row r="311" spans="1:23" ht="15.75" customHeight="1">
      <c r="A311" s="23" t="s">
        <v>419</v>
      </c>
      <c r="B311" s="136"/>
      <c r="C311" s="11"/>
      <c r="D311" s="189"/>
      <c r="E311" s="189"/>
      <c r="F311" s="27"/>
      <c r="G311" s="141" t="s">
        <v>115</v>
      </c>
      <c r="H311" s="85"/>
      <c r="I311" s="33"/>
      <c r="J311" s="132" t="s">
        <v>116</v>
      </c>
      <c r="K311" s="35" t="s">
        <v>53</v>
      </c>
      <c r="L311" s="102"/>
      <c r="N311" s="102"/>
      <c r="O311" s="22"/>
      <c r="P311" s="7"/>
      <c r="Q311" s="7"/>
      <c r="R311" s="5"/>
      <c r="S311" s="5"/>
      <c r="T311" s="5"/>
      <c r="U311" s="9"/>
      <c r="V311" s="9"/>
      <c r="W311" s="9"/>
    </row>
    <row r="312" spans="1:23" ht="15.75" customHeight="1">
      <c r="A312" s="23" t="s">
        <v>420</v>
      </c>
      <c r="B312" s="136"/>
      <c r="C312" s="11"/>
      <c r="D312" s="189"/>
      <c r="E312" s="189"/>
      <c r="F312" s="27"/>
      <c r="G312" s="120" t="s">
        <v>118</v>
      </c>
      <c r="H312" s="142"/>
      <c r="I312" s="33"/>
      <c r="J312" s="123" t="s">
        <v>57</v>
      </c>
      <c r="K312" s="35"/>
      <c r="L312" s="102"/>
      <c r="N312" s="102"/>
      <c r="O312" s="22"/>
      <c r="P312" s="7"/>
      <c r="Q312" s="7"/>
      <c r="R312" s="5"/>
      <c r="S312" s="5"/>
      <c r="T312" s="5"/>
      <c r="U312" s="9"/>
      <c r="V312" s="9"/>
      <c r="W312" s="9"/>
    </row>
    <row r="313" spans="1:23" ht="29.25">
      <c r="A313" s="23" t="s">
        <v>421</v>
      </c>
      <c r="B313" s="136"/>
      <c r="C313" s="11"/>
      <c r="D313" s="189"/>
      <c r="E313" s="189"/>
      <c r="F313" s="27"/>
      <c r="G313" s="27" t="s">
        <v>120</v>
      </c>
      <c r="H313" s="142"/>
      <c r="I313" s="33"/>
      <c r="J313" s="127" t="s">
        <v>52</v>
      </c>
      <c r="K313" s="35"/>
      <c r="L313" s="102"/>
      <c r="N313" s="102"/>
      <c r="O313" s="22"/>
      <c r="P313" s="7"/>
      <c r="Q313" s="7"/>
      <c r="R313" s="5"/>
      <c r="S313" s="5"/>
      <c r="T313" s="5"/>
      <c r="U313" s="9"/>
      <c r="V313" s="9"/>
      <c r="W313" s="9"/>
    </row>
    <row r="314" spans="1:23" ht="15.75" customHeight="1">
      <c r="A314" s="23" t="s">
        <v>422</v>
      </c>
      <c r="B314" s="136"/>
      <c r="C314" s="11"/>
      <c r="D314" s="189"/>
      <c r="E314" s="190"/>
      <c r="F314" s="27"/>
      <c r="G314" s="28" t="s">
        <v>122</v>
      </c>
      <c r="H314" s="142"/>
      <c r="I314" s="33"/>
      <c r="J314" s="143"/>
      <c r="K314" s="35"/>
      <c r="L314" s="102"/>
      <c r="N314" s="102"/>
      <c r="O314" s="22"/>
      <c r="P314" s="7"/>
      <c r="Q314" s="7"/>
      <c r="R314" s="5"/>
      <c r="S314" s="5"/>
      <c r="T314" s="5"/>
      <c r="U314" s="9"/>
      <c r="V314" s="9"/>
      <c r="W314" s="9"/>
    </row>
    <row r="315" spans="1:23" ht="15.75" customHeight="1">
      <c r="A315" s="23" t="s">
        <v>423</v>
      </c>
      <c r="B315" s="136"/>
      <c r="C315" s="11"/>
      <c r="D315" s="189"/>
      <c r="E315" s="188" t="s">
        <v>141</v>
      </c>
      <c r="F315" s="112"/>
      <c r="G315" s="120" t="s">
        <v>71</v>
      </c>
      <c r="H315" s="121"/>
      <c r="I315" s="121"/>
      <c r="J315" s="132" t="s">
        <v>57</v>
      </c>
      <c r="K315" s="35" t="s">
        <v>53</v>
      </c>
      <c r="L315" s="102"/>
      <c r="N315" s="102"/>
      <c r="O315" s="22"/>
      <c r="P315" s="7"/>
      <c r="Q315" s="7"/>
      <c r="R315" s="5"/>
      <c r="S315" s="5"/>
      <c r="T315" s="5"/>
      <c r="U315" s="9"/>
      <c r="V315" s="9"/>
      <c r="W315" s="9"/>
    </row>
    <row r="316" spans="1:23" ht="29.25">
      <c r="A316" s="23" t="s">
        <v>424</v>
      </c>
      <c r="B316" s="136"/>
      <c r="C316" s="11"/>
      <c r="D316" s="189"/>
      <c r="E316" s="189"/>
      <c r="F316" s="112"/>
      <c r="G316" s="27" t="s">
        <v>113</v>
      </c>
      <c r="H316" s="121"/>
      <c r="I316" s="121"/>
      <c r="J316" s="144" t="s">
        <v>52</v>
      </c>
      <c r="K316" s="35" t="s">
        <v>53</v>
      </c>
      <c r="L316" s="102"/>
      <c r="N316" s="102"/>
      <c r="O316" s="22"/>
      <c r="P316" s="7"/>
      <c r="Q316" s="7"/>
      <c r="R316" s="5"/>
      <c r="S316" s="5"/>
      <c r="T316" s="5"/>
      <c r="U316" s="9"/>
      <c r="V316" s="9"/>
      <c r="W316" s="9"/>
    </row>
    <row r="317" spans="1:23" ht="15.75" customHeight="1">
      <c r="A317" s="23" t="s">
        <v>425</v>
      </c>
      <c r="B317" s="136"/>
      <c r="C317" s="11"/>
      <c r="D317" s="189"/>
      <c r="E317" s="189"/>
      <c r="F317" s="112"/>
      <c r="G317" s="141" t="s">
        <v>115</v>
      </c>
      <c r="H317" s="133"/>
      <c r="I317" s="121"/>
      <c r="J317" s="132" t="s">
        <v>116</v>
      </c>
      <c r="K317" s="35" t="s">
        <v>53</v>
      </c>
      <c r="L317" s="102"/>
      <c r="N317" s="102"/>
      <c r="O317" s="22"/>
      <c r="P317" s="7"/>
      <c r="Q317" s="7"/>
      <c r="R317" s="5"/>
      <c r="S317" s="5"/>
      <c r="T317" s="5"/>
      <c r="U317" s="9"/>
      <c r="V317" s="9"/>
      <c r="W317" s="9"/>
    </row>
    <row r="318" spans="1:23" ht="15.75" customHeight="1">
      <c r="A318" s="23" t="s">
        <v>426</v>
      </c>
      <c r="B318" s="136"/>
      <c r="C318" s="11"/>
      <c r="D318" s="189"/>
      <c r="E318" s="189"/>
      <c r="F318" s="112"/>
      <c r="G318" s="120" t="s">
        <v>118</v>
      </c>
      <c r="H318" s="133"/>
      <c r="I318" s="121"/>
      <c r="J318" s="132" t="s">
        <v>57</v>
      </c>
      <c r="K318" s="35"/>
      <c r="L318" s="102"/>
      <c r="N318" s="102"/>
      <c r="O318" s="22"/>
      <c r="P318" s="7"/>
      <c r="Q318" s="7"/>
      <c r="R318" s="5"/>
      <c r="S318" s="5"/>
      <c r="T318" s="5"/>
      <c r="U318" s="9"/>
      <c r="V318" s="9"/>
      <c r="W318" s="9"/>
    </row>
    <row r="319" spans="1:23" ht="29.25">
      <c r="A319" s="23" t="s">
        <v>427</v>
      </c>
      <c r="B319" s="136"/>
      <c r="C319" s="11"/>
      <c r="D319" s="189"/>
      <c r="E319" s="189"/>
      <c r="F319" s="112"/>
      <c r="G319" s="27" t="s">
        <v>120</v>
      </c>
      <c r="H319" s="133"/>
      <c r="I319" s="121"/>
      <c r="J319" s="144" t="s">
        <v>52</v>
      </c>
      <c r="K319" s="35"/>
      <c r="L319" s="102"/>
      <c r="N319" s="102"/>
      <c r="O319" s="22"/>
      <c r="P319" s="7"/>
      <c r="Q319" s="7"/>
      <c r="R319" s="5"/>
      <c r="S319" s="5"/>
      <c r="T319" s="5"/>
      <c r="U319" s="9"/>
      <c r="V319" s="9"/>
      <c r="W319" s="9"/>
    </row>
    <row r="320" spans="1:23" ht="29.25" customHeight="1">
      <c r="A320" s="23" t="s">
        <v>428</v>
      </c>
      <c r="B320" s="136"/>
      <c r="C320" s="11"/>
      <c r="D320" s="190"/>
      <c r="E320" s="190"/>
      <c r="F320" s="112"/>
      <c r="G320" s="27" t="s">
        <v>122</v>
      </c>
      <c r="H320" s="133"/>
      <c r="I320" s="121"/>
      <c r="J320" s="144"/>
      <c r="K320" s="35"/>
      <c r="L320" s="102"/>
      <c r="N320" s="102"/>
      <c r="O320" s="22"/>
      <c r="P320" s="7"/>
      <c r="Q320" s="7"/>
      <c r="R320" s="5"/>
      <c r="S320" s="5"/>
      <c r="T320" s="5"/>
      <c r="U320" s="9"/>
      <c r="V320" s="9"/>
      <c r="W320" s="9"/>
    </row>
    <row r="321" spans="1:23" ht="15.75" customHeight="1">
      <c r="A321" s="23" t="s">
        <v>429</v>
      </c>
      <c r="B321" s="69"/>
      <c r="C321" s="11"/>
      <c r="D321" s="203" t="s">
        <v>148</v>
      </c>
      <c r="E321" s="188" t="s">
        <v>149</v>
      </c>
      <c r="F321" s="113"/>
      <c r="G321" s="120" t="s">
        <v>71</v>
      </c>
      <c r="H321" s="133"/>
      <c r="I321" s="121"/>
      <c r="J321" s="116" t="s">
        <v>150</v>
      </c>
      <c r="K321" s="35" t="s">
        <v>53</v>
      </c>
      <c r="L321" s="102"/>
      <c r="N321" s="102"/>
      <c r="O321" s="22"/>
      <c r="P321" s="7"/>
      <c r="Q321" s="7"/>
      <c r="R321" s="5"/>
      <c r="S321" s="5"/>
      <c r="T321" s="5"/>
      <c r="U321" s="9"/>
      <c r="V321" s="9"/>
      <c r="W321" s="9"/>
    </row>
    <row r="322" spans="1:23" ht="15.75" customHeight="1">
      <c r="A322" s="23" t="s">
        <v>430</v>
      </c>
      <c r="B322" s="69"/>
      <c r="C322" s="11"/>
      <c r="D322" s="203"/>
      <c r="E322" s="189"/>
      <c r="F322" s="27"/>
      <c r="G322" s="27" t="s">
        <v>113</v>
      </c>
      <c r="H322" s="145"/>
      <c r="I322" s="146"/>
      <c r="J322" s="117" t="s">
        <v>152</v>
      </c>
      <c r="K322" s="35" t="s">
        <v>53</v>
      </c>
      <c r="L322" s="102"/>
      <c r="N322" s="102"/>
      <c r="O322" s="22"/>
      <c r="P322" s="7"/>
      <c r="Q322" s="7"/>
      <c r="R322" s="5"/>
      <c r="S322" s="5"/>
      <c r="T322" s="5"/>
      <c r="U322" s="9"/>
      <c r="V322" s="9"/>
      <c r="W322" s="9"/>
    </row>
    <row r="323" spans="1:23" ht="29.25" customHeight="1">
      <c r="A323" s="23" t="s">
        <v>431</v>
      </c>
      <c r="B323" s="69"/>
      <c r="C323" s="11"/>
      <c r="D323" s="203"/>
      <c r="E323" s="189"/>
      <c r="F323" s="27"/>
      <c r="G323" s="141" t="s">
        <v>154</v>
      </c>
      <c r="H323" s="85"/>
      <c r="I323" s="33"/>
      <c r="J323" s="116" t="s">
        <v>155</v>
      </c>
      <c r="K323" s="35" t="s">
        <v>53</v>
      </c>
      <c r="L323" s="102"/>
      <c r="N323" s="102"/>
      <c r="O323" s="22"/>
      <c r="P323" s="7"/>
      <c r="Q323" s="7"/>
      <c r="R323" s="5"/>
      <c r="S323" s="5"/>
      <c r="T323" s="5"/>
      <c r="U323" s="9"/>
      <c r="V323" s="9"/>
      <c r="W323" s="9"/>
    </row>
    <row r="324" spans="1:23" ht="15.75" customHeight="1">
      <c r="A324" s="23" t="s">
        <v>432</v>
      </c>
      <c r="B324" s="69"/>
      <c r="C324" s="11"/>
      <c r="D324" s="203"/>
      <c r="E324" s="189"/>
      <c r="F324" s="27"/>
      <c r="G324" s="141" t="s">
        <v>157</v>
      </c>
      <c r="H324" s="85"/>
      <c r="I324" s="33"/>
      <c r="J324" s="116"/>
      <c r="K324" s="35"/>
      <c r="L324" s="102"/>
      <c r="N324" s="102"/>
      <c r="O324" s="22"/>
      <c r="P324" s="7"/>
      <c r="Q324" s="7"/>
      <c r="R324" s="5"/>
      <c r="S324" s="5"/>
      <c r="T324" s="5"/>
      <c r="U324" s="9"/>
      <c r="V324" s="9"/>
      <c r="W324" s="9"/>
    </row>
    <row r="325" spans="1:23" ht="15.75" customHeight="1">
      <c r="A325" s="23" t="s">
        <v>433</v>
      </c>
      <c r="B325" s="118"/>
      <c r="C325" s="12"/>
      <c r="D325" s="203"/>
      <c r="E325" s="190"/>
      <c r="F325" s="44"/>
      <c r="G325" s="134" t="s">
        <v>87</v>
      </c>
      <c r="H325" s="135"/>
      <c r="I325" s="121"/>
      <c r="J325" s="132"/>
      <c r="K325" s="65"/>
      <c r="L325" s="105"/>
      <c r="N325" s="102"/>
      <c r="O325" s="124"/>
      <c r="P325" s="94"/>
      <c r="Q325" s="94"/>
      <c r="R325" s="5"/>
      <c r="S325" s="5"/>
      <c r="T325" s="5"/>
      <c r="U325" s="9"/>
      <c r="V325" s="9"/>
      <c r="W325" s="9"/>
    </row>
    <row r="326" spans="1:23" ht="15.75" customHeight="1">
      <c r="A326" s="23" t="s">
        <v>434</v>
      </c>
      <c r="B326" s="136"/>
      <c r="C326" s="11"/>
      <c r="D326" s="203"/>
      <c r="E326" s="188" t="s">
        <v>160</v>
      </c>
      <c r="F326" s="112"/>
      <c r="G326" s="120" t="s">
        <v>71</v>
      </c>
      <c r="H326" s="121"/>
      <c r="I326" s="15"/>
      <c r="J326" s="132" t="s">
        <v>57</v>
      </c>
      <c r="K326" s="65" t="s">
        <v>53</v>
      </c>
      <c r="L326" s="102"/>
      <c r="N326" s="102"/>
      <c r="O326" s="124"/>
      <c r="P326" s="94"/>
      <c r="Q326" s="94"/>
      <c r="R326" s="5"/>
      <c r="S326" s="5"/>
      <c r="T326" s="5"/>
      <c r="U326" s="9"/>
      <c r="V326" s="9"/>
      <c r="W326" s="9"/>
    </row>
    <row r="327" spans="1:23" ht="15.75" customHeight="1">
      <c r="A327" s="23" t="s">
        <v>435</v>
      </c>
      <c r="B327" s="136"/>
      <c r="C327" s="11"/>
      <c r="D327" s="203"/>
      <c r="E327" s="189"/>
      <c r="F327" s="112"/>
      <c r="G327" s="27" t="s">
        <v>113</v>
      </c>
      <c r="H327" s="121"/>
      <c r="I327" s="15"/>
      <c r="J327" s="144" t="s">
        <v>52</v>
      </c>
      <c r="K327" s="65" t="s">
        <v>53</v>
      </c>
      <c r="L327" s="102"/>
      <c r="N327" s="102"/>
      <c r="O327" s="124"/>
      <c r="P327" s="94"/>
      <c r="Q327" s="94"/>
      <c r="R327" s="5"/>
      <c r="S327" s="5"/>
      <c r="T327" s="5"/>
      <c r="U327" s="9"/>
      <c r="V327" s="9"/>
      <c r="W327" s="9"/>
    </row>
    <row r="328" spans="1:23" ht="15.75" customHeight="1">
      <c r="A328" s="23" t="s">
        <v>436</v>
      </c>
      <c r="B328" s="136"/>
      <c r="C328" s="11"/>
      <c r="D328" s="203"/>
      <c r="E328" s="189"/>
      <c r="F328" s="112"/>
      <c r="G328" s="141" t="s">
        <v>115</v>
      </c>
      <c r="H328" s="90"/>
      <c r="I328" s="15"/>
      <c r="J328" s="132" t="s">
        <v>116</v>
      </c>
      <c r="K328" s="65" t="s">
        <v>53</v>
      </c>
      <c r="L328" s="102"/>
      <c r="N328" s="102"/>
      <c r="O328" s="124"/>
      <c r="P328" s="94"/>
      <c r="Q328" s="94"/>
      <c r="R328" s="5"/>
      <c r="S328" s="5"/>
      <c r="T328" s="5"/>
      <c r="U328" s="9"/>
      <c r="V328" s="9"/>
      <c r="W328" s="9"/>
    </row>
    <row r="329" spans="1:23" ht="15.75" customHeight="1">
      <c r="A329" s="23" t="s">
        <v>437</v>
      </c>
      <c r="B329" s="136"/>
      <c r="C329" s="11"/>
      <c r="D329" s="203"/>
      <c r="E329" s="189"/>
      <c r="F329" s="112"/>
      <c r="G329" s="120" t="s">
        <v>118</v>
      </c>
      <c r="H329" s="90"/>
      <c r="I329" s="15"/>
      <c r="J329" s="132" t="s">
        <v>57</v>
      </c>
      <c r="K329" s="65"/>
      <c r="L329" s="102"/>
      <c r="N329" s="102"/>
      <c r="O329" s="124"/>
      <c r="P329" s="94"/>
      <c r="Q329" s="94"/>
      <c r="R329" s="5"/>
      <c r="S329" s="5"/>
      <c r="T329" s="5"/>
      <c r="U329" s="9"/>
      <c r="V329" s="9"/>
      <c r="W329" s="9"/>
    </row>
    <row r="330" spans="1:23" ht="29.25">
      <c r="A330" s="23" t="s">
        <v>438</v>
      </c>
      <c r="B330" s="136"/>
      <c r="C330" s="11"/>
      <c r="D330" s="203"/>
      <c r="E330" s="189"/>
      <c r="F330" s="112"/>
      <c r="G330" s="27" t="s">
        <v>120</v>
      </c>
      <c r="H330" s="90"/>
      <c r="I330" s="15"/>
      <c r="J330" s="144" t="s">
        <v>52</v>
      </c>
      <c r="K330" s="65"/>
      <c r="L330" s="102"/>
      <c r="N330" s="102"/>
      <c r="O330" s="124"/>
      <c r="P330" s="94"/>
      <c r="Q330" s="94"/>
      <c r="R330" s="5"/>
      <c r="S330" s="5"/>
      <c r="T330" s="5"/>
      <c r="U330" s="9"/>
      <c r="V330" s="9"/>
      <c r="W330" s="9"/>
    </row>
    <row r="331" spans="1:23" ht="15.75" customHeight="1">
      <c r="A331" s="23" t="s">
        <v>439</v>
      </c>
      <c r="B331" s="136"/>
      <c r="C331" s="11"/>
      <c r="D331" s="203"/>
      <c r="E331" s="189"/>
      <c r="F331" s="112"/>
      <c r="G331" s="27" t="s">
        <v>122</v>
      </c>
      <c r="H331" s="90"/>
      <c r="I331" s="15"/>
      <c r="J331" s="144"/>
      <c r="K331" s="65"/>
      <c r="L331" s="102"/>
      <c r="N331" s="102"/>
      <c r="O331" s="124"/>
      <c r="P331" s="94"/>
      <c r="Q331" s="94"/>
      <c r="R331" s="5"/>
      <c r="S331" s="5"/>
      <c r="T331" s="5"/>
      <c r="U331" s="9"/>
      <c r="V331" s="9"/>
      <c r="W331" s="9"/>
    </row>
    <row r="332" spans="1:23" ht="15.75" customHeight="1">
      <c r="A332" s="23" t="s">
        <v>440</v>
      </c>
      <c r="B332" s="118"/>
      <c r="C332" s="128"/>
      <c r="D332" s="203"/>
      <c r="E332" s="190"/>
      <c r="F332" s="44"/>
      <c r="G332" s="134" t="s">
        <v>87</v>
      </c>
      <c r="H332" s="135"/>
      <c r="I332" s="121"/>
      <c r="J332" s="132"/>
      <c r="K332" s="65"/>
      <c r="L332" s="105"/>
      <c r="N332" s="102"/>
      <c r="O332" s="124"/>
      <c r="P332" s="94"/>
      <c r="Q332" s="94"/>
      <c r="R332" s="125"/>
      <c r="S332" s="125"/>
      <c r="T332" s="125"/>
      <c r="U332" s="126"/>
      <c r="V332" s="126"/>
      <c r="W332" s="126"/>
    </row>
    <row r="333" spans="1:23" ht="15.75" customHeight="1">
      <c r="A333" s="23" t="s">
        <v>441</v>
      </c>
      <c r="B333" s="147"/>
      <c r="C333" s="140"/>
      <c r="D333" s="188" t="s">
        <v>168</v>
      </c>
      <c r="E333" s="203" t="s">
        <v>169</v>
      </c>
      <c r="F333" s="27"/>
      <c r="G333" s="141" t="s">
        <v>170</v>
      </c>
      <c r="H333" s="148"/>
      <c r="I333" s="152"/>
      <c r="J333" s="116" t="s">
        <v>150</v>
      </c>
      <c r="K333" s="65" t="s">
        <v>53</v>
      </c>
      <c r="L333" s="102"/>
      <c r="N333" s="102"/>
      <c r="O333" s="124"/>
      <c r="P333" s="94"/>
      <c r="Q333" s="94"/>
      <c r="R333" s="125"/>
      <c r="S333" s="125"/>
      <c r="T333" s="125"/>
      <c r="U333" s="126"/>
      <c r="V333" s="126"/>
      <c r="W333" s="126"/>
    </row>
    <row r="334" spans="1:23" ht="15.75" customHeight="1">
      <c r="A334" s="23" t="s">
        <v>442</v>
      </c>
      <c r="B334" s="147"/>
      <c r="C334" s="140"/>
      <c r="D334" s="189"/>
      <c r="E334" s="203"/>
      <c r="F334" s="27"/>
      <c r="G334" s="141" t="s">
        <v>172</v>
      </c>
      <c r="H334" s="148"/>
      <c r="I334" s="152"/>
      <c r="J334" s="116" t="s">
        <v>152</v>
      </c>
      <c r="K334" s="65" t="s">
        <v>53</v>
      </c>
      <c r="L334" s="102"/>
      <c r="N334" s="102"/>
      <c r="O334" s="124"/>
      <c r="P334" s="94"/>
      <c r="Q334" s="94"/>
      <c r="R334" s="125"/>
      <c r="S334" s="125"/>
      <c r="T334" s="125"/>
      <c r="U334" s="126"/>
      <c r="V334" s="126"/>
      <c r="W334" s="126"/>
    </row>
    <row r="335" spans="1:23" ht="15.75" customHeight="1">
      <c r="A335" s="23" t="s">
        <v>443</v>
      </c>
      <c r="B335" s="147"/>
      <c r="C335" s="140"/>
      <c r="D335" s="189"/>
      <c r="E335" s="203" t="s">
        <v>174</v>
      </c>
      <c r="F335" s="27"/>
      <c r="G335" s="141" t="s">
        <v>170</v>
      </c>
      <c r="H335" s="148"/>
      <c r="I335" s="152"/>
      <c r="J335" s="116" t="s">
        <v>150</v>
      </c>
      <c r="K335" s="65" t="s">
        <v>53</v>
      </c>
      <c r="L335" s="102"/>
      <c r="N335" s="102"/>
      <c r="O335" s="124"/>
      <c r="P335" s="94"/>
      <c r="Q335" s="94"/>
      <c r="R335" s="125"/>
      <c r="S335" s="125"/>
      <c r="T335" s="125"/>
      <c r="U335" s="126"/>
      <c r="V335" s="126"/>
      <c r="W335" s="126"/>
    </row>
    <row r="336" spans="1:23" ht="15.75" customHeight="1">
      <c r="A336" s="23" t="s">
        <v>444</v>
      </c>
      <c r="B336" s="147"/>
      <c r="C336" s="140"/>
      <c r="D336" s="189"/>
      <c r="E336" s="203"/>
      <c r="F336" s="27"/>
      <c r="G336" s="141" t="s">
        <v>172</v>
      </c>
      <c r="H336" s="148"/>
      <c r="I336" s="152"/>
      <c r="J336" s="116" t="s">
        <v>152</v>
      </c>
      <c r="K336" s="65" t="s">
        <v>53</v>
      </c>
      <c r="L336" s="102"/>
      <c r="N336" s="102"/>
      <c r="O336" s="124"/>
      <c r="P336" s="94"/>
      <c r="Q336" s="94"/>
      <c r="R336" s="125"/>
      <c r="S336" s="125"/>
      <c r="T336" s="125"/>
      <c r="U336" s="126"/>
      <c r="V336" s="126"/>
      <c r="W336" s="126"/>
    </row>
    <row r="337" spans="1:23" ht="15.75" customHeight="1">
      <c r="A337" s="23" t="s">
        <v>445</v>
      </c>
      <c r="B337" s="147"/>
      <c r="C337" s="140"/>
      <c r="D337" s="189"/>
      <c r="E337" s="203" t="s">
        <v>177</v>
      </c>
      <c r="F337" s="27"/>
      <c r="G337" s="141" t="s">
        <v>170</v>
      </c>
      <c r="H337" s="148"/>
      <c r="I337" s="152"/>
      <c r="J337" s="116" t="s">
        <v>150</v>
      </c>
      <c r="K337" s="65" t="s">
        <v>53</v>
      </c>
      <c r="L337" s="102"/>
      <c r="N337" s="102"/>
      <c r="O337" s="124"/>
      <c r="P337" s="94"/>
      <c r="Q337" s="94"/>
      <c r="R337" s="125"/>
      <c r="S337" s="125"/>
      <c r="T337" s="125"/>
      <c r="U337" s="126"/>
      <c r="V337" s="126"/>
      <c r="W337" s="126"/>
    </row>
    <row r="338" spans="1:23" ht="15.75" customHeight="1">
      <c r="A338" s="23" t="s">
        <v>446</v>
      </c>
      <c r="B338" s="147"/>
      <c r="C338" s="140"/>
      <c r="D338" s="189"/>
      <c r="E338" s="203"/>
      <c r="F338" s="27"/>
      <c r="G338" s="141" t="s">
        <v>172</v>
      </c>
      <c r="H338" s="148"/>
      <c r="I338" s="152"/>
      <c r="J338" s="116" t="s">
        <v>152</v>
      </c>
      <c r="K338" s="65" t="s">
        <v>53</v>
      </c>
      <c r="L338" s="102"/>
      <c r="N338" s="102"/>
      <c r="O338" s="124"/>
      <c r="P338" s="94"/>
      <c r="Q338" s="94"/>
      <c r="R338" s="125"/>
      <c r="S338" s="125"/>
      <c r="T338" s="125"/>
      <c r="U338" s="126"/>
      <c r="V338" s="126"/>
      <c r="W338" s="126"/>
    </row>
    <row r="339" spans="1:23" ht="15.75" customHeight="1">
      <c r="A339" s="23" t="s">
        <v>447</v>
      </c>
      <c r="B339" s="147"/>
      <c r="C339" s="140"/>
      <c r="D339" s="189"/>
      <c r="E339" s="203" t="s">
        <v>49</v>
      </c>
      <c r="F339" s="27"/>
      <c r="G339" s="141" t="s">
        <v>170</v>
      </c>
      <c r="H339" s="148"/>
      <c r="I339" s="152"/>
      <c r="J339" s="116" t="s">
        <v>150</v>
      </c>
      <c r="K339" s="65" t="s">
        <v>53</v>
      </c>
      <c r="L339" s="102"/>
      <c r="N339" s="102"/>
      <c r="O339" s="124"/>
      <c r="P339" s="94"/>
      <c r="Q339" s="94"/>
      <c r="R339" s="125"/>
      <c r="S339" s="125"/>
      <c r="T339" s="125"/>
      <c r="U339" s="126"/>
      <c r="V339" s="126"/>
      <c r="W339" s="126"/>
    </row>
    <row r="340" spans="1:23" ht="15.75" customHeight="1">
      <c r="A340" s="154" t="s">
        <v>448</v>
      </c>
      <c r="B340" s="155"/>
      <c r="C340" s="128"/>
      <c r="D340" s="189"/>
      <c r="E340" s="188"/>
      <c r="F340" s="28"/>
      <c r="G340" s="151" t="s">
        <v>172</v>
      </c>
      <c r="H340" s="148"/>
      <c r="I340" s="152"/>
      <c r="J340" s="116" t="s">
        <v>152</v>
      </c>
      <c r="K340" s="65" t="s">
        <v>53</v>
      </c>
      <c r="L340" s="102"/>
      <c r="N340" s="102"/>
      <c r="O340" s="124"/>
      <c r="P340" s="94"/>
      <c r="Q340" s="94"/>
      <c r="R340" s="125"/>
      <c r="S340" s="125"/>
      <c r="T340" s="125"/>
      <c r="U340" s="126"/>
      <c r="V340" s="126"/>
      <c r="W340" s="126"/>
    </row>
    <row r="341" spans="1:23" ht="15.75" customHeight="1">
      <c r="A341" s="153" t="s">
        <v>449</v>
      </c>
      <c r="B341" s="147"/>
      <c r="C341" s="140"/>
      <c r="D341" s="203" t="s">
        <v>182</v>
      </c>
      <c r="E341" s="203" t="s">
        <v>183</v>
      </c>
      <c r="F341" s="27"/>
      <c r="G341" s="120" t="s">
        <v>71</v>
      </c>
      <c r="H341" s="121"/>
      <c r="I341" s="122"/>
      <c r="J341" s="123" t="s">
        <v>57</v>
      </c>
      <c r="K341" s="65" t="s">
        <v>53</v>
      </c>
      <c r="L341" s="102"/>
      <c r="N341" s="102"/>
      <c r="O341" s="124"/>
      <c r="P341" s="94"/>
      <c r="Q341" s="67" t="s">
        <v>54</v>
      </c>
      <c r="R341" s="125"/>
      <c r="S341" s="125"/>
      <c r="T341" s="125"/>
      <c r="U341" s="126"/>
      <c r="V341" s="126"/>
      <c r="W341" s="126"/>
    </row>
    <row r="342" spans="1:23" ht="15.75" customHeight="1">
      <c r="A342" s="153" t="s">
        <v>450</v>
      </c>
      <c r="B342" s="147"/>
      <c r="C342" s="140"/>
      <c r="D342" s="203"/>
      <c r="E342" s="203"/>
      <c r="F342" s="27"/>
      <c r="G342" s="27" t="s">
        <v>73</v>
      </c>
      <c r="H342" s="121"/>
      <c r="I342" s="122"/>
      <c r="J342" s="127" t="s">
        <v>52</v>
      </c>
      <c r="K342" s="65" t="s">
        <v>53</v>
      </c>
      <c r="L342" s="102"/>
      <c r="N342" s="102"/>
      <c r="O342" s="124"/>
      <c r="P342" s="94"/>
      <c r="Q342" s="67" t="s">
        <v>54</v>
      </c>
      <c r="R342" s="125"/>
      <c r="S342" s="125"/>
      <c r="T342" s="125"/>
      <c r="U342" s="126"/>
      <c r="V342" s="126"/>
      <c r="W342" s="126"/>
    </row>
    <row r="343" spans="1:23" ht="15.75" customHeight="1">
      <c r="A343" s="153" t="s">
        <v>451</v>
      </c>
      <c r="B343" s="147"/>
      <c r="C343" s="140"/>
      <c r="D343" s="203"/>
      <c r="E343" s="203"/>
      <c r="F343" s="27"/>
      <c r="G343" s="21" t="s">
        <v>186</v>
      </c>
      <c r="H343" s="121"/>
      <c r="I343" s="122"/>
      <c r="J343" s="129" t="s">
        <v>65</v>
      </c>
      <c r="K343" s="65" t="s">
        <v>53</v>
      </c>
      <c r="L343" s="102"/>
      <c r="N343" s="102"/>
      <c r="O343" s="124"/>
      <c r="P343" s="94"/>
      <c r="Q343" s="67" t="s">
        <v>54</v>
      </c>
      <c r="R343" s="125"/>
      <c r="S343" s="125"/>
      <c r="T343" s="125"/>
      <c r="U343" s="126"/>
      <c r="V343" s="126"/>
      <c r="W343" s="126"/>
    </row>
    <row r="344" spans="1:23" ht="15.75" customHeight="1">
      <c r="A344" s="153" t="s">
        <v>452</v>
      </c>
      <c r="B344" s="147"/>
      <c r="C344" s="140"/>
      <c r="D344" s="203"/>
      <c r="E344" s="203"/>
      <c r="F344" s="27"/>
      <c r="G344" s="27" t="s">
        <v>51</v>
      </c>
      <c r="H344" s="121"/>
      <c r="I344" s="131"/>
      <c r="J344" s="132" t="s">
        <v>78</v>
      </c>
      <c r="K344" s="65" t="s">
        <v>53</v>
      </c>
      <c r="L344" s="105"/>
      <c r="N344" s="102"/>
      <c r="O344" s="124"/>
      <c r="P344" s="94"/>
      <c r="Q344" s="67" t="s">
        <v>54</v>
      </c>
      <c r="R344" s="125"/>
      <c r="S344" s="125"/>
      <c r="T344" s="125"/>
      <c r="U344" s="126"/>
      <c r="V344" s="126"/>
      <c r="W344" s="126"/>
    </row>
    <row r="345" spans="1:23" ht="15.75" customHeight="1">
      <c r="A345" s="153" t="s">
        <v>453</v>
      </c>
      <c r="B345" s="147"/>
      <c r="C345" s="140"/>
      <c r="D345" s="203"/>
      <c r="E345" s="203"/>
      <c r="F345" s="27"/>
      <c r="G345" s="120" t="s">
        <v>56</v>
      </c>
      <c r="H345" s="121"/>
      <c r="I345" s="131"/>
      <c r="J345" s="132" t="s">
        <v>68</v>
      </c>
      <c r="K345" s="65" t="s">
        <v>53</v>
      </c>
      <c r="L345" s="105"/>
      <c r="N345" s="102"/>
      <c r="O345" s="124"/>
      <c r="P345" s="94"/>
      <c r="Q345" s="67" t="s">
        <v>54</v>
      </c>
      <c r="R345" s="125"/>
      <c r="S345" s="125"/>
      <c r="T345" s="125"/>
      <c r="U345" s="126"/>
      <c r="V345" s="126"/>
      <c r="W345" s="126"/>
    </row>
    <row r="346" spans="1:23" ht="15.75" customHeight="1">
      <c r="A346" s="153" t="s">
        <v>454</v>
      </c>
      <c r="B346" s="147"/>
      <c r="C346" s="140"/>
      <c r="D346" s="203"/>
      <c r="E346" s="203"/>
      <c r="F346" s="27"/>
      <c r="G346" s="133" t="s">
        <v>107</v>
      </c>
      <c r="H346" s="121"/>
      <c r="I346" s="131"/>
      <c r="J346" s="132"/>
      <c r="K346" s="65"/>
      <c r="L346" s="105"/>
      <c r="N346" s="102"/>
      <c r="O346" s="124"/>
      <c r="P346" s="94"/>
      <c r="Q346" s="67" t="s">
        <v>54</v>
      </c>
      <c r="R346" s="125"/>
      <c r="S346" s="125"/>
      <c r="T346" s="125"/>
      <c r="U346" s="126"/>
      <c r="V346" s="126"/>
      <c r="W346" s="126"/>
    </row>
    <row r="347" spans="1:23" ht="15.75" customHeight="1">
      <c r="A347" s="153" t="s">
        <v>455</v>
      </c>
      <c r="B347" s="147"/>
      <c r="C347" s="140"/>
      <c r="D347" s="203"/>
      <c r="E347" s="203"/>
      <c r="F347" s="27"/>
      <c r="G347" s="133" t="s">
        <v>87</v>
      </c>
      <c r="H347" s="121"/>
      <c r="I347" s="131"/>
      <c r="J347" s="132"/>
      <c r="K347" s="65"/>
      <c r="L347" s="105"/>
      <c r="N347" s="102"/>
      <c r="O347" s="124"/>
      <c r="P347" s="94"/>
      <c r="Q347" s="67" t="s">
        <v>54</v>
      </c>
      <c r="R347" s="125"/>
      <c r="S347" s="125"/>
      <c r="T347" s="125"/>
      <c r="U347" s="126"/>
      <c r="V347" s="126"/>
      <c r="W347" s="126"/>
    </row>
    <row r="348" spans="1:23" ht="15.75" customHeight="1">
      <c r="A348" s="153" t="s">
        <v>456</v>
      </c>
      <c r="B348" s="147"/>
      <c r="C348" s="140"/>
      <c r="D348" s="203"/>
      <c r="E348" s="203" t="s">
        <v>192</v>
      </c>
      <c r="F348" s="27"/>
      <c r="G348" s="120" t="s">
        <v>71</v>
      </c>
      <c r="H348" s="121"/>
      <c r="I348" s="122"/>
      <c r="J348" s="123" t="s">
        <v>57</v>
      </c>
      <c r="K348" s="65" t="s">
        <v>53</v>
      </c>
      <c r="L348" s="102"/>
      <c r="N348" s="102"/>
      <c r="O348" s="124"/>
      <c r="P348" s="94"/>
      <c r="Q348" s="67" t="s">
        <v>54</v>
      </c>
      <c r="R348" s="125"/>
      <c r="S348" s="125"/>
      <c r="T348" s="125"/>
      <c r="U348" s="126"/>
      <c r="V348" s="126"/>
      <c r="W348" s="126"/>
    </row>
    <row r="349" spans="1:23" ht="15.75" customHeight="1">
      <c r="A349" s="153" t="s">
        <v>457</v>
      </c>
      <c r="B349" s="147"/>
      <c r="C349" s="140"/>
      <c r="D349" s="203"/>
      <c r="E349" s="203"/>
      <c r="F349" s="27"/>
      <c r="G349" s="27" t="s">
        <v>73</v>
      </c>
      <c r="H349" s="121"/>
      <c r="I349" s="122"/>
      <c r="J349" s="127" t="s">
        <v>52</v>
      </c>
      <c r="K349" s="65" t="s">
        <v>53</v>
      </c>
      <c r="L349" s="102"/>
      <c r="N349" s="102"/>
      <c r="O349" s="124"/>
      <c r="P349" s="94"/>
      <c r="Q349" s="67" t="s">
        <v>54</v>
      </c>
      <c r="R349" s="125"/>
      <c r="S349" s="125"/>
      <c r="T349" s="125"/>
      <c r="U349" s="126"/>
      <c r="V349" s="126"/>
      <c r="W349" s="126"/>
    </row>
    <row r="350" spans="1:23" ht="15.75" customHeight="1">
      <c r="A350" s="153" t="s">
        <v>458</v>
      </c>
      <c r="B350" s="147"/>
      <c r="C350" s="140"/>
      <c r="D350" s="203"/>
      <c r="E350" s="203"/>
      <c r="F350" s="27"/>
      <c r="G350" s="21" t="s">
        <v>186</v>
      </c>
      <c r="H350" s="121"/>
      <c r="I350" s="122"/>
      <c r="J350" s="129" t="s">
        <v>65</v>
      </c>
      <c r="K350" s="65" t="s">
        <v>53</v>
      </c>
      <c r="L350" s="102"/>
      <c r="N350" s="102"/>
      <c r="O350" s="124"/>
      <c r="P350" s="94"/>
      <c r="Q350" s="67" t="s">
        <v>54</v>
      </c>
      <c r="R350" s="125"/>
      <c r="S350" s="125"/>
      <c r="T350" s="125"/>
      <c r="U350" s="126"/>
      <c r="V350" s="126"/>
      <c r="W350" s="126"/>
    </row>
    <row r="351" spans="1:23" ht="15.75" customHeight="1">
      <c r="A351" s="153" t="s">
        <v>459</v>
      </c>
      <c r="B351" s="147"/>
      <c r="C351" s="140"/>
      <c r="D351" s="203"/>
      <c r="E351" s="203"/>
      <c r="F351" s="27"/>
      <c r="G351" s="27" t="s">
        <v>51</v>
      </c>
      <c r="H351" s="121"/>
      <c r="I351" s="131"/>
      <c r="J351" s="132" t="s">
        <v>78</v>
      </c>
      <c r="K351" s="65" t="s">
        <v>53</v>
      </c>
      <c r="L351" s="105"/>
      <c r="N351" s="102"/>
      <c r="O351" s="124"/>
      <c r="P351" s="94"/>
      <c r="Q351" s="67" t="s">
        <v>54</v>
      </c>
      <c r="R351" s="125"/>
      <c r="S351" s="125"/>
      <c r="T351" s="125"/>
      <c r="U351" s="126"/>
      <c r="V351" s="126"/>
      <c r="W351" s="126"/>
    </row>
    <row r="352" spans="1:23" ht="15.75" customHeight="1">
      <c r="A352" s="153" t="s">
        <v>460</v>
      </c>
      <c r="B352" s="147"/>
      <c r="C352" s="140"/>
      <c r="D352" s="203"/>
      <c r="E352" s="203"/>
      <c r="F352" s="27"/>
      <c r="G352" s="120" t="s">
        <v>56</v>
      </c>
      <c r="H352" s="121"/>
      <c r="I352" s="131"/>
      <c r="J352" s="132" t="s">
        <v>68</v>
      </c>
      <c r="K352" s="65" t="s">
        <v>53</v>
      </c>
      <c r="L352" s="105"/>
      <c r="N352" s="102"/>
      <c r="O352" s="124"/>
      <c r="P352" s="94"/>
      <c r="Q352" s="67" t="s">
        <v>54</v>
      </c>
      <c r="R352" s="125"/>
      <c r="S352" s="125"/>
      <c r="T352" s="125"/>
      <c r="U352" s="126"/>
      <c r="V352" s="126"/>
      <c r="W352" s="126"/>
    </row>
    <row r="353" spans="1:23" ht="15.75" customHeight="1">
      <c r="A353" s="153" t="s">
        <v>461</v>
      </c>
      <c r="B353" s="147"/>
      <c r="C353" s="140"/>
      <c r="D353" s="203"/>
      <c r="E353" s="203"/>
      <c r="F353" s="27"/>
      <c r="G353" s="133" t="s">
        <v>107</v>
      </c>
      <c r="H353" s="121"/>
      <c r="I353" s="131"/>
      <c r="J353" s="132"/>
      <c r="K353" s="65"/>
      <c r="L353" s="105"/>
      <c r="N353" s="102"/>
      <c r="O353" s="124"/>
      <c r="P353" s="94"/>
      <c r="Q353" s="67" t="s">
        <v>54</v>
      </c>
      <c r="R353" s="125"/>
      <c r="S353" s="125"/>
      <c r="T353" s="125"/>
      <c r="U353" s="126"/>
      <c r="V353" s="126"/>
      <c r="W353" s="126"/>
    </row>
    <row r="354" spans="1:23" ht="15.75" customHeight="1">
      <c r="A354" s="153" t="s">
        <v>462</v>
      </c>
      <c r="B354" s="147"/>
      <c r="C354" s="140"/>
      <c r="D354" s="203"/>
      <c r="E354" s="203"/>
      <c r="F354" s="27"/>
      <c r="G354" s="133" t="s">
        <v>87</v>
      </c>
      <c r="H354" s="121"/>
      <c r="I354" s="131"/>
      <c r="J354" s="132"/>
      <c r="K354" s="65"/>
      <c r="L354" s="105"/>
      <c r="N354" s="102"/>
      <c r="O354" s="124"/>
      <c r="P354" s="94"/>
      <c r="Q354" s="67" t="s">
        <v>54</v>
      </c>
      <c r="R354" s="125"/>
      <c r="S354" s="125"/>
      <c r="T354" s="125"/>
      <c r="U354" s="126"/>
      <c r="V354" s="126"/>
      <c r="W354" s="126"/>
    </row>
  </sheetData>
  <mergeCells count="107">
    <mergeCell ref="D333:D340"/>
    <mergeCell ref="E333:E334"/>
    <mergeCell ref="E335:E336"/>
    <mergeCell ref="E337:E338"/>
    <mergeCell ref="E339:E340"/>
    <mergeCell ref="D341:D354"/>
    <mergeCell ref="E341:E347"/>
    <mergeCell ref="E348:E354"/>
    <mergeCell ref="D298:D308"/>
    <mergeCell ref="E298:E303"/>
    <mergeCell ref="E304:E308"/>
    <mergeCell ref="D309:D320"/>
    <mergeCell ref="E309:E314"/>
    <mergeCell ref="E315:E320"/>
    <mergeCell ref="D321:D332"/>
    <mergeCell ref="E321:E325"/>
    <mergeCell ref="E326:E332"/>
    <mergeCell ref="D245:D252"/>
    <mergeCell ref="E245:E246"/>
    <mergeCell ref="E247:E248"/>
    <mergeCell ref="E249:E250"/>
    <mergeCell ref="E251:E252"/>
    <mergeCell ref="D253:D266"/>
    <mergeCell ref="E253:E259"/>
    <mergeCell ref="E260:E266"/>
    <mergeCell ref="D268:D297"/>
    <mergeCell ref="E274:E281"/>
    <mergeCell ref="E282:E289"/>
    <mergeCell ref="E290:E297"/>
    <mergeCell ref="D210:D220"/>
    <mergeCell ref="E210:E215"/>
    <mergeCell ref="E216:E220"/>
    <mergeCell ref="D221:D232"/>
    <mergeCell ref="E221:E226"/>
    <mergeCell ref="E227:E232"/>
    <mergeCell ref="D233:D244"/>
    <mergeCell ref="E233:E237"/>
    <mergeCell ref="E238:E244"/>
    <mergeCell ref="E163:E164"/>
    <mergeCell ref="D165:D178"/>
    <mergeCell ref="E165:E171"/>
    <mergeCell ref="E172:E178"/>
    <mergeCell ref="A179:Q179"/>
    <mergeCell ref="D180:D209"/>
    <mergeCell ref="E180:E185"/>
    <mergeCell ref="E186:E193"/>
    <mergeCell ref="E194:E201"/>
    <mergeCell ref="E202:E209"/>
    <mergeCell ref="P1:P2"/>
    <mergeCell ref="Q1:Q2"/>
    <mergeCell ref="A3:Q3"/>
    <mergeCell ref="G1:G2"/>
    <mergeCell ref="H1:H2"/>
    <mergeCell ref="I1:I2"/>
    <mergeCell ref="J1:J2"/>
    <mergeCell ref="K1:M1"/>
    <mergeCell ref="N1:N2"/>
    <mergeCell ref="A1:A2"/>
    <mergeCell ref="B1:B2"/>
    <mergeCell ref="C1:C2"/>
    <mergeCell ref="D1:D2"/>
    <mergeCell ref="E1:E2"/>
    <mergeCell ref="F1:F2"/>
    <mergeCell ref="O1:O2"/>
    <mergeCell ref="E71:E72"/>
    <mergeCell ref="E73:E74"/>
    <mergeCell ref="E75:E76"/>
    <mergeCell ref="D57:D68"/>
    <mergeCell ref="D4:D33"/>
    <mergeCell ref="E4:E9"/>
    <mergeCell ref="E34:E39"/>
    <mergeCell ref="D34:D44"/>
    <mergeCell ref="E10:E17"/>
    <mergeCell ref="E18:E25"/>
    <mergeCell ref="E26:E33"/>
    <mergeCell ref="E40:E44"/>
    <mergeCell ref="E45:E50"/>
    <mergeCell ref="E51:E56"/>
    <mergeCell ref="D45:D56"/>
    <mergeCell ref="E57:E61"/>
    <mergeCell ref="E69:E70"/>
    <mergeCell ref="E62:E68"/>
    <mergeCell ref="D69:D76"/>
    <mergeCell ref="E77:E83"/>
    <mergeCell ref="E84:E90"/>
    <mergeCell ref="D92:D121"/>
    <mergeCell ref="E98:E105"/>
    <mergeCell ref="E106:E113"/>
    <mergeCell ref="A267:Q267"/>
    <mergeCell ref="E268:E273"/>
    <mergeCell ref="A91:Q91"/>
    <mergeCell ref="E92:E97"/>
    <mergeCell ref="D77:D90"/>
    <mergeCell ref="E114:E121"/>
    <mergeCell ref="D122:D132"/>
    <mergeCell ref="E122:E127"/>
    <mergeCell ref="E128:E132"/>
    <mergeCell ref="D133:D144"/>
    <mergeCell ref="E133:E138"/>
    <mergeCell ref="E139:E144"/>
    <mergeCell ref="D145:D156"/>
    <mergeCell ref="E145:E149"/>
    <mergeCell ref="E150:E156"/>
    <mergeCell ref="D157:D164"/>
    <mergeCell ref="E157:E158"/>
    <mergeCell ref="E159:E160"/>
    <mergeCell ref="E161:E162"/>
  </mergeCells>
  <conditionalFormatting sqref="K1:K2">
    <cfRule type="containsText" dxfId="401" priority="51" operator="containsText" text="FAIL">
      <formula>NOT(ISERROR(SEARCH("FAIL",K1)))</formula>
    </cfRule>
    <cfRule type="containsText" dxfId="400" priority="52" operator="containsText" text="PASS">
      <formula>NOT(ISERROR(SEARCH("PASS",K1)))</formula>
    </cfRule>
  </conditionalFormatting>
  <conditionalFormatting sqref="K3:M3">
    <cfRule type="containsText" dxfId="399" priority="49" operator="containsText" text="FAIL">
      <formula>NOT(ISERROR(SEARCH("FAIL",K3)))</formula>
    </cfRule>
    <cfRule type="containsText" dxfId="398" priority="50" operator="containsText" text="PASS">
      <formula>NOT(ISERROR(SEARCH("PASS",K3)))</formula>
    </cfRule>
  </conditionalFormatting>
  <conditionalFormatting sqref="K91:M91">
    <cfRule type="containsText" dxfId="397" priority="47" operator="containsText" text="FAIL">
      <formula>NOT(ISERROR(SEARCH("FAIL",K91)))</formula>
    </cfRule>
    <cfRule type="containsText" dxfId="396" priority="48" operator="containsText" text="PASS">
      <formula>NOT(ISERROR(SEARCH("PASS",K91)))</formula>
    </cfRule>
  </conditionalFormatting>
  <conditionalFormatting sqref="K267:M267">
    <cfRule type="containsText" dxfId="395" priority="43" operator="containsText" text="FAIL">
      <formula>NOT(ISERROR(SEARCH("FAIL",K267)))</formula>
    </cfRule>
    <cfRule type="containsText" dxfId="394" priority="44" operator="containsText" text="PASS">
      <formula>NOT(ISERROR(SEARCH("PASS",K267)))</formula>
    </cfRule>
  </conditionalFormatting>
  <conditionalFormatting sqref="N4:N90 K4:L90 L180:M266">
    <cfRule type="containsText" dxfId="393" priority="39" operator="containsText" text="BLOCKED">
      <formula>NOT(ISERROR(SEARCH("BLOCKED",K4)))</formula>
    </cfRule>
    <cfRule type="containsText" dxfId="392" priority="40" stopIfTrue="1" operator="containsText" text="IN PROGRESS">
      <formula>NOT(ISERROR(SEARCH("IN PROGRESS",K4)))</formula>
    </cfRule>
    <cfRule type="containsText" dxfId="391" priority="41" stopIfTrue="1" operator="containsText" text="PASS">
      <formula>NOT(ISERROR(SEARCH("PASS",K4)))</formula>
    </cfRule>
    <cfRule type="containsText" dxfId="390" priority="42" stopIfTrue="1" operator="containsText" text="FAIL">
      <formula>NOT(ISERROR(SEARCH("FAIL",K4)))</formula>
    </cfRule>
  </conditionalFormatting>
  <conditionalFormatting sqref="N92:N178 K92:L178 N180:N266">
    <cfRule type="containsText" dxfId="389" priority="7" operator="containsText" text="BLOCKED">
      <formula>NOT(ISERROR(SEARCH("BLOCKED",K92)))</formula>
    </cfRule>
    <cfRule type="containsText" dxfId="388" priority="8" stopIfTrue="1" operator="containsText" text="IN PROGRESS">
      <formula>NOT(ISERROR(SEARCH("IN PROGRESS",K92)))</formula>
    </cfRule>
    <cfRule type="containsText" dxfId="387" priority="9" stopIfTrue="1" operator="containsText" text="PASS">
      <formula>NOT(ISERROR(SEARCH("PASS",K92)))</formula>
    </cfRule>
    <cfRule type="containsText" dxfId="386" priority="10" stopIfTrue="1" operator="containsText" text="FAIL">
      <formula>NOT(ISERROR(SEARCH("FAIL",K92)))</formula>
    </cfRule>
  </conditionalFormatting>
  <conditionalFormatting sqref="K179:M179">
    <cfRule type="containsText" dxfId="385" priority="5" operator="containsText" text="FAIL">
      <formula>NOT(ISERROR(SEARCH("FAIL",K179)))</formula>
    </cfRule>
    <cfRule type="containsText" dxfId="384" priority="6" operator="containsText" text="PASS">
      <formula>NOT(ISERROR(SEARCH("PASS",K179)))</formula>
    </cfRule>
  </conditionalFormatting>
  <conditionalFormatting sqref="N268:N354 K268:L354">
    <cfRule type="containsText" dxfId="383" priority="1" operator="containsText" text="BLOCKED">
      <formula>NOT(ISERROR(SEARCH("BLOCKED",K268)))</formula>
    </cfRule>
    <cfRule type="containsText" dxfId="382" priority="2" stopIfTrue="1" operator="containsText" text="IN PROGRESS">
      <formula>NOT(ISERROR(SEARCH("IN PROGRESS",K268)))</formula>
    </cfRule>
    <cfRule type="containsText" dxfId="381" priority="3" stopIfTrue="1" operator="containsText" text="PASS">
      <formula>NOT(ISERROR(SEARCH("PASS",K268)))</formula>
    </cfRule>
    <cfRule type="containsText" dxfId="380" priority="4" stopIfTrue="1" operator="containsText" text="FAIL">
      <formula>NOT(ISERROR(SEARCH("FAIL",K268)))</formula>
    </cfRule>
  </conditionalFormatting>
  <dataValidations count="1">
    <dataValidation type="list" allowBlank="1" showInputMessage="1" showErrorMessage="1" sqref="L180:N266 N92:N178 K4:L90 N4:N90 K92:L178 N268:N354 K268:L354" xr:uid="{1D80F8E0-8750-46C9-A406-7943B8579658}">
      <formula1>"PASS, FAIL, IN PROGRESS, BLOCKED,"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919C-81EB-41BB-8DB6-1E6F094CBDBE}">
  <dimension ref="A1:EH317"/>
  <sheetViews>
    <sheetView tabSelected="1" workbookViewId="0">
      <pane ySplit="2" topLeftCell="G111" activePane="bottomLeft" state="frozen"/>
      <selection pane="bottomLeft" activeCell="S114" sqref="S114"/>
    </sheetView>
  </sheetViews>
  <sheetFormatPr defaultColWidth="8.85546875" defaultRowHeight="15"/>
  <cols>
    <col min="1" max="1" width="17.42578125" customWidth="1"/>
    <col min="2" max="4" width="14" customWidth="1"/>
    <col min="5" max="5" width="20.28515625" customWidth="1"/>
    <col min="6" max="6" width="17.140625" customWidth="1"/>
    <col min="7" max="7" width="38.85546875" customWidth="1"/>
    <col min="8" max="8" width="15.42578125" style="96" customWidth="1"/>
    <col min="9" max="9" width="31.85546875" customWidth="1"/>
    <col min="10" max="10" width="14" customWidth="1"/>
    <col min="11" max="11" width="31.42578125" customWidth="1"/>
    <col min="12" max="13" width="14" style="97" customWidth="1"/>
    <col min="14" max="15" width="14" style="96" customWidth="1"/>
    <col min="16" max="17" width="14" customWidth="1"/>
    <col min="18" max="18" width="14" style="96" customWidth="1"/>
  </cols>
  <sheetData>
    <row r="1" spans="1:24" ht="43.5" customHeight="1">
      <c r="A1" s="216" t="s">
        <v>29</v>
      </c>
      <c r="B1" s="216" t="s">
        <v>30</v>
      </c>
      <c r="C1" s="216" t="s">
        <v>31</v>
      </c>
      <c r="D1" s="220" t="s">
        <v>32</v>
      </c>
      <c r="E1" s="216" t="s">
        <v>33</v>
      </c>
      <c r="F1" s="216" t="s">
        <v>34</v>
      </c>
      <c r="G1" s="216" t="s">
        <v>35</v>
      </c>
      <c r="H1" s="216" t="s">
        <v>463</v>
      </c>
      <c r="I1" s="216" t="s">
        <v>36</v>
      </c>
      <c r="J1" s="216" t="s">
        <v>37</v>
      </c>
      <c r="K1" s="216" t="s">
        <v>38</v>
      </c>
      <c r="L1" s="215" t="s">
        <v>39</v>
      </c>
      <c r="M1" s="216"/>
      <c r="N1" s="216"/>
      <c r="O1" s="220" t="s">
        <v>40</v>
      </c>
      <c r="P1" s="216" t="s">
        <v>41</v>
      </c>
      <c r="Q1" s="216" t="s">
        <v>42</v>
      </c>
      <c r="R1" s="216" t="s">
        <v>43</v>
      </c>
      <c r="S1" s="5">
        <f>SUM(S3,S81,S160,S239)</f>
        <v>22</v>
      </c>
      <c r="T1" s="5">
        <f>SUM(T3,T81,T160,T239)</f>
        <v>19</v>
      </c>
      <c r="U1" s="5">
        <f>SUM(U3,U81,U160,U239)</f>
        <v>270</v>
      </c>
      <c r="V1" s="5">
        <f>SUM(V3:V239)</f>
        <v>0</v>
      </c>
      <c r="W1" s="5">
        <f>SUM(W3:W239)</f>
        <v>0</v>
      </c>
      <c r="X1" s="9"/>
    </row>
    <row r="2" spans="1:24">
      <c r="A2" s="217"/>
      <c r="B2" s="217"/>
      <c r="C2" s="217"/>
      <c r="D2" s="221"/>
      <c r="E2" s="217"/>
      <c r="F2" s="217"/>
      <c r="G2" s="217"/>
      <c r="H2" s="217"/>
      <c r="I2" s="217"/>
      <c r="J2" s="217"/>
      <c r="K2" s="217"/>
      <c r="L2" s="34" t="s">
        <v>464</v>
      </c>
      <c r="M2" s="34" t="s">
        <v>465</v>
      </c>
      <c r="N2" s="34" t="s">
        <v>466</v>
      </c>
      <c r="O2" s="221"/>
      <c r="P2" s="217"/>
      <c r="Q2" s="217"/>
      <c r="R2" s="217"/>
      <c r="X2" s="9"/>
    </row>
    <row r="3" spans="1:24">
      <c r="A3" s="214" t="s">
        <v>47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3"/>
      <c r="P3" s="214"/>
      <c r="Q3" s="214"/>
      <c r="R3" s="214"/>
      <c r="S3" s="93">
        <f>COUNTIF($O4:O80,"PASS")</f>
        <v>17</v>
      </c>
      <c r="T3" s="93">
        <f>COUNTIF($O4:O80,"FAIL")</f>
        <v>19</v>
      </c>
      <c r="U3" s="93">
        <f>COUNTBLANK(O4:O80)</f>
        <v>41</v>
      </c>
      <c r="V3" s="93">
        <f>COUNTIF($O4:O80,"IN PROGRESS")</f>
        <v>0</v>
      </c>
      <c r="W3" s="93">
        <f>COUNTIF($O4:O80,"BLOCKED")</f>
        <v>0</v>
      </c>
    </row>
    <row r="4" spans="1:24" ht="72.75">
      <c r="A4" s="23" t="s">
        <v>467</v>
      </c>
      <c r="B4" s="18"/>
      <c r="C4" s="218"/>
      <c r="D4" s="202" t="s">
        <v>468</v>
      </c>
      <c r="E4" s="202" t="s">
        <v>469</v>
      </c>
      <c r="F4" s="219" t="s">
        <v>470</v>
      </c>
      <c r="G4" s="31" t="s">
        <v>471</v>
      </c>
      <c r="H4" s="169" t="s">
        <v>472</v>
      </c>
      <c r="I4" s="14" t="s">
        <v>473</v>
      </c>
      <c r="J4" s="15"/>
      <c r="K4" s="8" t="s">
        <v>474</v>
      </c>
      <c r="L4" s="102" t="s">
        <v>475</v>
      </c>
      <c r="M4" s="102" t="s">
        <v>475</v>
      </c>
      <c r="N4" s="35" t="s">
        <v>53</v>
      </c>
      <c r="O4" s="102" t="s">
        <v>475</v>
      </c>
      <c r="P4" s="24"/>
      <c r="Q4" s="6"/>
      <c r="R4" s="64" t="s">
        <v>54</v>
      </c>
      <c r="X4" s="9"/>
    </row>
    <row r="5" spans="1:24" ht="29.25">
      <c r="A5" s="23" t="s">
        <v>476</v>
      </c>
      <c r="B5" s="45"/>
      <c r="C5" s="218"/>
      <c r="D5" s="202"/>
      <c r="E5" s="202"/>
      <c r="F5" s="219"/>
      <c r="G5" s="31" t="s">
        <v>477</v>
      </c>
      <c r="H5" s="169" t="s">
        <v>472</v>
      </c>
      <c r="I5" s="16" t="s">
        <v>478</v>
      </c>
      <c r="J5" s="15"/>
      <c r="K5" s="8" t="s">
        <v>479</v>
      </c>
      <c r="L5" s="102" t="s">
        <v>475</v>
      </c>
      <c r="M5" s="102" t="s">
        <v>475</v>
      </c>
      <c r="N5" s="35" t="s">
        <v>53</v>
      </c>
      <c r="O5" s="102" t="s">
        <v>475</v>
      </c>
      <c r="P5" s="22"/>
      <c r="Q5" s="7"/>
      <c r="R5" s="67" t="s">
        <v>54</v>
      </c>
      <c r="S5" s="5"/>
      <c r="T5" s="5"/>
      <c r="U5" s="5"/>
      <c r="V5" s="9"/>
      <c r="W5" s="9"/>
      <c r="X5" s="9"/>
    </row>
    <row r="6" spans="1:24" ht="43.5">
      <c r="A6" s="23" t="s">
        <v>480</v>
      </c>
      <c r="B6" s="45"/>
      <c r="C6" s="25"/>
      <c r="D6" s="202"/>
      <c r="E6" s="202"/>
      <c r="F6" s="27" t="s">
        <v>481</v>
      </c>
      <c r="G6" s="32" t="s">
        <v>482</v>
      </c>
      <c r="H6" s="169" t="s">
        <v>472</v>
      </c>
      <c r="I6" s="18" t="s">
        <v>483</v>
      </c>
      <c r="J6" s="29"/>
      <c r="K6" s="30" t="s">
        <v>484</v>
      </c>
      <c r="L6" s="102" t="s">
        <v>475</v>
      </c>
      <c r="M6" s="102" t="s">
        <v>475</v>
      </c>
      <c r="N6" s="35" t="s">
        <v>53</v>
      </c>
      <c r="O6" s="102" t="s">
        <v>475</v>
      </c>
      <c r="P6" s="22"/>
      <c r="Q6" s="7"/>
      <c r="R6" s="67" t="s">
        <v>54</v>
      </c>
      <c r="S6" s="5"/>
      <c r="T6" s="5"/>
      <c r="U6" s="5"/>
      <c r="V6" s="9"/>
      <c r="W6" s="9"/>
      <c r="X6" s="9"/>
    </row>
    <row r="7" spans="1:24" ht="29.25">
      <c r="A7" s="23" t="s">
        <v>485</v>
      </c>
      <c r="B7" s="45"/>
      <c r="C7" s="25"/>
      <c r="D7" s="202"/>
      <c r="E7" s="202"/>
      <c r="F7" s="27" t="s">
        <v>486</v>
      </c>
      <c r="G7" s="32" t="s">
        <v>487</v>
      </c>
      <c r="H7" s="170" t="s">
        <v>488</v>
      </c>
      <c r="I7" s="18" t="s">
        <v>489</v>
      </c>
      <c r="J7" s="29"/>
      <c r="K7" s="30" t="s">
        <v>490</v>
      </c>
      <c r="L7" s="102" t="s">
        <v>475</v>
      </c>
      <c r="M7" s="102" t="s">
        <v>475</v>
      </c>
      <c r="N7" s="35" t="s">
        <v>53</v>
      </c>
      <c r="O7" s="102" t="s">
        <v>475</v>
      </c>
      <c r="P7" s="22"/>
      <c r="Q7" s="7"/>
      <c r="R7" s="67" t="s">
        <v>54</v>
      </c>
      <c r="S7" s="5"/>
      <c r="T7" s="5"/>
      <c r="U7" s="5"/>
      <c r="V7" s="9"/>
      <c r="W7" s="9"/>
      <c r="X7" s="9"/>
    </row>
    <row r="8" spans="1:24" ht="29.25">
      <c r="A8" s="23" t="s">
        <v>491</v>
      </c>
      <c r="B8" s="45"/>
      <c r="C8" s="25"/>
      <c r="D8" s="191"/>
      <c r="E8" s="191"/>
      <c r="F8" s="28" t="s">
        <v>492</v>
      </c>
      <c r="G8" s="32" t="s">
        <v>493</v>
      </c>
      <c r="H8" s="170" t="s">
        <v>488</v>
      </c>
      <c r="I8" s="18" t="s">
        <v>494</v>
      </c>
      <c r="J8" s="33"/>
      <c r="K8" s="30" t="s">
        <v>495</v>
      </c>
      <c r="L8" s="102" t="s">
        <v>475</v>
      </c>
      <c r="M8" s="102" t="s">
        <v>475</v>
      </c>
      <c r="N8" s="65" t="s">
        <v>53</v>
      </c>
      <c r="O8" s="102" t="s">
        <v>475</v>
      </c>
      <c r="P8" s="66"/>
      <c r="Q8" s="17"/>
      <c r="R8" s="67" t="s">
        <v>54</v>
      </c>
      <c r="S8" s="5"/>
      <c r="T8" s="5"/>
      <c r="U8" s="5"/>
      <c r="V8" s="9"/>
      <c r="W8" s="9"/>
      <c r="X8" s="9"/>
    </row>
    <row r="9" spans="1:24" ht="57.75" customHeight="1">
      <c r="A9" s="23" t="s">
        <v>496</v>
      </c>
      <c r="B9" s="42"/>
      <c r="C9" s="11"/>
      <c r="D9" s="191" t="s">
        <v>169</v>
      </c>
      <c r="E9" s="202" t="s">
        <v>497</v>
      </c>
      <c r="F9" s="160"/>
      <c r="G9" s="27" t="s">
        <v>498</v>
      </c>
      <c r="H9" s="171" t="s">
        <v>472</v>
      </c>
      <c r="I9" s="43"/>
      <c r="J9" s="33"/>
      <c r="K9" s="4" t="s">
        <v>52</v>
      </c>
      <c r="L9" s="102" t="s">
        <v>499</v>
      </c>
      <c r="M9" s="102"/>
      <c r="N9" s="35" t="s">
        <v>53</v>
      </c>
      <c r="O9" s="102" t="s">
        <v>499</v>
      </c>
      <c r="P9" s="98">
        <v>38485</v>
      </c>
      <c r="Q9" s="6" t="s">
        <v>500</v>
      </c>
      <c r="R9" s="64" t="s">
        <v>501</v>
      </c>
      <c r="S9" s="5"/>
      <c r="T9" s="5"/>
      <c r="U9" s="5"/>
      <c r="V9" s="9"/>
      <c r="W9" s="9"/>
      <c r="X9" s="9"/>
    </row>
    <row r="10" spans="1:24" ht="43.5">
      <c r="A10" s="23" t="s">
        <v>502</v>
      </c>
      <c r="B10" s="42"/>
      <c r="C10" s="11"/>
      <c r="D10" s="192"/>
      <c r="E10" s="202"/>
      <c r="F10" s="172"/>
      <c r="G10" s="36" t="s">
        <v>71</v>
      </c>
      <c r="H10" s="171" t="s">
        <v>472</v>
      </c>
      <c r="I10" s="43"/>
      <c r="J10" s="33"/>
      <c r="K10" s="10" t="s">
        <v>57</v>
      </c>
      <c r="L10" s="102" t="s">
        <v>475</v>
      </c>
      <c r="M10" s="102"/>
      <c r="N10" s="35" t="s">
        <v>53</v>
      </c>
      <c r="O10" s="102"/>
      <c r="P10" s="22"/>
      <c r="Q10" s="7"/>
      <c r="R10" s="64" t="s">
        <v>501</v>
      </c>
      <c r="S10" s="5"/>
      <c r="T10" s="5"/>
      <c r="U10" s="5"/>
      <c r="V10" s="9"/>
      <c r="W10" s="9"/>
      <c r="X10" s="9"/>
    </row>
    <row r="11" spans="1:24" ht="15.75">
      <c r="A11" s="23" t="s">
        <v>503</v>
      </c>
      <c r="B11" s="42"/>
      <c r="C11" s="11"/>
      <c r="D11" s="192"/>
      <c r="E11" s="202"/>
      <c r="F11" s="173"/>
      <c r="G11" s="14" t="s">
        <v>59</v>
      </c>
      <c r="H11" s="171" t="s">
        <v>472</v>
      </c>
      <c r="I11" s="43"/>
      <c r="J11" s="33"/>
      <c r="K11" s="4" t="s">
        <v>60</v>
      </c>
      <c r="L11" s="102" t="s">
        <v>475</v>
      </c>
      <c r="M11" s="102"/>
      <c r="N11" s="35" t="s">
        <v>53</v>
      </c>
      <c r="O11" s="102"/>
      <c r="P11" s="22"/>
      <c r="Q11" s="7"/>
      <c r="R11" s="64" t="s">
        <v>501</v>
      </c>
      <c r="S11" s="5"/>
      <c r="T11" s="5"/>
      <c r="U11" s="5"/>
      <c r="V11" s="9"/>
      <c r="W11" s="9"/>
      <c r="X11" s="9"/>
    </row>
    <row r="12" spans="1:24" ht="15.75">
      <c r="A12" s="23" t="s">
        <v>504</v>
      </c>
      <c r="B12" s="42"/>
      <c r="C12" s="11"/>
      <c r="D12" s="192"/>
      <c r="E12" s="202"/>
      <c r="F12" s="160"/>
      <c r="G12" s="27" t="s">
        <v>505</v>
      </c>
      <c r="H12" s="171" t="s">
        <v>472</v>
      </c>
      <c r="I12" s="43"/>
      <c r="J12" s="33"/>
      <c r="K12" s="4" t="s">
        <v>60</v>
      </c>
      <c r="L12" s="102" t="s">
        <v>475</v>
      </c>
      <c r="M12" s="102"/>
      <c r="N12" s="35" t="s">
        <v>53</v>
      </c>
      <c r="O12" s="102"/>
      <c r="P12" s="22"/>
      <c r="Q12" s="7"/>
      <c r="R12" s="64" t="s">
        <v>501</v>
      </c>
      <c r="S12" s="5"/>
      <c r="T12" s="5"/>
      <c r="U12" s="5"/>
      <c r="V12" s="9"/>
      <c r="W12" s="9"/>
      <c r="X12" s="9"/>
    </row>
    <row r="13" spans="1:24" ht="15.75">
      <c r="A13" s="23" t="s">
        <v>506</v>
      </c>
      <c r="B13" s="42"/>
      <c r="C13" s="11"/>
      <c r="D13" s="192"/>
      <c r="E13" s="202"/>
      <c r="F13" s="160"/>
      <c r="G13" s="36" t="s">
        <v>507</v>
      </c>
      <c r="H13" s="157" t="s">
        <v>508</v>
      </c>
      <c r="I13" s="43"/>
      <c r="J13" s="33"/>
      <c r="K13" s="8" t="s">
        <v>65</v>
      </c>
      <c r="L13" s="102"/>
      <c r="M13" s="102"/>
      <c r="N13" s="35" t="s">
        <v>53</v>
      </c>
      <c r="O13" s="102"/>
      <c r="P13" s="22"/>
      <c r="Q13" s="7"/>
      <c r="R13" s="64" t="s">
        <v>501</v>
      </c>
      <c r="S13" s="5"/>
      <c r="T13" s="5"/>
      <c r="U13" s="5"/>
      <c r="V13" s="9"/>
      <c r="W13" s="9"/>
      <c r="X13" s="9"/>
    </row>
    <row r="14" spans="1:24" ht="29.25">
      <c r="A14" s="23" t="s">
        <v>509</v>
      </c>
      <c r="B14" s="42"/>
      <c r="C14" s="11"/>
      <c r="D14" s="192"/>
      <c r="E14" s="202"/>
      <c r="F14" s="160"/>
      <c r="G14" s="36" t="s">
        <v>510</v>
      </c>
      <c r="H14" s="157" t="s">
        <v>508</v>
      </c>
      <c r="I14" s="43"/>
      <c r="J14" s="33"/>
      <c r="K14" s="8" t="s">
        <v>68</v>
      </c>
      <c r="L14" s="102"/>
      <c r="M14" s="102"/>
      <c r="N14" s="35" t="s">
        <v>53</v>
      </c>
      <c r="O14" s="102"/>
      <c r="P14" s="22"/>
      <c r="Q14" s="7"/>
      <c r="R14" s="64" t="s">
        <v>501</v>
      </c>
      <c r="S14" s="5"/>
      <c r="T14" s="5"/>
      <c r="U14" s="5"/>
      <c r="V14" s="9"/>
      <c r="W14" s="9"/>
      <c r="X14" s="9"/>
    </row>
    <row r="15" spans="1:24" ht="43.5">
      <c r="A15" s="23" t="s">
        <v>511</v>
      </c>
      <c r="B15" s="38"/>
      <c r="C15" s="37"/>
      <c r="D15" s="192"/>
      <c r="E15" s="202" t="s">
        <v>512</v>
      </c>
      <c r="F15" s="28"/>
      <c r="G15" s="41" t="s">
        <v>71</v>
      </c>
      <c r="H15" s="158" t="s">
        <v>488</v>
      </c>
      <c r="I15" s="33"/>
      <c r="J15" s="33"/>
      <c r="K15" s="10" t="s">
        <v>57</v>
      </c>
      <c r="L15" s="102"/>
      <c r="M15" s="102"/>
      <c r="N15" s="35" t="s">
        <v>53</v>
      </c>
      <c r="O15" s="102"/>
      <c r="P15" s="22"/>
      <c r="Q15" s="7"/>
      <c r="R15" s="64" t="s">
        <v>501</v>
      </c>
      <c r="S15" s="5"/>
      <c r="T15" s="5"/>
      <c r="U15" s="5"/>
      <c r="V15" s="9"/>
      <c r="W15" s="9"/>
      <c r="X15" s="9"/>
    </row>
    <row r="16" spans="1:24" ht="30" customHeight="1">
      <c r="A16" s="23" t="s">
        <v>513</v>
      </c>
      <c r="B16" s="38"/>
      <c r="C16" s="37"/>
      <c r="D16" s="192"/>
      <c r="E16" s="202"/>
      <c r="F16" s="28"/>
      <c r="G16" s="27" t="s">
        <v>498</v>
      </c>
      <c r="H16" s="169" t="s">
        <v>472</v>
      </c>
      <c r="I16" s="33"/>
      <c r="J16" s="33"/>
      <c r="K16" s="4" t="s">
        <v>52</v>
      </c>
      <c r="L16" s="102" t="s">
        <v>499</v>
      </c>
      <c r="M16" s="102"/>
      <c r="N16" s="35" t="s">
        <v>53</v>
      </c>
      <c r="O16" s="102" t="s">
        <v>499</v>
      </c>
      <c r="P16" s="98">
        <v>38485</v>
      </c>
      <c r="Q16" s="99" t="s">
        <v>500</v>
      </c>
      <c r="R16" s="64" t="s">
        <v>501</v>
      </c>
      <c r="S16" s="5"/>
      <c r="T16" s="5"/>
      <c r="U16" s="5"/>
      <c r="V16" s="9"/>
      <c r="W16" s="9"/>
      <c r="X16" s="9"/>
    </row>
    <row r="17" spans="1:24" ht="15.75">
      <c r="A17" s="23" t="s">
        <v>514</v>
      </c>
      <c r="B17" s="38"/>
      <c r="C17" s="12"/>
      <c r="D17" s="192"/>
      <c r="E17" s="202"/>
      <c r="F17" s="28"/>
      <c r="G17" t="s">
        <v>507</v>
      </c>
      <c r="H17" s="157" t="s">
        <v>508</v>
      </c>
      <c r="I17" s="33"/>
      <c r="J17" s="33"/>
      <c r="K17" s="8" t="s">
        <v>65</v>
      </c>
      <c r="L17" s="102"/>
      <c r="M17" s="102"/>
      <c r="N17" s="35" t="s">
        <v>53</v>
      </c>
      <c r="O17" s="102"/>
      <c r="P17" s="22"/>
      <c r="Q17" s="7"/>
      <c r="R17" s="64" t="s">
        <v>501</v>
      </c>
      <c r="S17" s="5"/>
      <c r="T17" s="5"/>
      <c r="U17" s="5"/>
      <c r="V17" s="9"/>
      <c r="W17" s="9"/>
      <c r="X17" s="9"/>
    </row>
    <row r="18" spans="1:24" ht="15.75">
      <c r="A18" s="23" t="s">
        <v>515</v>
      </c>
      <c r="B18" s="38"/>
      <c r="C18" s="12"/>
      <c r="D18" s="192"/>
      <c r="E18" s="202"/>
      <c r="F18" s="28"/>
      <c r="G18" s="18" t="s">
        <v>516</v>
      </c>
      <c r="H18" s="159" t="s">
        <v>488</v>
      </c>
      <c r="I18" s="33"/>
      <c r="J18" s="33"/>
      <c r="K18" s="8" t="s">
        <v>78</v>
      </c>
      <c r="L18" s="102"/>
      <c r="M18" s="102"/>
      <c r="N18" s="35" t="s">
        <v>53</v>
      </c>
      <c r="O18" s="102"/>
      <c r="P18" s="22"/>
      <c r="Q18" s="7"/>
      <c r="R18" s="64" t="s">
        <v>501</v>
      </c>
      <c r="S18" s="5"/>
      <c r="T18" s="5"/>
      <c r="U18" s="5"/>
      <c r="V18" s="9"/>
      <c r="W18" s="9"/>
      <c r="X18" s="9"/>
    </row>
    <row r="19" spans="1:24" ht="30" customHeight="1">
      <c r="A19" s="23" t="s">
        <v>517</v>
      </c>
      <c r="B19" s="38"/>
      <c r="C19" s="12"/>
      <c r="D19" s="192"/>
      <c r="E19" s="191"/>
      <c r="F19" s="28"/>
      <c r="G19" s="46" t="s">
        <v>510</v>
      </c>
      <c r="H19" s="157" t="s">
        <v>508</v>
      </c>
      <c r="I19" s="15"/>
      <c r="J19" s="43"/>
      <c r="K19" s="8" t="s">
        <v>68</v>
      </c>
      <c r="L19" s="102"/>
      <c r="M19" s="102"/>
      <c r="N19" s="35" t="s">
        <v>53</v>
      </c>
      <c r="O19" s="102"/>
      <c r="P19" s="22"/>
      <c r="Q19" s="7"/>
      <c r="R19" s="64" t="s">
        <v>501</v>
      </c>
      <c r="S19" s="5"/>
      <c r="T19" s="5"/>
      <c r="U19" s="5"/>
      <c r="V19" s="9"/>
      <c r="W19" s="9"/>
      <c r="X19" s="9"/>
    </row>
    <row r="20" spans="1:24" ht="43.5">
      <c r="A20" s="23" t="s">
        <v>518</v>
      </c>
      <c r="B20" s="38"/>
      <c r="C20" s="12"/>
      <c r="D20" s="192"/>
      <c r="E20" s="202" t="s">
        <v>519</v>
      </c>
      <c r="F20" s="39"/>
      <c r="G20" s="47" t="s">
        <v>71</v>
      </c>
      <c r="H20" s="158" t="s">
        <v>488</v>
      </c>
      <c r="I20" s="15"/>
      <c r="J20" s="43"/>
      <c r="K20" s="10" t="s">
        <v>57</v>
      </c>
      <c r="L20" s="102"/>
      <c r="M20" s="102"/>
      <c r="N20" s="35" t="s">
        <v>53</v>
      </c>
      <c r="O20" s="102"/>
      <c r="P20" s="22"/>
      <c r="Q20" s="7"/>
      <c r="R20" s="64" t="s">
        <v>501</v>
      </c>
      <c r="S20" s="5"/>
      <c r="T20" s="5"/>
      <c r="U20" s="5"/>
      <c r="V20" s="9"/>
      <c r="W20" s="9"/>
      <c r="X20" s="9"/>
    </row>
    <row r="21" spans="1:24" ht="30" customHeight="1">
      <c r="A21" s="23" t="s">
        <v>520</v>
      </c>
      <c r="B21" s="38"/>
      <c r="C21" s="12"/>
      <c r="D21" s="192"/>
      <c r="E21" s="202"/>
      <c r="F21" s="39"/>
      <c r="G21" s="27" t="s">
        <v>498</v>
      </c>
      <c r="H21" s="169" t="s">
        <v>472</v>
      </c>
      <c r="I21" s="33"/>
      <c r="J21" s="33"/>
      <c r="K21" s="4" t="s">
        <v>52</v>
      </c>
      <c r="L21" s="102"/>
      <c r="M21" s="102"/>
      <c r="N21" s="35" t="s">
        <v>53</v>
      </c>
      <c r="O21" s="102"/>
      <c r="P21" s="22"/>
      <c r="Q21" s="7"/>
      <c r="R21" s="64" t="s">
        <v>501</v>
      </c>
      <c r="S21" s="5"/>
      <c r="T21" s="5"/>
      <c r="U21" s="5"/>
      <c r="V21" s="9"/>
      <c r="W21" s="9"/>
      <c r="X21" s="9"/>
    </row>
    <row r="22" spans="1:24" ht="15.75">
      <c r="A22" s="23" t="s">
        <v>521</v>
      </c>
      <c r="B22" s="38"/>
      <c r="C22" s="12"/>
      <c r="D22" s="192"/>
      <c r="E22" s="202"/>
      <c r="F22" s="39"/>
      <c r="G22" s="21" t="s">
        <v>522</v>
      </c>
      <c r="H22" s="157" t="s">
        <v>508</v>
      </c>
      <c r="I22" s="33"/>
      <c r="J22" s="43"/>
      <c r="K22" s="8" t="s">
        <v>65</v>
      </c>
      <c r="L22" s="102"/>
      <c r="M22" s="102"/>
      <c r="N22" s="35" t="s">
        <v>53</v>
      </c>
      <c r="O22" s="102"/>
      <c r="P22" s="22"/>
      <c r="Q22" s="7"/>
      <c r="R22" s="64" t="s">
        <v>501</v>
      </c>
      <c r="S22" s="5"/>
      <c r="T22" s="5"/>
      <c r="U22" s="5"/>
      <c r="V22" s="9"/>
      <c r="W22" s="9"/>
      <c r="X22" s="9"/>
    </row>
    <row r="23" spans="1:24" ht="15.75">
      <c r="A23" s="23" t="s">
        <v>523</v>
      </c>
      <c r="B23" s="38"/>
      <c r="C23" s="12"/>
      <c r="D23" s="192"/>
      <c r="E23" s="202"/>
      <c r="F23" s="39"/>
      <c r="G23" s="45" t="s">
        <v>516</v>
      </c>
      <c r="H23" s="159" t="s">
        <v>488</v>
      </c>
      <c r="I23" s="33"/>
      <c r="J23" s="33"/>
      <c r="K23" s="8" t="s">
        <v>78</v>
      </c>
      <c r="L23" s="102"/>
      <c r="M23" s="102"/>
      <c r="N23" s="35" t="s">
        <v>53</v>
      </c>
      <c r="O23" s="102"/>
      <c r="P23" s="22"/>
      <c r="Q23" s="7"/>
      <c r="R23" s="64" t="s">
        <v>501</v>
      </c>
      <c r="S23" s="5"/>
      <c r="T23" s="5"/>
      <c r="U23" s="5"/>
      <c r="V23" s="9"/>
      <c r="W23" s="9"/>
      <c r="X23" s="9"/>
    </row>
    <row r="24" spans="1:24" ht="30" customHeight="1">
      <c r="A24" s="23" t="s">
        <v>524</v>
      </c>
      <c r="B24" s="38"/>
      <c r="C24" s="12"/>
      <c r="D24" s="192"/>
      <c r="E24" s="202"/>
      <c r="F24" s="39"/>
      <c r="G24" s="18" t="s">
        <v>510</v>
      </c>
      <c r="H24" s="157" t="s">
        <v>508</v>
      </c>
      <c r="I24" s="33"/>
      <c r="J24" s="33"/>
      <c r="K24" s="30" t="s">
        <v>68</v>
      </c>
      <c r="L24" s="102" t="s">
        <v>499</v>
      </c>
      <c r="M24" s="102"/>
      <c r="N24" s="35" t="s">
        <v>53</v>
      </c>
      <c r="O24" s="102" t="s">
        <v>499</v>
      </c>
      <c r="P24" s="98">
        <v>38484</v>
      </c>
      <c r="Q24" s="115" t="s">
        <v>525</v>
      </c>
      <c r="R24" s="64" t="s">
        <v>501</v>
      </c>
      <c r="S24" s="5"/>
      <c r="T24" s="5"/>
      <c r="U24" s="5"/>
      <c r="V24" s="9"/>
      <c r="W24" s="9"/>
      <c r="X24" s="9"/>
    </row>
    <row r="25" spans="1:24" ht="29.25">
      <c r="A25" s="23" t="s">
        <v>526</v>
      </c>
      <c r="B25" s="38"/>
      <c r="C25" s="25"/>
      <c r="D25" s="192"/>
      <c r="E25" s="191" t="s">
        <v>527</v>
      </c>
      <c r="F25" s="83"/>
      <c r="G25" s="39" t="s">
        <v>528</v>
      </c>
      <c r="H25" s="169" t="s">
        <v>472</v>
      </c>
      <c r="I25" s="33"/>
      <c r="J25" s="33"/>
      <c r="K25" s="68" t="s">
        <v>52</v>
      </c>
      <c r="L25" s="102" t="s">
        <v>475</v>
      </c>
      <c r="M25" s="102" t="s">
        <v>475</v>
      </c>
      <c r="N25" s="35" t="s">
        <v>53</v>
      </c>
      <c r="O25" s="102" t="s">
        <v>475</v>
      </c>
      <c r="P25" s="22"/>
      <c r="Q25" s="7"/>
      <c r="R25" s="64" t="s">
        <v>501</v>
      </c>
      <c r="S25" s="5"/>
      <c r="T25" s="5"/>
      <c r="U25" s="5"/>
      <c r="V25" s="9"/>
      <c r="W25" s="9"/>
      <c r="X25" s="9"/>
    </row>
    <row r="26" spans="1:24" ht="30" customHeight="1">
      <c r="A26" s="23" t="s">
        <v>529</v>
      </c>
      <c r="B26" s="38"/>
      <c r="C26" s="25"/>
      <c r="D26" s="192"/>
      <c r="E26" s="192"/>
      <c r="F26" s="83"/>
      <c r="G26" s="39" t="s">
        <v>113</v>
      </c>
      <c r="H26" s="169" t="s">
        <v>472</v>
      </c>
      <c r="I26" s="33"/>
      <c r="J26" s="33"/>
      <c r="K26" s="4" t="s">
        <v>52</v>
      </c>
      <c r="L26" s="102" t="s">
        <v>475</v>
      </c>
      <c r="M26" s="102" t="s">
        <v>475</v>
      </c>
      <c r="N26" s="35" t="s">
        <v>53</v>
      </c>
      <c r="O26" s="102" t="s">
        <v>475</v>
      </c>
      <c r="P26" s="22"/>
      <c r="Q26" s="7"/>
      <c r="R26" s="64" t="s">
        <v>501</v>
      </c>
      <c r="S26" s="5"/>
      <c r="T26" s="5"/>
      <c r="U26" s="5"/>
      <c r="V26" s="9"/>
      <c r="W26" s="9"/>
      <c r="X26" s="9"/>
    </row>
    <row r="27" spans="1:24" ht="15.75">
      <c r="A27" s="23" t="s">
        <v>530</v>
      </c>
      <c r="B27" s="38"/>
      <c r="C27" s="25"/>
      <c r="D27" s="192"/>
      <c r="E27" s="192"/>
      <c r="F27" s="84"/>
      <c r="G27" s="20" t="s">
        <v>59</v>
      </c>
      <c r="H27" s="169" t="s">
        <v>472</v>
      </c>
      <c r="I27" s="33"/>
      <c r="J27" s="33"/>
      <c r="K27" s="4" t="s">
        <v>60</v>
      </c>
      <c r="L27" s="102" t="s">
        <v>475</v>
      </c>
      <c r="M27" s="102" t="s">
        <v>475</v>
      </c>
      <c r="N27" s="35" t="s">
        <v>53</v>
      </c>
      <c r="O27" s="102" t="s">
        <v>475</v>
      </c>
      <c r="P27" s="22"/>
      <c r="Q27" s="7"/>
      <c r="R27" s="64" t="s">
        <v>501</v>
      </c>
      <c r="S27" s="5"/>
      <c r="T27" s="5"/>
      <c r="U27" s="5"/>
      <c r="V27" s="9"/>
      <c r="W27" s="9"/>
      <c r="X27" s="9"/>
    </row>
    <row r="28" spans="1:24" ht="15.75">
      <c r="A28" s="23" t="s">
        <v>531</v>
      </c>
      <c r="B28" s="38"/>
      <c r="C28" s="25"/>
      <c r="D28" s="192"/>
      <c r="E28" s="192"/>
      <c r="F28" s="83"/>
      <c r="G28" s="39" t="s">
        <v>505</v>
      </c>
      <c r="H28" s="169" t="s">
        <v>472</v>
      </c>
      <c r="I28" s="33"/>
      <c r="J28" s="33"/>
      <c r="K28" s="4" t="s">
        <v>60</v>
      </c>
      <c r="L28" s="102" t="s">
        <v>475</v>
      </c>
      <c r="M28" s="102" t="s">
        <v>475</v>
      </c>
      <c r="N28" s="35" t="s">
        <v>53</v>
      </c>
      <c r="O28" s="102" t="s">
        <v>475</v>
      </c>
      <c r="P28" s="22"/>
      <c r="Q28" s="7"/>
      <c r="R28" s="64" t="s">
        <v>501</v>
      </c>
      <c r="S28" s="5"/>
      <c r="T28" s="5"/>
      <c r="U28" s="5"/>
      <c r="V28" s="9"/>
      <c r="W28" s="9"/>
      <c r="X28" s="9"/>
    </row>
    <row r="29" spans="1:24" ht="15.75">
      <c r="A29" s="23" t="s">
        <v>532</v>
      </c>
      <c r="B29" s="38"/>
      <c r="C29" s="25"/>
      <c r="D29" s="192"/>
      <c r="E29" s="192"/>
      <c r="F29" s="83"/>
      <c r="G29" s="39" t="s">
        <v>533</v>
      </c>
      <c r="H29" s="159" t="s">
        <v>488</v>
      </c>
      <c r="I29" s="33"/>
      <c r="J29" s="33"/>
      <c r="K29" s="8" t="s">
        <v>152</v>
      </c>
      <c r="L29" s="102" t="s">
        <v>499</v>
      </c>
      <c r="M29" s="102" t="s">
        <v>499</v>
      </c>
      <c r="N29" s="35" t="s">
        <v>53</v>
      </c>
      <c r="O29" s="102" t="s">
        <v>499</v>
      </c>
      <c r="P29" s="98" t="s">
        <v>534</v>
      </c>
      <c r="Q29" s="94"/>
      <c r="R29" s="64" t="s">
        <v>501</v>
      </c>
      <c r="S29" s="5"/>
      <c r="T29" s="5"/>
      <c r="U29" s="5"/>
      <c r="V29" s="9"/>
      <c r="W29" s="9"/>
      <c r="X29" s="9"/>
    </row>
    <row r="30" spans="1:24" ht="15.75">
      <c r="A30" s="23" t="s">
        <v>535</v>
      </c>
      <c r="B30" s="38"/>
      <c r="C30" s="25"/>
      <c r="D30" s="192"/>
      <c r="E30" s="193"/>
      <c r="F30" s="39"/>
      <c r="G30" s="39" t="s">
        <v>536</v>
      </c>
      <c r="H30" s="159" t="s">
        <v>488</v>
      </c>
      <c r="I30" s="33"/>
      <c r="J30" s="33"/>
      <c r="K30" s="8" t="s">
        <v>537</v>
      </c>
      <c r="L30" s="102" t="s">
        <v>499</v>
      </c>
      <c r="M30" s="102" t="s">
        <v>499</v>
      </c>
      <c r="N30" s="35" t="s">
        <v>53</v>
      </c>
      <c r="O30" s="102" t="s">
        <v>499</v>
      </c>
      <c r="P30" s="98" t="s">
        <v>534</v>
      </c>
      <c r="Q30" s="94"/>
      <c r="R30" s="64" t="s">
        <v>501</v>
      </c>
      <c r="S30" s="5"/>
      <c r="T30" s="5"/>
      <c r="U30" s="5"/>
      <c r="V30" s="9"/>
      <c r="W30" s="9"/>
      <c r="X30" s="9"/>
    </row>
    <row r="31" spans="1:24" ht="15.75">
      <c r="A31" s="23" t="s">
        <v>538</v>
      </c>
      <c r="B31" s="38"/>
      <c r="C31" s="25"/>
      <c r="D31" s="192"/>
      <c r="E31" s="192" t="s">
        <v>539</v>
      </c>
      <c r="F31" s="39"/>
      <c r="G31" s="160" t="s">
        <v>533</v>
      </c>
      <c r="H31" s="157" t="s">
        <v>488</v>
      </c>
      <c r="I31" s="43"/>
      <c r="J31" s="33"/>
      <c r="K31" s="8" t="s">
        <v>152</v>
      </c>
      <c r="L31" s="102" t="s">
        <v>475</v>
      </c>
      <c r="M31" s="102" t="s">
        <v>475</v>
      </c>
      <c r="N31" s="35" t="s">
        <v>53</v>
      </c>
      <c r="O31" s="102" t="s">
        <v>475</v>
      </c>
      <c r="P31" s="22"/>
      <c r="Q31" s="7"/>
      <c r="R31" s="64" t="s">
        <v>501</v>
      </c>
      <c r="S31" s="5"/>
      <c r="T31" s="5"/>
      <c r="U31" s="5"/>
      <c r="V31" s="9"/>
      <c r="W31" s="9"/>
      <c r="X31" s="9"/>
    </row>
    <row r="32" spans="1:24" ht="15.75">
      <c r="A32" s="23" t="s">
        <v>540</v>
      </c>
      <c r="B32" s="38"/>
      <c r="C32" s="25"/>
      <c r="D32" s="193"/>
      <c r="E32" s="193"/>
      <c r="F32" s="39"/>
      <c r="G32" s="160" t="s">
        <v>536</v>
      </c>
      <c r="H32" s="157" t="s">
        <v>488</v>
      </c>
      <c r="I32" s="43"/>
      <c r="J32" s="33"/>
      <c r="K32" s="8" t="s">
        <v>537</v>
      </c>
      <c r="L32" s="102" t="s">
        <v>499</v>
      </c>
      <c r="M32" s="102" t="s">
        <v>499</v>
      </c>
      <c r="N32" s="35" t="s">
        <v>53</v>
      </c>
      <c r="O32" s="102" t="s">
        <v>499</v>
      </c>
      <c r="P32" s="22"/>
      <c r="Q32" s="7" t="s">
        <v>541</v>
      </c>
      <c r="R32" s="64" t="s">
        <v>501</v>
      </c>
      <c r="S32" s="5"/>
      <c r="T32" s="5"/>
      <c r="U32" s="5"/>
      <c r="V32" s="9"/>
      <c r="W32" s="9"/>
      <c r="X32" s="9"/>
    </row>
    <row r="33" spans="1:24" ht="43.5">
      <c r="A33" s="23" t="s">
        <v>542</v>
      </c>
      <c r="B33" s="38"/>
      <c r="C33" s="25"/>
      <c r="D33" s="191" t="s">
        <v>543</v>
      </c>
      <c r="E33" s="202" t="s">
        <v>544</v>
      </c>
      <c r="F33" s="27"/>
      <c r="G33" s="47" t="s">
        <v>71</v>
      </c>
      <c r="H33" s="157" t="s">
        <v>488</v>
      </c>
      <c r="I33" s="43"/>
      <c r="J33" s="33"/>
      <c r="K33" s="10" t="s">
        <v>57</v>
      </c>
      <c r="L33" s="102"/>
      <c r="M33" s="102"/>
      <c r="N33" s="35" t="s">
        <v>53</v>
      </c>
      <c r="O33" s="102"/>
      <c r="P33" s="22"/>
      <c r="Q33" s="7"/>
      <c r="R33" s="64" t="s">
        <v>501</v>
      </c>
      <c r="S33" s="5"/>
      <c r="T33" s="5"/>
      <c r="U33" s="5"/>
      <c r="V33" s="9"/>
      <c r="W33" s="9"/>
      <c r="X33" s="9"/>
    </row>
    <row r="34" spans="1:24" ht="29.25">
      <c r="A34" s="23" t="s">
        <v>545</v>
      </c>
      <c r="B34" s="38"/>
      <c r="C34" s="25"/>
      <c r="D34" s="192"/>
      <c r="E34" s="202"/>
      <c r="F34" s="27"/>
      <c r="G34" s="112" t="s">
        <v>113</v>
      </c>
      <c r="H34" s="171" t="s">
        <v>472</v>
      </c>
      <c r="I34" s="43"/>
      <c r="J34" s="33"/>
      <c r="K34" s="4" t="s">
        <v>52</v>
      </c>
      <c r="L34" s="102" t="s">
        <v>475</v>
      </c>
      <c r="M34" s="102" t="s">
        <v>475</v>
      </c>
      <c r="N34" s="35" t="s">
        <v>53</v>
      </c>
      <c r="O34" s="102" t="s">
        <v>475</v>
      </c>
      <c r="P34" s="22"/>
      <c r="Q34" s="7"/>
      <c r="R34" s="64" t="s">
        <v>501</v>
      </c>
      <c r="S34" s="5"/>
      <c r="T34" s="5"/>
      <c r="U34" s="5"/>
      <c r="V34" s="9"/>
      <c r="W34" s="9"/>
      <c r="X34" s="9"/>
    </row>
    <row r="35" spans="1:24" ht="15.75">
      <c r="A35" s="23" t="s">
        <v>546</v>
      </c>
      <c r="B35" s="38"/>
      <c r="C35" s="25"/>
      <c r="D35" s="192"/>
      <c r="E35" s="202"/>
      <c r="F35" s="27"/>
      <c r="G35" s="161" t="s">
        <v>547</v>
      </c>
      <c r="H35" s="157" t="s">
        <v>488</v>
      </c>
      <c r="I35" s="85"/>
      <c r="J35" s="33"/>
      <c r="K35" s="8" t="s">
        <v>116</v>
      </c>
      <c r="L35" s="102"/>
      <c r="M35" s="102"/>
      <c r="N35" s="35" t="s">
        <v>53</v>
      </c>
      <c r="O35" s="102"/>
      <c r="P35" s="22"/>
      <c r="Q35" s="7"/>
      <c r="R35" s="64" t="s">
        <v>501</v>
      </c>
      <c r="S35" s="5"/>
      <c r="T35" s="5"/>
      <c r="U35" s="5"/>
      <c r="V35" s="9"/>
      <c r="W35" s="9"/>
      <c r="X35" s="9"/>
    </row>
    <row r="36" spans="1:24" ht="43.5">
      <c r="A36" s="23" t="s">
        <v>548</v>
      </c>
      <c r="B36" s="38"/>
      <c r="C36" s="25"/>
      <c r="D36" s="192"/>
      <c r="E36" s="202" t="s">
        <v>549</v>
      </c>
      <c r="F36" s="27"/>
      <c r="G36" s="47" t="s">
        <v>71</v>
      </c>
      <c r="H36" s="157" t="s">
        <v>488</v>
      </c>
      <c r="I36" s="86"/>
      <c r="J36" s="33"/>
      <c r="K36" s="10" t="s">
        <v>57</v>
      </c>
      <c r="L36" s="102"/>
      <c r="M36" s="102"/>
      <c r="N36" s="35" t="s">
        <v>53</v>
      </c>
      <c r="O36" s="102"/>
      <c r="P36" s="22"/>
      <c r="Q36" s="7"/>
      <c r="R36" s="64"/>
      <c r="S36" s="5"/>
      <c r="T36" s="5"/>
      <c r="U36" s="5"/>
      <c r="V36" s="9"/>
      <c r="W36" s="9"/>
      <c r="X36" s="9"/>
    </row>
    <row r="37" spans="1:24" ht="29.25">
      <c r="A37" s="23" t="s">
        <v>550</v>
      </c>
      <c r="B37" s="38"/>
      <c r="C37" s="25"/>
      <c r="D37" s="192"/>
      <c r="E37" s="202"/>
      <c r="F37" s="27"/>
      <c r="G37" s="112" t="s">
        <v>113</v>
      </c>
      <c r="H37" s="171" t="s">
        <v>472</v>
      </c>
      <c r="I37" s="86"/>
      <c r="J37" s="33"/>
      <c r="K37" s="4" t="s">
        <v>52</v>
      </c>
      <c r="L37" s="102"/>
      <c r="M37" s="102"/>
      <c r="N37" s="35" t="s">
        <v>53</v>
      </c>
      <c r="O37" s="102"/>
      <c r="P37" s="22"/>
      <c r="Q37" s="7"/>
      <c r="R37" s="64"/>
      <c r="S37" s="5"/>
      <c r="T37" s="5"/>
      <c r="U37" s="5"/>
      <c r="V37" s="9"/>
      <c r="W37" s="9"/>
      <c r="X37" s="9"/>
    </row>
    <row r="38" spans="1:24" ht="15.75">
      <c r="A38" s="23" t="s">
        <v>551</v>
      </c>
      <c r="B38" s="38"/>
      <c r="C38" s="25"/>
      <c r="D38" s="192"/>
      <c r="E38" s="202"/>
      <c r="F38" s="27"/>
      <c r="G38" s="161" t="s">
        <v>547</v>
      </c>
      <c r="H38" s="157" t="s">
        <v>488</v>
      </c>
      <c r="I38" s="86"/>
      <c r="J38" s="33"/>
      <c r="K38" s="8" t="s">
        <v>116</v>
      </c>
      <c r="L38" s="102"/>
      <c r="M38" s="102"/>
      <c r="N38" s="35" t="s">
        <v>53</v>
      </c>
      <c r="O38" s="102"/>
      <c r="P38" s="22"/>
      <c r="Q38" s="7"/>
      <c r="R38" s="64"/>
      <c r="S38" s="5"/>
      <c r="T38" s="5"/>
      <c r="U38" s="5"/>
      <c r="V38" s="9"/>
      <c r="W38" s="9"/>
      <c r="X38" s="9"/>
    </row>
    <row r="39" spans="1:24" ht="43.5">
      <c r="A39" s="23" t="s">
        <v>552</v>
      </c>
      <c r="B39" s="38"/>
      <c r="C39" s="25"/>
      <c r="D39" s="192"/>
      <c r="E39" s="202" t="s">
        <v>553</v>
      </c>
      <c r="F39" s="27"/>
      <c r="G39" s="47" t="s">
        <v>71</v>
      </c>
      <c r="H39" s="157" t="s">
        <v>488</v>
      </c>
      <c r="I39" s="86"/>
      <c r="J39" s="33"/>
      <c r="K39" s="10" t="s">
        <v>57</v>
      </c>
      <c r="L39" s="102"/>
      <c r="M39" s="102"/>
      <c r="N39" s="35" t="s">
        <v>53</v>
      </c>
      <c r="O39" s="102"/>
      <c r="P39" s="22"/>
      <c r="Q39" s="7"/>
      <c r="R39" s="64"/>
      <c r="S39" s="5"/>
      <c r="T39" s="5"/>
      <c r="U39" s="5"/>
      <c r="V39" s="9"/>
      <c r="W39" s="9"/>
      <c r="X39" s="9"/>
    </row>
    <row r="40" spans="1:24" ht="29.25">
      <c r="A40" s="23" t="s">
        <v>554</v>
      </c>
      <c r="B40" s="38"/>
      <c r="C40" s="25"/>
      <c r="D40" s="192"/>
      <c r="E40" s="202"/>
      <c r="F40" s="27"/>
      <c r="G40" s="112" t="s">
        <v>113</v>
      </c>
      <c r="H40" s="171" t="s">
        <v>472</v>
      </c>
      <c r="I40" s="86"/>
      <c r="J40" s="33"/>
      <c r="K40" s="4" t="s">
        <v>52</v>
      </c>
      <c r="L40" s="102"/>
      <c r="M40" s="102"/>
      <c r="N40" s="35" t="s">
        <v>53</v>
      </c>
      <c r="O40" s="102"/>
      <c r="P40" s="22"/>
      <c r="Q40" s="7"/>
      <c r="R40" s="64"/>
      <c r="S40" s="5"/>
      <c r="T40" s="5"/>
      <c r="U40" s="5"/>
      <c r="V40" s="9"/>
      <c r="W40" s="9"/>
      <c r="X40" s="9"/>
    </row>
    <row r="41" spans="1:24" ht="15.75">
      <c r="A41" s="23" t="s">
        <v>555</v>
      </c>
      <c r="B41" s="38"/>
      <c r="C41" s="25"/>
      <c r="D41" s="192"/>
      <c r="E41" s="202"/>
      <c r="F41" s="27"/>
      <c r="G41" s="161" t="s">
        <v>547</v>
      </c>
      <c r="H41" s="157" t="s">
        <v>488</v>
      </c>
      <c r="I41" s="86"/>
      <c r="J41" s="33"/>
      <c r="K41" s="30" t="s">
        <v>116</v>
      </c>
      <c r="L41" s="102"/>
      <c r="M41" s="102"/>
      <c r="N41" s="35" t="s">
        <v>53</v>
      </c>
      <c r="O41" s="102"/>
      <c r="P41" s="22"/>
      <c r="Q41" s="7"/>
      <c r="R41" s="64"/>
      <c r="S41" s="5"/>
      <c r="T41" s="5"/>
      <c r="U41" s="5"/>
      <c r="V41" s="9"/>
      <c r="W41" s="9"/>
      <c r="X41" s="9"/>
    </row>
    <row r="42" spans="1:24" ht="15.75">
      <c r="A42" s="23" t="s">
        <v>556</v>
      </c>
      <c r="B42" s="38"/>
      <c r="C42" s="25"/>
      <c r="D42" s="192"/>
      <c r="E42" s="191" t="s">
        <v>557</v>
      </c>
      <c r="F42" s="27"/>
      <c r="G42" s="47" t="s">
        <v>71</v>
      </c>
      <c r="H42" s="157" t="s">
        <v>488</v>
      </c>
      <c r="I42" s="86"/>
      <c r="J42" s="33"/>
      <c r="K42" s="8" t="s">
        <v>150</v>
      </c>
      <c r="L42" s="102"/>
      <c r="M42" s="102"/>
      <c r="N42" s="35" t="s">
        <v>53</v>
      </c>
      <c r="O42" s="102"/>
      <c r="P42" s="22"/>
      <c r="Q42" s="7"/>
      <c r="R42" s="64"/>
      <c r="S42" s="5"/>
      <c r="T42" s="5"/>
      <c r="U42" s="5"/>
      <c r="V42" s="9"/>
      <c r="W42" s="9"/>
      <c r="X42" s="9"/>
    </row>
    <row r="43" spans="1:24" ht="29.25">
      <c r="A43" s="23" t="s">
        <v>558</v>
      </c>
      <c r="B43" s="38"/>
      <c r="C43" s="25"/>
      <c r="D43" s="192"/>
      <c r="E43" s="192"/>
      <c r="F43" s="27"/>
      <c r="G43" s="112" t="s">
        <v>113</v>
      </c>
      <c r="H43" s="171" t="s">
        <v>472</v>
      </c>
      <c r="I43" s="86"/>
      <c r="J43" s="33"/>
      <c r="K43" s="8" t="s">
        <v>559</v>
      </c>
      <c r="L43" s="102"/>
      <c r="M43" s="102"/>
      <c r="N43" s="35" t="s">
        <v>53</v>
      </c>
      <c r="O43" s="102"/>
      <c r="P43" s="22"/>
      <c r="Q43" s="7"/>
      <c r="R43" s="64"/>
      <c r="S43" s="5"/>
      <c r="T43" s="5"/>
      <c r="U43" s="5"/>
      <c r="V43" s="9"/>
      <c r="W43" s="9"/>
      <c r="X43" s="9"/>
    </row>
    <row r="44" spans="1:24" ht="29.25">
      <c r="A44" s="23" t="s">
        <v>560</v>
      </c>
      <c r="B44" s="38"/>
      <c r="C44" s="25"/>
      <c r="D44" s="193"/>
      <c r="E44" s="193"/>
      <c r="F44" s="27"/>
      <c r="G44" s="161" t="s">
        <v>547</v>
      </c>
      <c r="H44" s="157" t="s">
        <v>488</v>
      </c>
      <c r="I44" s="86"/>
      <c r="J44" s="33"/>
      <c r="K44" s="8" t="s">
        <v>561</v>
      </c>
      <c r="L44" s="102"/>
      <c r="M44" s="102"/>
      <c r="N44" s="35" t="s">
        <v>53</v>
      </c>
      <c r="O44" s="102"/>
      <c r="P44" s="22"/>
      <c r="Q44" s="7"/>
      <c r="R44" s="64"/>
      <c r="S44" s="5"/>
      <c r="T44" s="5"/>
      <c r="U44" s="5"/>
      <c r="V44" s="9"/>
      <c r="W44" s="9"/>
      <c r="X44" s="9"/>
    </row>
    <row r="45" spans="1:24" ht="29.25">
      <c r="A45" s="23" t="s">
        <v>562</v>
      </c>
      <c r="B45" s="38"/>
      <c r="C45" s="25"/>
      <c r="D45" s="202" t="s">
        <v>563</v>
      </c>
      <c r="E45" s="204" t="s">
        <v>564</v>
      </c>
      <c r="F45" s="44"/>
      <c r="G45" s="26" t="s">
        <v>113</v>
      </c>
      <c r="H45" s="174" t="s">
        <v>472</v>
      </c>
      <c r="I45" s="33"/>
      <c r="J45" s="33"/>
      <c r="K45" s="68" t="s">
        <v>52</v>
      </c>
      <c r="L45" s="102"/>
      <c r="M45" s="102"/>
      <c r="N45" s="35" t="s">
        <v>53</v>
      </c>
      <c r="O45" s="102"/>
      <c r="P45" s="22"/>
      <c r="Q45" s="7"/>
      <c r="R45" s="64"/>
      <c r="S45" s="5"/>
      <c r="T45" s="5"/>
      <c r="U45" s="5"/>
      <c r="V45" s="9"/>
      <c r="W45" s="9"/>
      <c r="X45" s="9"/>
    </row>
    <row r="46" spans="1:24" ht="15.75">
      <c r="A46" s="23" t="s">
        <v>565</v>
      </c>
      <c r="B46" s="38"/>
      <c r="C46" s="25"/>
      <c r="D46" s="202"/>
      <c r="E46" s="205"/>
      <c r="F46" s="39"/>
      <c r="G46" s="32" t="s">
        <v>566</v>
      </c>
      <c r="H46" s="169" t="s">
        <v>472</v>
      </c>
      <c r="I46" s="18"/>
      <c r="J46" s="33"/>
      <c r="K46" s="8" t="s">
        <v>567</v>
      </c>
      <c r="L46" s="102"/>
      <c r="M46" s="102"/>
      <c r="N46" s="35" t="s">
        <v>53</v>
      </c>
      <c r="O46" s="102"/>
      <c r="P46" s="22"/>
      <c r="Q46" s="7"/>
      <c r="R46" s="64"/>
      <c r="S46" s="5"/>
      <c r="T46" s="5"/>
      <c r="U46" s="5"/>
      <c r="V46" s="9"/>
      <c r="W46" s="9"/>
      <c r="X46" s="9"/>
    </row>
    <row r="47" spans="1:24" ht="15.75">
      <c r="A47" s="23" t="s">
        <v>568</v>
      </c>
      <c r="B47" s="38"/>
      <c r="C47" s="25"/>
      <c r="D47" s="202"/>
      <c r="E47" s="205"/>
      <c r="F47" s="39"/>
      <c r="G47" s="32" t="s">
        <v>569</v>
      </c>
      <c r="H47" s="170" t="s">
        <v>488</v>
      </c>
      <c r="I47" s="18"/>
      <c r="J47" s="33"/>
      <c r="K47" s="8" t="s">
        <v>570</v>
      </c>
      <c r="L47" s="102"/>
      <c r="M47" s="102"/>
      <c r="N47" s="35" t="s">
        <v>53</v>
      </c>
      <c r="O47" s="102"/>
      <c r="P47" s="22"/>
      <c r="Q47" s="7"/>
      <c r="R47" s="64"/>
      <c r="S47" s="5"/>
      <c r="T47" s="5"/>
      <c r="U47" s="5"/>
      <c r="V47" s="9"/>
      <c r="W47" s="9"/>
      <c r="X47" s="9"/>
    </row>
    <row r="48" spans="1:24" ht="29.25">
      <c r="A48" s="23" t="s">
        <v>571</v>
      </c>
      <c r="B48" s="38"/>
      <c r="C48" s="25"/>
      <c r="D48" s="202"/>
      <c r="E48" s="205"/>
      <c r="F48" s="39"/>
      <c r="G48" s="32" t="s">
        <v>572</v>
      </c>
      <c r="H48" s="170" t="s">
        <v>508</v>
      </c>
      <c r="I48" s="18"/>
      <c r="J48" s="33"/>
      <c r="K48" s="8" t="s">
        <v>573</v>
      </c>
      <c r="L48" s="102"/>
      <c r="M48" s="102"/>
      <c r="N48" s="35" t="s">
        <v>53</v>
      </c>
      <c r="O48" s="102"/>
      <c r="P48" s="22"/>
      <c r="Q48" s="7"/>
      <c r="R48" s="64"/>
      <c r="S48" s="5"/>
      <c r="T48" s="5"/>
      <c r="U48" s="5"/>
      <c r="V48" s="9"/>
      <c r="W48" s="9"/>
      <c r="X48" s="9"/>
    </row>
    <row r="49" spans="1:24" ht="29.25">
      <c r="A49" s="23" t="s">
        <v>574</v>
      </c>
      <c r="B49" s="38"/>
      <c r="C49" s="25"/>
      <c r="D49" s="202"/>
      <c r="E49" s="205" t="s">
        <v>575</v>
      </c>
      <c r="F49" s="39"/>
      <c r="G49" s="27" t="s">
        <v>113</v>
      </c>
      <c r="H49" s="169" t="s">
        <v>472</v>
      </c>
      <c r="I49" s="33"/>
      <c r="J49" s="33"/>
      <c r="K49" s="4" t="s">
        <v>52</v>
      </c>
      <c r="L49" s="102"/>
      <c r="M49" s="102"/>
      <c r="N49" s="35" t="s">
        <v>53</v>
      </c>
      <c r="O49" s="102"/>
      <c r="P49" s="22"/>
      <c r="Q49" s="7"/>
      <c r="R49" s="64"/>
      <c r="S49" s="5"/>
      <c r="T49" s="5"/>
      <c r="U49" s="5"/>
      <c r="V49" s="9"/>
      <c r="W49" s="9"/>
      <c r="X49" s="9"/>
    </row>
    <row r="50" spans="1:24" ht="15.75">
      <c r="A50" s="23" t="s">
        <v>576</v>
      </c>
      <c r="B50" s="38"/>
      <c r="C50" s="25"/>
      <c r="D50" s="202"/>
      <c r="E50" s="205"/>
      <c r="F50" s="39"/>
      <c r="G50" s="32" t="s">
        <v>566</v>
      </c>
      <c r="H50" s="169" t="s">
        <v>472</v>
      </c>
      <c r="I50" s="18"/>
      <c r="J50" s="33"/>
      <c r="K50" s="8" t="s">
        <v>567</v>
      </c>
      <c r="L50" s="102"/>
      <c r="M50" s="102"/>
      <c r="N50" s="35" t="s">
        <v>53</v>
      </c>
      <c r="O50" s="102"/>
      <c r="P50" s="22"/>
      <c r="Q50" s="7"/>
      <c r="R50" s="64"/>
      <c r="S50" s="5"/>
      <c r="T50" s="5"/>
      <c r="U50" s="5"/>
      <c r="V50" s="9"/>
      <c r="W50" s="9"/>
      <c r="X50" s="9"/>
    </row>
    <row r="51" spans="1:24" ht="29.25">
      <c r="A51" s="23" t="s">
        <v>577</v>
      </c>
      <c r="B51" s="38"/>
      <c r="C51" s="25"/>
      <c r="D51" s="202"/>
      <c r="E51" s="205"/>
      <c r="F51" s="39"/>
      <c r="G51" s="32" t="s">
        <v>578</v>
      </c>
      <c r="H51" s="170" t="s">
        <v>488</v>
      </c>
      <c r="I51" s="18"/>
      <c r="J51" s="33"/>
      <c r="K51" s="8" t="s">
        <v>579</v>
      </c>
      <c r="L51" s="102"/>
      <c r="M51" s="102"/>
      <c r="N51" s="35" t="s">
        <v>53</v>
      </c>
      <c r="O51" s="102"/>
      <c r="P51" s="22"/>
      <c r="Q51" s="7"/>
      <c r="R51" s="64"/>
      <c r="S51" s="5"/>
      <c r="T51" s="5"/>
      <c r="U51" s="5"/>
      <c r="V51" s="9"/>
      <c r="W51" s="9"/>
      <c r="X51" s="9"/>
    </row>
    <row r="52" spans="1:24" ht="15.75">
      <c r="A52" s="23" t="s">
        <v>580</v>
      </c>
      <c r="B52" s="38"/>
      <c r="C52" s="25"/>
      <c r="D52" s="202"/>
      <c r="E52" s="205" t="s">
        <v>581</v>
      </c>
      <c r="F52" s="39"/>
      <c r="G52" s="27" t="s">
        <v>113</v>
      </c>
      <c r="H52" s="169" t="s">
        <v>472</v>
      </c>
      <c r="I52" s="18"/>
      <c r="J52" s="33"/>
      <c r="K52" s="21" t="s">
        <v>150</v>
      </c>
      <c r="L52" s="102"/>
      <c r="M52" s="102"/>
      <c r="N52" s="35" t="s">
        <v>53</v>
      </c>
      <c r="O52" s="102"/>
      <c r="P52" s="22"/>
      <c r="Q52" s="7"/>
      <c r="R52" s="64"/>
      <c r="S52" s="5"/>
      <c r="T52" s="5"/>
      <c r="U52" s="5"/>
      <c r="V52" s="9"/>
      <c r="W52" s="9"/>
      <c r="X52" s="9"/>
    </row>
    <row r="53" spans="1:24" ht="29.25">
      <c r="A53" s="23" t="s">
        <v>582</v>
      </c>
      <c r="B53" s="38"/>
      <c r="C53" s="25"/>
      <c r="D53" s="191"/>
      <c r="E53" s="206"/>
      <c r="F53" s="39"/>
      <c r="G53" s="32" t="s">
        <v>566</v>
      </c>
      <c r="H53" s="170" t="s">
        <v>488</v>
      </c>
      <c r="I53" s="18"/>
      <c r="J53" s="33"/>
      <c r="K53" s="8" t="s">
        <v>583</v>
      </c>
      <c r="L53" s="102"/>
      <c r="M53" s="102"/>
      <c r="N53" s="35" t="s">
        <v>53</v>
      </c>
      <c r="O53" s="102"/>
      <c r="P53" s="22"/>
      <c r="Q53" s="7"/>
      <c r="R53" s="64"/>
      <c r="S53" s="5"/>
      <c r="T53" s="5"/>
      <c r="U53" s="5"/>
      <c r="V53" s="9"/>
      <c r="W53" s="9"/>
      <c r="X53" s="9"/>
    </row>
    <row r="54" spans="1:24" ht="173.25" customHeight="1">
      <c r="A54" s="23" t="s">
        <v>584</v>
      </c>
      <c r="B54" s="69"/>
      <c r="C54" s="11"/>
      <c r="D54" s="188" t="s">
        <v>585</v>
      </c>
      <c r="E54" s="203" t="s">
        <v>586</v>
      </c>
      <c r="F54" s="27"/>
      <c r="G54" s="13" t="s">
        <v>587</v>
      </c>
      <c r="H54" s="169" t="s">
        <v>472</v>
      </c>
      <c r="I54" s="85" t="s">
        <v>588</v>
      </c>
      <c r="J54" s="33"/>
      <c r="K54" s="21" t="s">
        <v>150</v>
      </c>
      <c r="L54" s="102" t="s">
        <v>475</v>
      </c>
      <c r="M54" s="102" t="s">
        <v>499</v>
      </c>
      <c r="N54" s="35" t="s">
        <v>53</v>
      </c>
      <c r="O54" s="102"/>
      <c r="P54" s="22"/>
      <c r="Q54" s="6" t="s">
        <v>589</v>
      </c>
      <c r="R54" s="64" t="s">
        <v>501</v>
      </c>
      <c r="S54" s="5"/>
      <c r="T54" s="5"/>
      <c r="U54" s="5"/>
      <c r="V54" s="9"/>
      <c r="W54" s="9"/>
      <c r="X54" s="9"/>
    </row>
    <row r="55" spans="1:24" ht="173.25" customHeight="1">
      <c r="A55" s="23" t="s">
        <v>590</v>
      </c>
      <c r="B55" s="69"/>
      <c r="C55" s="11"/>
      <c r="D55" s="189"/>
      <c r="E55" s="203"/>
      <c r="F55" s="27"/>
      <c r="G55" s="13" t="s">
        <v>591</v>
      </c>
      <c r="H55" s="170" t="s">
        <v>488</v>
      </c>
      <c r="I55" s="85" t="s">
        <v>592</v>
      </c>
      <c r="J55" s="33"/>
      <c r="K55" s="21" t="s">
        <v>152</v>
      </c>
      <c r="L55" s="102" t="s">
        <v>475</v>
      </c>
      <c r="M55" s="102" t="s">
        <v>475</v>
      </c>
      <c r="N55" s="35" t="s">
        <v>53</v>
      </c>
      <c r="O55" s="102" t="s">
        <v>475</v>
      </c>
      <c r="P55" s="22"/>
      <c r="Q55" s="7"/>
      <c r="R55" s="64" t="s">
        <v>501</v>
      </c>
      <c r="S55" s="5"/>
      <c r="T55" s="5"/>
      <c r="U55" s="5"/>
      <c r="V55" s="9"/>
      <c r="W55" s="9"/>
      <c r="X55" s="9"/>
    </row>
    <row r="56" spans="1:24" ht="173.25" customHeight="1">
      <c r="A56" s="23" t="s">
        <v>593</v>
      </c>
      <c r="B56" s="69"/>
      <c r="C56" s="11"/>
      <c r="D56" s="189"/>
      <c r="E56" s="203"/>
      <c r="F56" s="27"/>
      <c r="G56" s="13" t="s">
        <v>594</v>
      </c>
      <c r="H56" s="170" t="s">
        <v>488</v>
      </c>
      <c r="I56" s="85" t="s">
        <v>595</v>
      </c>
      <c r="J56" s="33"/>
      <c r="K56" s="21" t="s">
        <v>155</v>
      </c>
      <c r="L56" s="102" t="s">
        <v>499</v>
      </c>
      <c r="M56" s="102" t="s">
        <v>499</v>
      </c>
      <c r="N56" s="35" t="s">
        <v>53</v>
      </c>
      <c r="O56" s="102" t="s">
        <v>499</v>
      </c>
      <c r="P56" s="98" t="s">
        <v>596</v>
      </c>
      <c r="Q56" s="6" t="s">
        <v>597</v>
      </c>
      <c r="R56" s="64" t="s">
        <v>501</v>
      </c>
      <c r="S56" s="5"/>
      <c r="T56" s="5"/>
      <c r="U56" s="5"/>
      <c r="V56" s="9"/>
      <c r="W56" s="9"/>
      <c r="X56" s="9"/>
    </row>
    <row r="57" spans="1:24" ht="173.25" customHeight="1">
      <c r="A57" s="23" t="s">
        <v>598</v>
      </c>
      <c r="B57" s="69"/>
      <c r="C57" s="11"/>
      <c r="D57" s="189"/>
      <c r="E57" s="203" t="s">
        <v>599</v>
      </c>
      <c r="F57" s="27"/>
      <c r="G57" s="13" t="s">
        <v>600</v>
      </c>
      <c r="H57" s="169" t="s">
        <v>472</v>
      </c>
      <c r="I57" s="85" t="s">
        <v>601</v>
      </c>
      <c r="J57" s="33"/>
      <c r="K57" s="21" t="s">
        <v>150</v>
      </c>
      <c r="L57" s="102" t="s">
        <v>475</v>
      </c>
      <c r="M57" s="102" t="s">
        <v>475</v>
      </c>
      <c r="N57" s="35" t="s">
        <v>53</v>
      </c>
      <c r="O57" s="102" t="s">
        <v>475</v>
      </c>
      <c r="P57" s="22"/>
      <c r="Q57" s="7"/>
      <c r="R57" s="64" t="s">
        <v>501</v>
      </c>
      <c r="S57" s="5"/>
      <c r="T57" s="5"/>
      <c r="U57" s="5"/>
      <c r="V57" s="9"/>
      <c r="W57" s="9"/>
      <c r="X57" s="9"/>
    </row>
    <row r="58" spans="1:24" ht="173.25" customHeight="1">
      <c r="A58" s="23" t="s">
        <v>602</v>
      </c>
      <c r="B58" s="69"/>
      <c r="C58" s="11"/>
      <c r="D58" s="189"/>
      <c r="E58" s="203"/>
      <c r="F58" s="27"/>
      <c r="G58" s="13" t="s">
        <v>591</v>
      </c>
      <c r="H58" s="170" t="s">
        <v>488</v>
      </c>
      <c r="I58" s="85" t="s">
        <v>603</v>
      </c>
      <c r="J58" s="33"/>
      <c r="K58" s="21" t="s">
        <v>152</v>
      </c>
      <c r="L58" s="102" t="s">
        <v>475</v>
      </c>
      <c r="M58" s="102" t="s">
        <v>475</v>
      </c>
      <c r="N58" s="35" t="s">
        <v>53</v>
      </c>
      <c r="O58" s="102" t="s">
        <v>475</v>
      </c>
      <c r="P58" s="22"/>
      <c r="Q58" s="7"/>
      <c r="R58" s="64" t="s">
        <v>501</v>
      </c>
      <c r="S58" s="5"/>
      <c r="T58" s="5"/>
      <c r="U58" s="5"/>
      <c r="V58" s="9"/>
      <c r="W58" s="9"/>
      <c r="X58" s="9"/>
    </row>
    <row r="59" spans="1:24" ht="134.25" customHeight="1">
      <c r="A59" s="23" t="s">
        <v>604</v>
      </c>
      <c r="B59" s="69"/>
      <c r="C59" s="11"/>
      <c r="D59" s="189"/>
      <c r="E59" s="203"/>
      <c r="F59" s="27"/>
      <c r="G59" s="13" t="s">
        <v>594</v>
      </c>
      <c r="H59" s="170" t="s">
        <v>488</v>
      </c>
      <c r="I59" s="85" t="s">
        <v>605</v>
      </c>
      <c r="J59" s="33"/>
      <c r="K59" s="21" t="s">
        <v>155</v>
      </c>
      <c r="L59" s="102" t="s">
        <v>499</v>
      </c>
      <c r="M59" s="102" t="s">
        <v>499</v>
      </c>
      <c r="N59" s="35" t="s">
        <v>53</v>
      </c>
      <c r="O59" s="102" t="s">
        <v>499</v>
      </c>
      <c r="P59" s="98" t="s">
        <v>596</v>
      </c>
      <c r="Q59" s="6" t="s">
        <v>597</v>
      </c>
      <c r="R59" s="64" t="s">
        <v>501</v>
      </c>
      <c r="S59" s="5"/>
      <c r="T59" s="5"/>
      <c r="U59" s="5"/>
      <c r="V59" s="9"/>
      <c r="W59" s="9"/>
      <c r="X59" s="9"/>
    </row>
    <row r="60" spans="1:24" ht="149.25" customHeight="1">
      <c r="A60" s="23" t="s">
        <v>606</v>
      </c>
      <c r="B60" s="69"/>
      <c r="C60" s="11"/>
      <c r="D60" s="189"/>
      <c r="E60" s="203" t="s">
        <v>607</v>
      </c>
      <c r="F60" s="27"/>
      <c r="G60" s="13" t="s">
        <v>608</v>
      </c>
      <c r="H60" s="169" t="s">
        <v>472</v>
      </c>
      <c r="I60" s="85" t="s">
        <v>609</v>
      </c>
      <c r="J60" s="33"/>
      <c r="K60" s="21" t="s">
        <v>150</v>
      </c>
      <c r="L60" s="102" t="s">
        <v>475</v>
      </c>
      <c r="M60" s="102" t="s">
        <v>475</v>
      </c>
      <c r="N60" s="35" t="s">
        <v>53</v>
      </c>
      <c r="O60" s="102"/>
      <c r="P60" s="22"/>
      <c r="Q60" s="7"/>
      <c r="R60" s="64" t="s">
        <v>501</v>
      </c>
      <c r="S60" s="5"/>
      <c r="T60" s="5"/>
      <c r="U60" s="5"/>
      <c r="V60" s="9"/>
      <c r="W60" s="9"/>
      <c r="X60" s="9"/>
    </row>
    <row r="61" spans="1:24" ht="149.25" customHeight="1">
      <c r="A61" s="23" t="s">
        <v>610</v>
      </c>
      <c r="B61" s="69"/>
      <c r="C61" s="11"/>
      <c r="D61" s="189"/>
      <c r="E61" s="203"/>
      <c r="F61" s="27"/>
      <c r="G61" s="13" t="s">
        <v>591</v>
      </c>
      <c r="H61" s="170" t="s">
        <v>488</v>
      </c>
      <c r="I61" s="85" t="s">
        <v>611</v>
      </c>
      <c r="J61" s="33"/>
      <c r="K61" s="21" t="s">
        <v>152</v>
      </c>
      <c r="L61" s="102" t="s">
        <v>475</v>
      </c>
      <c r="M61" s="102" t="s">
        <v>475</v>
      </c>
      <c r="N61" s="35" t="s">
        <v>53</v>
      </c>
      <c r="O61" s="102"/>
      <c r="P61" s="22"/>
      <c r="Q61" s="7"/>
      <c r="R61" s="64" t="s">
        <v>501</v>
      </c>
      <c r="S61" s="5"/>
      <c r="T61" s="5"/>
      <c r="U61" s="5"/>
      <c r="V61" s="9"/>
      <c r="W61" s="9"/>
      <c r="X61" s="9"/>
    </row>
    <row r="62" spans="1:24" ht="149.25" customHeight="1">
      <c r="A62" s="23" t="s">
        <v>612</v>
      </c>
      <c r="B62" s="69"/>
      <c r="C62" s="11"/>
      <c r="D62" s="190"/>
      <c r="E62" s="203"/>
      <c r="F62" s="27"/>
      <c r="G62" s="13" t="s">
        <v>594</v>
      </c>
      <c r="H62" s="170" t="s">
        <v>488</v>
      </c>
      <c r="I62" s="85" t="s">
        <v>613</v>
      </c>
      <c r="J62" s="33"/>
      <c r="K62" s="21" t="s">
        <v>155</v>
      </c>
      <c r="L62" s="102" t="s">
        <v>499</v>
      </c>
      <c r="M62" s="102" t="s">
        <v>499</v>
      </c>
      <c r="N62" s="35" t="s">
        <v>53</v>
      </c>
      <c r="O62" s="102" t="s">
        <v>499</v>
      </c>
      <c r="P62" s="98" t="s">
        <v>596</v>
      </c>
      <c r="Q62" s="99" t="s">
        <v>597</v>
      </c>
      <c r="R62" s="64" t="s">
        <v>501</v>
      </c>
      <c r="S62" s="5"/>
      <c r="T62" s="5"/>
      <c r="U62" s="5"/>
      <c r="V62" s="9"/>
      <c r="W62" s="9"/>
      <c r="X62" s="9"/>
    </row>
    <row r="63" spans="1:24" ht="78.75" customHeight="1">
      <c r="A63" s="23" t="s">
        <v>614</v>
      </c>
      <c r="B63" s="69"/>
      <c r="C63" s="175"/>
      <c r="D63" s="203" t="s">
        <v>615</v>
      </c>
      <c r="E63" s="209" t="s">
        <v>616</v>
      </c>
      <c r="F63" s="27"/>
      <c r="G63" s="13" t="s">
        <v>617</v>
      </c>
      <c r="H63" s="169" t="s">
        <v>472</v>
      </c>
      <c r="I63" s="85" t="s">
        <v>618</v>
      </c>
      <c r="J63" s="33"/>
      <c r="K63" s="21" t="s">
        <v>150</v>
      </c>
      <c r="L63" s="102" t="s">
        <v>475</v>
      </c>
      <c r="M63" s="102" t="s">
        <v>475</v>
      </c>
      <c r="N63" s="35" t="s">
        <v>53</v>
      </c>
      <c r="O63" s="102" t="s">
        <v>475</v>
      </c>
      <c r="P63" s="22"/>
      <c r="Q63" s="7"/>
      <c r="R63" s="64" t="s">
        <v>501</v>
      </c>
      <c r="S63" s="5"/>
      <c r="T63" s="5"/>
      <c r="U63" s="5"/>
      <c r="V63" s="9"/>
      <c r="W63" s="9"/>
      <c r="X63" s="9"/>
    </row>
    <row r="64" spans="1:24" ht="97.5" customHeight="1">
      <c r="A64" s="23" t="s">
        <v>619</v>
      </c>
      <c r="B64" s="69"/>
      <c r="C64" s="175"/>
      <c r="D64" s="203"/>
      <c r="E64" s="209"/>
      <c r="F64" s="27"/>
      <c r="G64" s="13" t="s">
        <v>620</v>
      </c>
      <c r="H64" s="170" t="s">
        <v>488</v>
      </c>
      <c r="I64" s="85" t="s">
        <v>621</v>
      </c>
      <c r="J64" s="33"/>
      <c r="K64" s="21" t="s">
        <v>152</v>
      </c>
      <c r="L64" s="102" t="s">
        <v>499</v>
      </c>
      <c r="M64" s="102" t="s">
        <v>499</v>
      </c>
      <c r="N64" s="35" t="s">
        <v>53</v>
      </c>
      <c r="O64" s="102" t="s">
        <v>499</v>
      </c>
      <c r="P64" s="22"/>
      <c r="Q64" s="7"/>
      <c r="R64" s="64" t="s">
        <v>501</v>
      </c>
      <c r="S64" s="5"/>
      <c r="T64" s="5"/>
      <c r="U64" s="5"/>
      <c r="V64" s="9"/>
      <c r="W64" s="9"/>
      <c r="X64" s="9"/>
    </row>
    <row r="65" spans="1:24" ht="93.75" customHeight="1">
      <c r="A65" s="23" t="s">
        <v>622</v>
      </c>
      <c r="B65" s="69"/>
      <c r="C65" s="175"/>
      <c r="D65" s="203"/>
      <c r="E65" s="209"/>
      <c r="F65" s="27"/>
      <c r="G65" s="13" t="s">
        <v>623</v>
      </c>
      <c r="H65" s="170" t="s">
        <v>488</v>
      </c>
      <c r="I65" s="85" t="s">
        <v>624</v>
      </c>
      <c r="J65" s="33"/>
      <c r="K65" s="21" t="s">
        <v>155</v>
      </c>
      <c r="L65" s="102" t="s">
        <v>499</v>
      </c>
      <c r="M65" s="102" t="s">
        <v>499</v>
      </c>
      <c r="N65" s="35" t="s">
        <v>53</v>
      </c>
      <c r="O65" s="102" t="s">
        <v>499</v>
      </c>
      <c r="P65" s="22"/>
      <c r="Q65" s="7"/>
      <c r="R65" s="64" t="s">
        <v>501</v>
      </c>
      <c r="S65" s="5"/>
      <c r="T65" s="5"/>
      <c r="U65" s="5"/>
      <c r="V65" s="9"/>
      <c r="W65" s="9"/>
      <c r="X65" s="9"/>
    </row>
    <row r="66" spans="1:24" ht="87">
      <c r="A66" s="23" t="s">
        <v>625</v>
      </c>
      <c r="B66" s="69"/>
      <c r="C66" s="175"/>
      <c r="D66" s="203"/>
      <c r="E66" s="209" t="s">
        <v>626</v>
      </c>
      <c r="F66" s="27"/>
      <c r="G66" s="13" t="s">
        <v>627</v>
      </c>
      <c r="H66" s="169" t="s">
        <v>472</v>
      </c>
      <c r="I66" s="85" t="s">
        <v>628</v>
      </c>
      <c r="J66" s="33"/>
      <c r="K66" s="21" t="s">
        <v>150</v>
      </c>
      <c r="L66" s="102"/>
      <c r="M66" s="102"/>
      <c r="N66" s="35" t="s">
        <v>53</v>
      </c>
      <c r="O66" s="102"/>
      <c r="P66" s="22"/>
      <c r="Q66" s="7"/>
      <c r="R66" s="64" t="s">
        <v>501</v>
      </c>
      <c r="S66" s="5"/>
      <c r="T66" s="5"/>
      <c r="U66" s="5"/>
      <c r="V66" s="9"/>
      <c r="W66" s="9"/>
      <c r="X66" s="9"/>
    </row>
    <row r="67" spans="1:24" ht="101.25">
      <c r="A67" s="23" t="s">
        <v>629</v>
      </c>
      <c r="B67" s="69"/>
      <c r="C67" s="175"/>
      <c r="D67" s="203"/>
      <c r="E67" s="209"/>
      <c r="F67" s="27"/>
      <c r="G67" s="13" t="s">
        <v>630</v>
      </c>
      <c r="H67" s="170" t="s">
        <v>488</v>
      </c>
      <c r="I67" s="85" t="s">
        <v>631</v>
      </c>
      <c r="J67" s="33"/>
      <c r="K67" s="21" t="s">
        <v>152</v>
      </c>
      <c r="L67" s="102"/>
      <c r="M67" s="102"/>
      <c r="N67" s="35" t="s">
        <v>53</v>
      </c>
      <c r="O67" s="102"/>
      <c r="P67" s="22"/>
      <c r="Q67" s="7"/>
      <c r="R67" s="64" t="s">
        <v>501</v>
      </c>
      <c r="S67" s="5"/>
      <c r="T67" s="5"/>
      <c r="U67" s="5"/>
      <c r="V67" s="9"/>
      <c r="W67" s="9"/>
      <c r="X67" s="9"/>
    </row>
    <row r="68" spans="1:24" ht="101.25">
      <c r="A68" s="23" t="s">
        <v>632</v>
      </c>
      <c r="B68" s="69"/>
      <c r="C68" s="175"/>
      <c r="D68" s="203"/>
      <c r="E68" s="209"/>
      <c r="F68" s="27"/>
      <c r="G68" s="13" t="s">
        <v>633</v>
      </c>
      <c r="H68" s="170" t="s">
        <v>488</v>
      </c>
      <c r="I68" s="85" t="s">
        <v>634</v>
      </c>
      <c r="J68" s="33"/>
      <c r="K68" s="21" t="s">
        <v>155</v>
      </c>
      <c r="L68" s="102"/>
      <c r="M68" s="102"/>
      <c r="N68" s="35" t="s">
        <v>53</v>
      </c>
      <c r="O68" s="102"/>
      <c r="P68" s="22"/>
      <c r="Q68" s="7"/>
      <c r="R68" s="64" t="s">
        <v>501</v>
      </c>
      <c r="S68" s="5"/>
      <c r="T68" s="5"/>
      <c r="U68" s="5"/>
      <c r="V68" s="9"/>
      <c r="W68" s="9"/>
      <c r="X68" s="9"/>
    </row>
    <row r="69" spans="1:24" ht="106.5" customHeight="1">
      <c r="A69" s="23" t="s">
        <v>635</v>
      </c>
      <c r="B69" s="69"/>
      <c r="C69" s="175"/>
      <c r="D69" s="203"/>
      <c r="E69" s="209" t="s">
        <v>636</v>
      </c>
      <c r="F69" s="27"/>
      <c r="G69" s="13" t="s">
        <v>637</v>
      </c>
      <c r="H69" s="169" t="s">
        <v>472</v>
      </c>
      <c r="I69" s="85" t="s">
        <v>638</v>
      </c>
      <c r="J69" s="33"/>
      <c r="K69" s="21" t="s">
        <v>150</v>
      </c>
      <c r="L69" s="102" t="s">
        <v>499</v>
      </c>
      <c r="M69" s="102" t="s">
        <v>499</v>
      </c>
      <c r="N69" s="35" t="s">
        <v>53</v>
      </c>
      <c r="O69" s="102" t="s">
        <v>499</v>
      </c>
      <c r="P69" s="98">
        <v>38493</v>
      </c>
      <c r="Q69" s="7" t="s">
        <v>639</v>
      </c>
      <c r="R69" s="64" t="s">
        <v>501</v>
      </c>
      <c r="S69" s="5"/>
      <c r="T69" s="5"/>
      <c r="U69" s="5"/>
      <c r="V69" s="9"/>
      <c r="W69" s="9"/>
      <c r="X69" s="9"/>
    </row>
    <row r="70" spans="1:24" ht="106.5" customHeight="1">
      <c r="A70" s="23" t="s">
        <v>640</v>
      </c>
      <c r="B70" s="69"/>
      <c r="C70" s="175"/>
      <c r="D70" s="203"/>
      <c r="E70" s="209"/>
      <c r="F70" s="27"/>
      <c r="G70" s="13" t="s">
        <v>641</v>
      </c>
      <c r="H70" s="170" t="s">
        <v>488</v>
      </c>
      <c r="I70" s="85" t="s">
        <v>642</v>
      </c>
      <c r="J70" s="33"/>
      <c r="K70" s="21" t="s">
        <v>152</v>
      </c>
      <c r="L70" s="102" t="s">
        <v>499</v>
      </c>
      <c r="M70" s="102" t="s">
        <v>499</v>
      </c>
      <c r="N70" s="35" t="s">
        <v>53</v>
      </c>
      <c r="O70" s="102" t="s">
        <v>499</v>
      </c>
      <c r="P70" s="98">
        <v>38493</v>
      </c>
      <c r="Q70" s="7" t="s">
        <v>639</v>
      </c>
      <c r="R70" s="64" t="s">
        <v>501</v>
      </c>
      <c r="S70" s="5"/>
      <c r="T70" s="5"/>
      <c r="U70" s="5"/>
      <c r="V70" s="9"/>
      <c r="W70" s="9"/>
      <c r="X70" s="9"/>
    </row>
    <row r="71" spans="1:24" ht="106.5" customHeight="1">
      <c r="A71" s="23" t="s">
        <v>643</v>
      </c>
      <c r="B71" s="69"/>
      <c r="C71" s="175"/>
      <c r="D71" s="203"/>
      <c r="E71" s="209"/>
      <c r="F71" s="27"/>
      <c r="G71" s="13" t="s">
        <v>644</v>
      </c>
      <c r="H71" s="170" t="s">
        <v>488</v>
      </c>
      <c r="I71" s="85" t="s">
        <v>645</v>
      </c>
      <c r="J71" s="33"/>
      <c r="K71" s="21" t="s">
        <v>155</v>
      </c>
      <c r="L71" s="102" t="s">
        <v>499</v>
      </c>
      <c r="M71" s="102" t="s">
        <v>499</v>
      </c>
      <c r="N71" s="35" t="s">
        <v>53</v>
      </c>
      <c r="O71" s="102" t="s">
        <v>499</v>
      </c>
      <c r="P71" s="98">
        <v>38493</v>
      </c>
      <c r="Q71" s="7" t="s">
        <v>639</v>
      </c>
      <c r="R71" s="64" t="s">
        <v>501</v>
      </c>
      <c r="S71" s="5"/>
      <c r="T71" s="5"/>
      <c r="U71" s="5"/>
      <c r="V71" s="9"/>
      <c r="W71" s="9"/>
      <c r="X71" s="9"/>
    </row>
    <row r="72" spans="1:24" ht="108" customHeight="1">
      <c r="A72" s="23" t="s">
        <v>646</v>
      </c>
      <c r="B72" s="69"/>
      <c r="C72" s="175"/>
      <c r="D72" s="203"/>
      <c r="E72" s="209" t="s">
        <v>647</v>
      </c>
      <c r="F72" s="27"/>
      <c r="G72" s="13" t="s">
        <v>648</v>
      </c>
      <c r="H72" s="169" t="s">
        <v>472</v>
      </c>
      <c r="I72" s="85" t="s">
        <v>649</v>
      </c>
      <c r="J72" s="33"/>
      <c r="K72" s="21" t="s">
        <v>150</v>
      </c>
      <c r="L72" s="102" t="s">
        <v>475</v>
      </c>
      <c r="M72" s="102" t="s">
        <v>475</v>
      </c>
      <c r="N72" s="35" t="s">
        <v>53</v>
      </c>
      <c r="O72" s="102" t="s">
        <v>475</v>
      </c>
      <c r="P72" s="22"/>
      <c r="Q72" s="7"/>
      <c r="R72" s="64" t="s">
        <v>501</v>
      </c>
      <c r="S72" s="5"/>
      <c r="T72" s="5"/>
      <c r="U72" s="5"/>
      <c r="V72" s="9"/>
      <c r="W72" s="9"/>
      <c r="X72" s="9"/>
    </row>
    <row r="73" spans="1:24" ht="108" customHeight="1">
      <c r="A73" s="23" t="s">
        <v>650</v>
      </c>
      <c r="B73" s="69"/>
      <c r="C73" s="175"/>
      <c r="D73" s="203"/>
      <c r="E73" s="209"/>
      <c r="F73" s="27"/>
      <c r="G73" s="13" t="s">
        <v>651</v>
      </c>
      <c r="H73" s="170" t="s">
        <v>488</v>
      </c>
      <c r="I73" s="85" t="s">
        <v>652</v>
      </c>
      <c r="J73" s="33"/>
      <c r="K73" s="21" t="s">
        <v>152</v>
      </c>
      <c r="L73" s="102" t="s">
        <v>475</v>
      </c>
      <c r="M73" s="102" t="s">
        <v>475</v>
      </c>
      <c r="N73" s="35" t="s">
        <v>53</v>
      </c>
      <c r="O73" s="102" t="s">
        <v>475</v>
      </c>
      <c r="P73" s="22"/>
      <c r="Q73" s="7"/>
      <c r="R73" s="64" t="s">
        <v>501</v>
      </c>
      <c r="S73" s="5"/>
      <c r="T73" s="5"/>
      <c r="U73" s="5"/>
      <c r="V73" s="9"/>
      <c r="W73" s="9"/>
      <c r="X73" s="9"/>
    </row>
    <row r="74" spans="1:24" ht="108" customHeight="1">
      <c r="A74" s="23" t="s">
        <v>653</v>
      </c>
      <c r="B74" s="69"/>
      <c r="C74" s="175"/>
      <c r="D74" s="203"/>
      <c r="E74" s="209"/>
      <c r="F74" s="27"/>
      <c r="G74" s="13" t="s">
        <v>654</v>
      </c>
      <c r="H74" s="170" t="s">
        <v>488</v>
      </c>
      <c r="I74" s="85" t="s">
        <v>655</v>
      </c>
      <c r="J74" s="33"/>
      <c r="K74" s="21" t="s">
        <v>155</v>
      </c>
      <c r="L74" s="102" t="s">
        <v>499</v>
      </c>
      <c r="M74" s="102" t="s">
        <v>499</v>
      </c>
      <c r="N74" s="35" t="s">
        <v>53</v>
      </c>
      <c r="O74" s="102" t="s">
        <v>499</v>
      </c>
      <c r="P74" s="98">
        <v>38494</v>
      </c>
      <c r="Q74" s="7" t="s">
        <v>656</v>
      </c>
      <c r="R74" s="64" t="s">
        <v>501</v>
      </c>
      <c r="S74" s="5"/>
      <c r="T74" s="5"/>
      <c r="U74" s="5"/>
      <c r="V74" s="9"/>
      <c r="W74" s="9"/>
      <c r="X74" s="9"/>
    </row>
    <row r="75" spans="1:24" ht="119.25" customHeight="1">
      <c r="A75" s="23" t="s">
        <v>657</v>
      </c>
      <c r="B75" s="69"/>
      <c r="C75" s="175"/>
      <c r="D75" s="203"/>
      <c r="E75" s="209" t="s">
        <v>658</v>
      </c>
      <c r="F75" s="27"/>
      <c r="G75" s="13" t="s">
        <v>659</v>
      </c>
      <c r="H75" s="169" t="s">
        <v>472</v>
      </c>
      <c r="I75" s="85" t="s">
        <v>660</v>
      </c>
      <c r="J75" s="33"/>
      <c r="K75" s="21" t="s">
        <v>150</v>
      </c>
      <c r="L75" s="102" t="s">
        <v>475</v>
      </c>
      <c r="M75" s="102" t="s">
        <v>475</v>
      </c>
      <c r="N75" s="35" t="s">
        <v>53</v>
      </c>
      <c r="O75" s="102"/>
      <c r="P75" s="22"/>
      <c r="Q75" s="7"/>
      <c r="R75" s="64" t="s">
        <v>501</v>
      </c>
      <c r="S75" s="5"/>
      <c r="T75" s="5"/>
      <c r="U75" s="5"/>
      <c r="V75" s="9"/>
      <c r="W75" s="9"/>
      <c r="X75" s="9"/>
    </row>
    <row r="76" spans="1:24" ht="119.25" customHeight="1">
      <c r="A76" s="23" t="s">
        <v>661</v>
      </c>
      <c r="B76" s="69"/>
      <c r="C76" s="175"/>
      <c r="D76" s="203"/>
      <c r="E76" s="209"/>
      <c r="F76" s="27"/>
      <c r="G76" s="13" t="s">
        <v>662</v>
      </c>
      <c r="H76" s="170" t="s">
        <v>488</v>
      </c>
      <c r="I76" s="85" t="s">
        <v>663</v>
      </c>
      <c r="J76" s="33"/>
      <c r="K76" s="21" t="s">
        <v>152</v>
      </c>
      <c r="L76" s="102" t="s">
        <v>499</v>
      </c>
      <c r="M76" s="102" t="s">
        <v>499</v>
      </c>
      <c r="N76" s="35" t="s">
        <v>53</v>
      </c>
      <c r="O76" s="102" t="s">
        <v>499</v>
      </c>
      <c r="P76" s="98">
        <v>38491</v>
      </c>
      <c r="Q76" s="99" t="s">
        <v>664</v>
      </c>
      <c r="R76" s="64" t="s">
        <v>501</v>
      </c>
      <c r="S76" s="5"/>
      <c r="T76" s="5"/>
      <c r="U76" s="5"/>
      <c r="V76" s="9"/>
      <c r="W76" s="9"/>
      <c r="X76" s="9"/>
    </row>
    <row r="77" spans="1:24" ht="119.25" customHeight="1">
      <c r="A77" s="23" t="s">
        <v>665</v>
      </c>
      <c r="B77" s="69"/>
      <c r="C77" s="175"/>
      <c r="D77" s="203"/>
      <c r="E77" s="209"/>
      <c r="F77" s="27"/>
      <c r="G77" s="13" t="s">
        <v>666</v>
      </c>
      <c r="H77" s="170" t="s">
        <v>488</v>
      </c>
      <c r="I77" s="85" t="s">
        <v>667</v>
      </c>
      <c r="J77" s="33"/>
      <c r="K77" s="21" t="s">
        <v>155</v>
      </c>
      <c r="L77" s="102" t="s">
        <v>499</v>
      </c>
      <c r="M77" s="102" t="s">
        <v>499</v>
      </c>
      <c r="N77" s="35" t="s">
        <v>53</v>
      </c>
      <c r="O77" s="102" t="s">
        <v>499</v>
      </c>
      <c r="P77" s="98" t="s">
        <v>668</v>
      </c>
      <c r="Q77" s="7" t="s">
        <v>656</v>
      </c>
      <c r="R77" s="64" t="s">
        <v>501</v>
      </c>
      <c r="S77" s="5"/>
      <c r="T77" s="5"/>
      <c r="U77" s="5"/>
      <c r="V77" s="9"/>
      <c r="W77" s="9"/>
      <c r="X77" s="9"/>
    </row>
    <row r="78" spans="1:24" ht="120.75" customHeight="1">
      <c r="A78" s="23" t="s">
        <v>669</v>
      </c>
      <c r="B78" s="69"/>
      <c r="C78" s="175"/>
      <c r="D78" s="203"/>
      <c r="E78" s="209" t="s">
        <v>670</v>
      </c>
      <c r="F78" s="27"/>
      <c r="G78" s="13" t="s">
        <v>671</v>
      </c>
      <c r="H78" s="169" t="s">
        <v>472</v>
      </c>
      <c r="I78" s="85" t="s">
        <v>672</v>
      </c>
      <c r="J78" s="33"/>
      <c r="K78" s="21" t="s">
        <v>150</v>
      </c>
      <c r="L78" s="102" t="s">
        <v>499</v>
      </c>
      <c r="M78" s="102" t="s">
        <v>499</v>
      </c>
      <c r="N78" s="35" t="s">
        <v>53</v>
      </c>
      <c r="O78" s="102" t="s">
        <v>499</v>
      </c>
      <c r="P78" s="98">
        <v>38491</v>
      </c>
      <c r="Q78" s="115" t="s">
        <v>673</v>
      </c>
      <c r="R78" s="64" t="s">
        <v>501</v>
      </c>
      <c r="S78" s="5"/>
      <c r="T78" s="5"/>
      <c r="U78" s="5"/>
      <c r="V78" s="9"/>
      <c r="W78" s="9"/>
      <c r="X78" s="9"/>
    </row>
    <row r="79" spans="1:24" ht="120.75" customHeight="1">
      <c r="A79" s="23" t="s">
        <v>674</v>
      </c>
      <c r="B79" s="69"/>
      <c r="C79" s="175"/>
      <c r="D79" s="203"/>
      <c r="E79" s="209"/>
      <c r="F79" s="27"/>
      <c r="G79" s="13" t="s">
        <v>675</v>
      </c>
      <c r="H79" s="170" t="s">
        <v>488</v>
      </c>
      <c r="I79" s="85" t="s">
        <v>676</v>
      </c>
      <c r="J79" s="33"/>
      <c r="K79" s="21" t="s">
        <v>152</v>
      </c>
      <c r="L79" s="102"/>
      <c r="M79" s="102"/>
      <c r="N79" s="35" t="s">
        <v>53</v>
      </c>
      <c r="O79" s="102"/>
      <c r="P79" s="67"/>
      <c r="Q79" s="67"/>
      <c r="R79" s="64" t="s">
        <v>501</v>
      </c>
      <c r="S79" s="5"/>
      <c r="T79" s="5"/>
      <c r="U79" s="5"/>
      <c r="V79" s="9"/>
      <c r="W79" s="9"/>
      <c r="X79" s="9"/>
    </row>
    <row r="80" spans="1:24" ht="120.75" customHeight="1">
      <c r="A80" s="23" t="s">
        <v>677</v>
      </c>
      <c r="B80" s="69"/>
      <c r="C80" s="175"/>
      <c r="D80" s="203"/>
      <c r="E80" s="209"/>
      <c r="F80" s="27"/>
      <c r="G80" s="13" t="s">
        <v>678</v>
      </c>
      <c r="H80" s="170" t="s">
        <v>488</v>
      </c>
      <c r="I80" s="85" t="s">
        <v>679</v>
      </c>
      <c r="J80" s="33"/>
      <c r="K80" s="21" t="s">
        <v>155</v>
      </c>
      <c r="L80" s="102" t="s">
        <v>499</v>
      </c>
      <c r="M80" s="102" t="s">
        <v>499</v>
      </c>
      <c r="N80" s="35" t="s">
        <v>53</v>
      </c>
      <c r="O80" s="102" t="s">
        <v>499</v>
      </c>
      <c r="P80" s="22"/>
      <c r="Q80" s="7"/>
      <c r="R80" s="64" t="s">
        <v>501</v>
      </c>
      <c r="S80" s="5"/>
      <c r="T80" s="5"/>
      <c r="U80" s="5"/>
      <c r="V80" s="9"/>
      <c r="W80" s="9"/>
      <c r="X80" s="9"/>
    </row>
    <row r="81" spans="1:24">
      <c r="A81" s="210" t="s">
        <v>199</v>
      </c>
      <c r="B81" s="211"/>
      <c r="C81" s="211"/>
      <c r="D81" s="211"/>
      <c r="E81" s="211"/>
      <c r="F81" s="211"/>
      <c r="G81" s="211"/>
      <c r="H81" s="211"/>
      <c r="I81" s="212"/>
      <c r="J81" s="212"/>
      <c r="K81" s="212"/>
      <c r="L81" s="212"/>
      <c r="M81" s="212"/>
      <c r="N81" s="212"/>
      <c r="O81" s="213"/>
      <c r="P81" s="214"/>
      <c r="Q81" s="214"/>
      <c r="R81" s="214"/>
      <c r="S81" s="93">
        <f>COUNTIF($O82:O159,"PASS")</f>
        <v>5</v>
      </c>
      <c r="T81" s="93">
        <f>COUNTIF($O82:O159,"FAIL")</f>
        <v>0</v>
      </c>
      <c r="U81" s="93">
        <f>COUNTBLANK(O82:O159)</f>
        <v>73</v>
      </c>
      <c r="V81" s="93">
        <f>COUNTIF($O82:O159,"IN PROGRESS")</f>
        <v>0</v>
      </c>
      <c r="W81" s="93">
        <f>COUNTIF($O82:O159,"BLOCKED")</f>
        <v>0</v>
      </c>
    </row>
    <row r="82" spans="1:24" ht="75" customHeight="1">
      <c r="A82" s="23" t="s">
        <v>680</v>
      </c>
      <c r="B82" s="18"/>
      <c r="C82" s="207"/>
      <c r="D82" s="191" t="s">
        <v>468</v>
      </c>
      <c r="E82" s="191" t="s">
        <v>469</v>
      </c>
      <c r="F82" s="197" t="s">
        <v>470</v>
      </c>
      <c r="G82" s="31" t="s">
        <v>471</v>
      </c>
      <c r="H82" s="169" t="s">
        <v>472</v>
      </c>
      <c r="I82" s="14" t="s">
        <v>473</v>
      </c>
      <c r="J82" s="15"/>
      <c r="K82" s="8" t="s">
        <v>474</v>
      </c>
      <c r="L82" s="35" t="s">
        <v>53</v>
      </c>
      <c r="M82" s="102" t="s">
        <v>475</v>
      </c>
      <c r="N82" s="102" t="s">
        <v>475</v>
      </c>
      <c r="O82" s="102" t="s">
        <v>475</v>
      </c>
      <c r="P82" s="24"/>
      <c r="Q82" s="6"/>
      <c r="R82" s="64" t="s">
        <v>681</v>
      </c>
      <c r="X82" s="9"/>
    </row>
    <row r="83" spans="1:24" ht="30" customHeight="1">
      <c r="A83" s="23" t="s">
        <v>682</v>
      </c>
      <c r="B83" s="45"/>
      <c r="C83" s="208"/>
      <c r="D83" s="192"/>
      <c r="E83" s="192"/>
      <c r="F83" s="198"/>
      <c r="G83" s="31" t="s">
        <v>477</v>
      </c>
      <c r="H83" s="169" t="s">
        <v>472</v>
      </c>
      <c r="I83" s="16" t="s">
        <v>478</v>
      </c>
      <c r="J83" s="15"/>
      <c r="K83" s="8" t="s">
        <v>479</v>
      </c>
      <c r="L83" s="35" t="s">
        <v>53</v>
      </c>
      <c r="M83" s="102" t="s">
        <v>475</v>
      </c>
      <c r="N83" s="102" t="s">
        <v>475</v>
      </c>
      <c r="O83" s="102" t="s">
        <v>475</v>
      </c>
      <c r="P83" s="22"/>
      <c r="Q83" s="7"/>
      <c r="R83" s="64" t="s">
        <v>681</v>
      </c>
      <c r="S83" s="5"/>
      <c r="T83" s="5"/>
      <c r="U83" s="5"/>
      <c r="V83" s="9"/>
      <c r="W83" s="9"/>
      <c r="X83" s="9"/>
    </row>
    <row r="84" spans="1:24" ht="42.75" customHeight="1">
      <c r="A84" s="23" t="s">
        <v>683</v>
      </c>
      <c r="B84" s="45"/>
      <c r="C84" s="25"/>
      <c r="D84" s="192"/>
      <c r="E84" s="192"/>
      <c r="F84" s="27" t="s">
        <v>481</v>
      </c>
      <c r="G84" s="32" t="s">
        <v>482</v>
      </c>
      <c r="H84" s="169" t="s">
        <v>472</v>
      </c>
      <c r="I84" s="18" t="s">
        <v>483</v>
      </c>
      <c r="J84" s="29"/>
      <c r="K84" s="30" t="s">
        <v>484</v>
      </c>
      <c r="L84" s="35" t="s">
        <v>53</v>
      </c>
      <c r="M84" s="102" t="s">
        <v>475</v>
      </c>
      <c r="N84" s="102" t="s">
        <v>475</v>
      </c>
      <c r="O84" s="102" t="s">
        <v>475</v>
      </c>
      <c r="P84" s="22"/>
      <c r="Q84" s="7"/>
      <c r="R84" s="64" t="s">
        <v>681</v>
      </c>
      <c r="S84" s="5"/>
      <c r="T84" s="5"/>
      <c r="U84" s="5"/>
      <c r="V84" s="9"/>
      <c r="W84" s="9"/>
      <c r="X84" s="9"/>
    </row>
    <row r="85" spans="1:24" ht="43.5">
      <c r="A85" s="23" t="s">
        <v>684</v>
      </c>
      <c r="B85" s="45"/>
      <c r="C85" s="25"/>
      <c r="D85" s="192"/>
      <c r="E85" s="192"/>
      <c r="F85" s="27" t="s">
        <v>685</v>
      </c>
      <c r="G85" s="32" t="s">
        <v>686</v>
      </c>
      <c r="H85" s="170" t="s">
        <v>488</v>
      </c>
      <c r="I85" s="18" t="s">
        <v>687</v>
      </c>
      <c r="J85" s="29"/>
      <c r="K85" s="30" t="s">
        <v>688</v>
      </c>
      <c r="L85" s="35" t="s">
        <v>53</v>
      </c>
      <c r="M85" s="102"/>
      <c r="N85" s="102"/>
      <c r="O85" s="102"/>
      <c r="P85" s="22"/>
      <c r="Q85" s="7"/>
      <c r="R85" s="64" t="s">
        <v>681</v>
      </c>
      <c r="S85" s="5"/>
      <c r="T85" s="5"/>
      <c r="U85" s="5"/>
      <c r="V85" s="9"/>
      <c r="W85" s="9"/>
      <c r="X85" s="9"/>
    </row>
    <row r="86" spans="1:24" ht="30" customHeight="1">
      <c r="A86" s="23" t="s">
        <v>689</v>
      </c>
      <c r="B86" s="45"/>
      <c r="C86" s="25"/>
      <c r="D86" s="192"/>
      <c r="E86" s="192"/>
      <c r="F86" s="27" t="s">
        <v>486</v>
      </c>
      <c r="G86" s="32" t="s">
        <v>487</v>
      </c>
      <c r="H86" s="170" t="s">
        <v>488</v>
      </c>
      <c r="I86" s="18" t="s">
        <v>690</v>
      </c>
      <c r="J86" s="29"/>
      <c r="K86" s="30" t="s">
        <v>490</v>
      </c>
      <c r="L86" s="35" t="s">
        <v>53</v>
      </c>
      <c r="M86" s="102" t="s">
        <v>475</v>
      </c>
      <c r="N86" s="102" t="s">
        <v>475</v>
      </c>
      <c r="O86" s="102" t="s">
        <v>475</v>
      </c>
      <c r="P86" s="22"/>
      <c r="Q86" s="7"/>
      <c r="R86" s="64" t="s">
        <v>681</v>
      </c>
      <c r="S86" s="5"/>
      <c r="T86" s="5"/>
      <c r="U86" s="5"/>
      <c r="V86" s="9"/>
      <c r="W86" s="9"/>
      <c r="X86" s="9"/>
    </row>
    <row r="87" spans="1:24" ht="45" customHeight="1">
      <c r="A87" s="23" t="s">
        <v>691</v>
      </c>
      <c r="B87" s="45"/>
      <c r="C87" s="25"/>
      <c r="D87" s="193"/>
      <c r="E87" s="193"/>
      <c r="F87" s="28" t="s">
        <v>492</v>
      </c>
      <c r="G87" s="32" t="s">
        <v>493</v>
      </c>
      <c r="H87" s="170" t="s">
        <v>488</v>
      </c>
      <c r="I87" s="18" t="s">
        <v>494</v>
      </c>
      <c r="J87" s="33"/>
      <c r="K87" s="30" t="s">
        <v>495</v>
      </c>
      <c r="L87" s="65" t="s">
        <v>53</v>
      </c>
      <c r="M87" s="102" t="s">
        <v>475</v>
      </c>
      <c r="N87" s="102" t="s">
        <v>475</v>
      </c>
      <c r="O87" s="102" t="s">
        <v>475</v>
      </c>
      <c r="P87" s="66"/>
      <c r="Q87" s="17"/>
      <c r="R87" s="67" t="s">
        <v>681</v>
      </c>
      <c r="S87" s="5"/>
      <c r="T87" s="5"/>
      <c r="U87" s="5"/>
      <c r="V87" s="9"/>
      <c r="W87" s="9"/>
      <c r="X87" s="9"/>
    </row>
    <row r="88" spans="1:24" ht="32.25" customHeight="1">
      <c r="A88" s="23"/>
      <c r="B88" s="42"/>
      <c r="C88" s="11"/>
      <c r="D88" s="191" t="s">
        <v>169</v>
      </c>
      <c r="E88" s="202" t="s">
        <v>497</v>
      </c>
      <c r="F88" s="160"/>
      <c r="G88" s="27" t="s">
        <v>498</v>
      </c>
      <c r="H88" s="171" t="s">
        <v>472</v>
      </c>
      <c r="I88" s="43"/>
      <c r="J88" s="33"/>
      <c r="K88" s="4" t="s">
        <v>52</v>
      </c>
      <c r="L88" s="35" t="s">
        <v>53</v>
      </c>
      <c r="M88" s="102"/>
      <c r="N88" s="102"/>
      <c r="O88" s="102"/>
      <c r="P88" s="22"/>
      <c r="Q88" s="7"/>
      <c r="R88" s="64"/>
      <c r="S88" s="5"/>
      <c r="T88" s="5"/>
      <c r="U88" s="5"/>
      <c r="V88" s="9"/>
      <c r="W88" s="9"/>
      <c r="X88" s="9"/>
    </row>
    <row r="89" spans="1:24" ht="30.75" customHeight="1">
      <c r="A89" s="23"/>
      <c r="B89" s="42"/>
      <c r="C89" s="11"/>
      <c r="D89" s="192"/>
      <c r="E89" s="202"/>
      <c r="F89" s="172"/>
      <c r="G89" s="36" t="s">
        <v>71</v>
      </c>
      <c r="H89" s="171" t="s">
        <v>472</v>
      </c>
      <c r="I89" s="43"/>
      <c r="J89" s="33"/>
      <c r="K89" s="10" t="s">
        <v>57</v>
      </c>
      <c r="L89" s="35" t="s">
        <v>53</v>
      </c>
      <c r="M89" s="102"/>
      <c r="N89" s="102"/>
      <c r="O89" s="102"/>
      <c r="P89" s="22"/>
      <c r="Q89" s="7"/>
      <c r="R89" s="64"/>
      <c r="S89" s="5"/>
      <c r="T89" s="5"/>
      <c r="U89" s="5"/>
      <c r="V89" s="9"/>
      <c r="W89" s="9"/>
      <c r="X89" s="9"/>
    </row>
    <row r="90" spans="1:24" ht="32.25" customHeight="1">
      <c r="A90" s="23"/>
      <c r="B90" s="42"/>
      <c r="C90" s="11"/>
      <c r="D90" s="192"/>
      <c r="E90" s="202"/>
      <c r="F90" s="173"/>
      <c r="G90" s="14" t="s">
        <v>59</v>
      </c>
      <c r="H90" s="171" t="s">
        <v>472</v>
      </c>
      <c r="I90" s="43"/>
      <c r="J90" s="33"/>
      <c r="K90" s="4" t="s">
        <v>60</v>
      </c>
      <c r="L90" s="65" t="s">
        <v>53</v>
      </c>
      <c r="M90" s="102"/>
      <c r="N90" s="102"/>
      <c r="O90" s="102"/>
      <c r="P90" s="22"/>
      <c r="Q90" s="7"/>
      <c r="R90" s="64"/>
      <c r="S90" s="5"/>
      <c r="T90" s="5"/>
      <c r="U90" s="5"/>
      <c r="V90" s="9"/>
      <c r="W90" s="9"/>
      <c r="X90" s="9"/>
    </row>
    <row r="91" spans="1:24" ht="26.25" customHeight="1">
      <c r="A91" s="23"/>
      <c r="B91" s="42"/>
      <c r="C91" s="11"/>
      <c r="D91" s="192"/>
      <c r="E91" s="202"/>
      <c r="F91" s="160"/>
      <c r="G91" s="27" t="s">
        <v>505</v>
      </c>
      <c r="H91" s="171" t="s">
        <v>472</v>
      </c>
      <c r="I91" s="43"/>
      <c r="J91" s="33"/>
      <c r="K91" s="4" t="s">
        <v>60</v>
      </c>
      <c r="L91" s="35" t="s">
        <v>53</v>
      </c>
      <c r="M91" s="102"/>
      <c r="N91" s="102"/>
      <c r="O91" s="102"/>
      <c r="P91" s="22"/>
      <c r="Q91" s="7"/>
      <c r="R91" s="64"/>
      <c r="S91" s="5"/>
      <c r="T91" s="5"/>
      <c r="U91" s="5"/>
      <c r="V91" s="9"/>
      <c r="W91" s="9"/>
      <c r="X91" s="9"/>
    </row>
    <row r="92" spans="1:24" ht="30" customHeight="1">
      <c r="A92" s="23"/>
      <c r="B92" s="42"/>
      <c r="C92" s="11"/>
      <c r="D92" s="192"/>
      <c r="E92" s="202"/>
      <c r="F92" s="160"/>
      <c r="G92" s="36" t="s">
        <v>507</v>
      </c>
      <c r="H92" s="157" t="s">
        <v>508</v>
      </c>
      <c r="I92" s="43"/>
      <c r="J92" s="33"/>
      <c r="K92" s="8" t="s">
        <v>65</v>
      </c>
      <c r="L92" s="35" t="s">
        <v>53</v>
      </c>
      <c r="M92" s="102"/>
      <c r="N92" s="102"/>
      <c r="O92" s="102"/>
      <c r="P92" s="22"/>
      <c r="Q92" s="7"/>
      <c r="R92" s="64"/>
      <c r="S92" s="5"/>
      <c r="T92" s="5"/>
      <c r="U92" s="5"/>
      <c r="V92" s="9"/>
      <c r="W92" s="9"/>
      <c r="X92" s="9"/>
    </row>
    <row r="93" spans="1:24" ht="30.75" customHeight="1">
      <c r="A93" s="23"/>
      <c r="B93" s="42"/>
      <c r="C93" s="11"/>
      <c r="D93" s="192"/>
      <c r="E93" s="202"/>
      <c r="F93" s="160"/>
      <c r="G93" s="36" t="s">
        <v>510</v>
      </c>
      <c r="H93" s="157" t="s">
        <v>508</v>
      </c>
      <c r="I93" s="43"/>
      <c r="J93" s="33"/>
      <c r="K93" s="8" t="s">
        <v>68</v>
      </c>
      <c r="L93" s="65" t="s">
        <v>53</v>
      </c>
      <c r="M93" s="102"/>
      <c r="N93" s="102"/>
      <c r="O93" s="102"/>
      <c r="P93" s="22"/>
      <c r="Q93" s="7"/>
      <c r="R93" s="64"/>
      <c r="S93" s="5"/>
      <c r="T93" s="5"/>
      <c r="U93" s="5"/>
      <c r="V93" s="9"/>
      <c r="W93" s="9"/>
      <c r="X93" s="9"/>
    </row>
    <row r="94" spans="1:24" ht="43.5">
      <c r="A94" s="23"/>
      <c r="B94" s="38"/>
      <c r="C94" s="37"/>
      <c r="D94" s="192"/>
      <c r="E94" s="202" t="s">
        <v>512</v>
      </c>
      <c r="F94" s="28"/>
      <c r="G94" s="41" t="s">
        <v>71</v>
      </c>
      <c r="H94" s="158" t="s">
        <v>488</v>
      </c>
      <c r="I94" s="33"/>
      <c r="J94" s="33"/>
      <c r="K94" s="10" t="s">
        <v>57</v>
      </c>
      <c r="L94" s="35" t="s">
        <v>53</v>
      </c>
      <c r="M94" s="102"/>
      <c r="N94" s="102"/>
      <c r="O94" s="102"/>
      <c r="P94" s="22"/>
      <c r="Q94" s="7"/>
      <c r="R94" s="64"/>
      <c r="S94" s="5"/>
      <c r="T94" s="5"/>
      <c r="U94" s="5"/>
      <c r="V94" s="9"/>
      <c r="W94" s="9"/>
      <c r="X94" s="9"/>
    </row>
    <row r="95" spans="1:24" ht="29.25">
      <c r="A95" s="23"/>
      <c r="B95" s="38"/>
      <c r="C95" s="37"/>
      <c r="D95" s="192"/>
      <c r="E95" s="202"/>
      <c r="F95" s="28"/>
      <c r="G95" s="27" t="s">
        <v>498</v>
      </c>
      <c r="H95" s="169" t="s">
        <v>472</v>
      </c>
      <c r="I95" s="33"/>
      <c r="J95" s="33"/>
      <c r="K95" s="4" t="s">
        <v>52</v>
      </c>
      <c r="L95" s="35" t="s">
        <v>53</v>
      </c>
      <c r="M95" s="102"/>
      <c r="N95" s="102"/>
      <c r="O95" s="102"/>
      <c r="P95" s="22"/>
      <c r="Q95" s="7"/>
      <c r="R95" s="64"/>
      <c r="S95" s="5"/>
      <c r="T95" s="5"/>
      <c r="U95" s="5"/>
      <c r="V95" s="9"/>
      <c r="W95" s="9"/>
      <c r="X95" s="9"/>
    </row>
    <row r="96" spans="1:24" ht="15.75">
      <c r="A96" s="23"/>
      <c r="B96" s="38"/>
      <c r="C96" s="12"/>
      <c r="D96" s="192"/>
      <c r="E96" s="202"/>
      <c r="F96" s="28"/>
      <c r="G96" t="s">
        <v>507</v>
      </c>
      <c r="H96" s="157" t="s">
        <v>508</v>
      </c>
      <c r="I96" s="33"/>
      <c r="J96" s="33"/>
      <c r="K96" s="8" t="s">
        <v>65</v>
      </c>
      <c r="L96" s="65" t="s">
        <v>53</v>
      </c>
      <c r="M96" s="102"/>
      <c r="N96" s="102"/>
      <c r="O96" s="102"/>
      <c r="P96" s="22"/>
      <c r="Q96" s="7"/>
      <c r="R96" s="64"/>
      <c r="S96" s="5"/>
      <c r="T96" s="5"/>
      <c r="U96" s="5"/>
      <c r="V96" s="9"/>
      <c r="W96" s="9"/>
      <c r="X96" s="9"/>
    </row>
    <row r="97" spans="1:24" ht="15.75">
      <c r="A97" s="23"/>
      <c r="B97" s="38"/>
      <c r="C97" s="12"/>
      <c r="D97" s="192"/>
      <c r="E97" s="202"/>
      <c r="F97" s="28"/>
      <c r="G97" s="18" t="s">
        <v>516</v>
      </c>
      <c r="H97" s="159" t="s">
        <v>488</v>
      </c>
      <c r="I97" s="33"/>
      <c r="J97" s="33"/>
      <c r="K97" s="8" t="s">
        <v>78</v>
      </c>
      <c r="L97" s="35" t="s">
        <v>53</v>
      </c>
      <c r="M97" s="102"/>
      <c r="N97" s="102"/>
      <c r="O97" s="102"/>
      <c r="P97" s="22"/>
      <c r="Q97" s="7"/>
      <c r="R97" s="64"/>
      <c r="S97" s="5"/>
      <c r="T97" s="5"/>
      <c r="U97" s="5"/>
      <c r="V97" s="9"/>
      <c r="W97" s="9"/>
      <c r="X97" s="9"/>
    </row>
    <row r="98" spans="1:24" ht="29.25">
      <c r="A98" s="23"/>
      <c r="B98" s="38"/>
      <c r="C98" s="12"/>
      <c r="D98" s="192"/>
      <c r="E98" s="191"/>
      <c r="F98" s="28"/>
      <c r="G98" s="46" t="s">
        <v>510</v>
      </c>
      <c r="H98" s="157" t="s">
        <v>508</v>
      </c>
      <c r="I98" s="15"/>
      <c r="J98" s="43"/>
      <c r="K98" s="8" t="s">
        <v>68</v>
      </c>
      <c r="L98" s="35" t="s">
        <v>53</v>
      </c>
      <c r="M98" s="102"/>
      <c r="N98" s="102"/>
      <c r="O98" s="102"/>
      <c r="P98" s="22"/>
      <c r="Q98" s="7"/>
      <c r="R98" s="64"/>
      <c r="S98" s="5"/>
      <c r="T98" s="5"/>
      <c r="U98" s="5"/>
      <c r="V98" s="9"/>
      <c r="W98" s="9"/>
      <c r="X98" s="9"/>
    </row>
    <row r="99" spans="1:24" ht="43.5">
      <c r="A99" s="23"/>
      <c r="B99" s="38"/>
      <c r="C99" s="12"/>
      <c r="D99" s="192"/>
      <c r="E99" s="202" t="s">
        <v>519</v>
      </c>
      <c r="F99" s="39"/>
      <c r="G99" s="47" t="s">
        <v>71</v>
      </c>
      <c r="H99" s="158" t="s">
        <v>488</v>
      </c>
      <c r="I99" s="15"/>
      <c r="J99" s="43"/>
      <c r="K99" s="10" t="s">
        <v>57</v>
      </c>
      <c r="L99" s="65" t="s">
        <v>53</v>
      </c>
      <c r="M99" s="102"/>
      <c r="N99" s="102"/>
      <c r="O99" s="102"/>
      <c r="P99" s="22"/>
      <c r="Q99" s="7"/>
      <c r="R99" s="64"/>
      <c r="S99" s="5"/>
      <c r="T99" s="5"/>
      <c r="U99" s="5"/>
      <c r="V99" s="9"/>
      <c r="W99" s="9"/>
      <c r="X99" s="9"/>
    </row>
    <row r="100" spans="1:24" ht="29.25">
      <c r="A100" s="23"/>
      <c r="B100" s="38"/>
      <c r="C100" s="12"/>
      <c r="D100" s="192"/>
      <c r="E100" s="202"/>
      <c r="F100" s="39"/>
      <c r="G100" s="27" t="s">
        <v>498</v>
      </c>
      <c r="H100" s="169" t="s">
        <v>472</v>
      </c>
      <c r="I100" s="33"/>
      <c r="J100" s="33"/>
      <c r="K100" s="4" t="s">
        <v>52</v>
      </c>
      <c r="L100" s="35" t="s">
        <v>53</v>
      </c>
      <c r="M100" s="102"/>
      <c r="N100" s="102"/>
      <c r="O100" s="102"/>
      <c r="P100" s="22"/>
      <c r="Q100" s="7"/>
      <c r="R100" s="64"/>
      <c r="S100" s="5"/>
      <c r="T100" s="5"/>
      <c r="U100" s="5"/>
      <c r="V100" s="9"/>
      <c r="W100" s="9"/>
      <c r="X100" s="9"/>
    </row>
    <row r="101" spans="1:24" ht="15.75">
      <c r="A101" s="23"/>
      <c r="B101" s="38"/>
      <c r="C101" s="12"/>
      <c r="D101" s="192"/>
      <c r="E101" s="202"/>
      <c r="F101" s="39"/>
      <c r="G101" s="21" t="s">
        <v>522</v>
      </c>
      <c r="H101" s="157" t="s">
        <v>508</v>
      </c>
      <c r="I101" s="33"/>
      <c r="J101" s="43"/>
      <c r="K101" s="8" t="s">
        <v>65</v>
      </c>
      <c r="L101" s="35" t="s">
        <v>53</v>
      </c>
      <c r="M101" s="102"/>
      <c r="N101" s="102"/>
      <c r="O101" s="102"/>
      <c r="P101" s="22"/>
      <c r="Q101" s="7"/>
      <c r="R101" s="64"/>
      <c r="S101" s="5"/>
      <c r="T101" s="5"/>
      <c r="U101" s="5"/>
      <c r="V101" s="9"/>
      <c r="W101" s="9"/>
      <c r="X101" s="9"/>
    </row>
    <row r="102" spans="1:24" ht="15.75">
      <c r="A102" s="23"/>
      <c r="B102" s="38"/>
      <c r="C102" s="12"/>
      <c r="D102" s="192"/>
      <c r="E102" s="202"/>
      <c r="F102" s="39"/>
      <c r="G102" s="45" t="s">
        <v>516</v>
      </c>
      <c r="H102" s="159" t="s">
        <v>488</v>
      </c>
      <c r="I102" s="33"/>
      <c r="J102" s="33"/>
      <c r="K102" s="8" t="s">
        <v>78</v>
      </c>
      <c r="L102" s="65" t="s">
        <v>53</v>
      </c>
      <c r="M102" s="102"/>
      <c r="N102" s="102"/>
      <c r="O102" s="102"/>
      <c r="P102" s="22"/>
      <c r="Q102" s="7"/>
      <c r="R102" s="64"/>
      <c r="S102" s="5"/>
      <c r="T102" s="5"/>
      <c r="U102" s="5"/>
      <c r="V102" s="9"/>
      <c r="W102" s="9"/>
      <c r="X102" s="9"/>
    </row>
    <row r="103" spans="1:24" ht="29.25">
      <c r="A103" s="23"/>
      <c r="B103" s="38"/>
      <c r="C103" s="12"/>
      <c r="D103" s="192"/>
      <c r="E103" s="202"/>
      <c r="F103" s="39"/>
      <c r="G103" s="18" t="s">
        <v>510</v>
      </c>
      <c r="H103" s="157" t="s">
        <v>508</v>
      </c>
      <c r="I103" s="33"/>
      <c r="J103" s="33"/>
      <c r="K103" s="30" t="s">
        <v>68</v>
      </c>
      <c r="L103" s="35" t="s">
        <v>53</v>
      </c>
      <c r="M103" s="102"/>
      <c r="N103" s="102"/>
      <c r="O103" s="102"/>
      <c r="P103" s="22"/>
      <c r="Q103" s="7"/>
      <c r="R103" s="64"/>
      <c r="S103" s="5"/>
      <c r="T103" s="5"/>
      <c r="U103" s="5"/>
      <c r="V103" s="9"/>
      <c r="W103" s="9"/>
      <c r="X103" s="9"/>
    </row>
    <row r="104" spans="1:24" ht="29.25">
      <c r="A104" s="23"/>
      <c r="B104" s="38"/>
      <c r="C104" s="25"/>
      <c r="D104" s="192"/>
      <c r="E104" s="191" t="s">
        <v>527</v>
      </c>
      <c r="F104" s="83"/>
      <c r="G104" s="39" t="s">
        <v>528</v>
      </c>
      <c r="H104" s="169" t="s">
        <v>472</v>
      </c>
      <c r="I104" s="33"/>
      <c r="J104" s="33"/>
      <c r="K104" s="68" t="s">
        <v>52</v>
      </c>
      <c r="L104" s="35" t="s">
        <v>53</v>
      </c>
      <c r="M104" s="102"/>
      <c r="N104" s="102"/>
      <c r="O104" s="102"/>
      <c r="P104" s="22"/>
      <c r="Q104" s="7"/>
      <c r="R104" s="64"/>
      <c r="S104" s="5"/>
      <c r="T104" s="5"/>
      <c r="U104" s="5"/>
      <c r="V104" s="9"/>
      <c r="W104" s="9"/>
      <c r="X104" s="9"/>
    </row>
    <row r="105" spans="1:24" ht="29.25">
      <c r="A105" s="23"/>
      <c r="B105" s="38"/>
      <c r="C105" s="25"/>
      <c r="D105" s="192"/>
      <c r="E105" s="192"/>
      <c r="F105" s="83"/>
      <c r="G105" s="39" t="s">
        <v>113</v>
      </c>
      <c r="H105" s="169" t="s">
        <v>472</v>
      </c>
      <c r="I105" s="33"/>
      <c r="J105" s="33"/>
      <c r="K105" s="4" t="s">
        <v>52</v>
      </c>
      <c r="L105" s="65" t="s">
        <v>53</v>
      </c>
      <c r="M105" s="102"/>
      <c r="N105" s="102"/>
      <c r="O105" s="102"/>
      <c r="P105" s="22"/>
      <c r="Q105" s="7"/>
      <c r="R105" s="64"/>
      <c r="S105" s="5"/>
      <c r="T105" s="5"/>
      <c r="U105" s="5"/>
      <c r="V105" s="9"/>
      <c r="W105" s="9"/>
      <c r="X105" s="9"/>
    </row>
    <row r="106" spans="1:24" ht="15.75">
      <c r="A106" s="23"/>
      <c r="B106" s="38"/>
      <c r="C106" s="25"/>
      <c r="D106" s="192"/>
      <c r="E106" s="192"/>
      <c r="F106" s="84"/>
      <c r="G106" s="20" t="s">
        <v>59</v>
      </c>
      <c r="H106" s="169" t="s">
        <v>472</v>
      </c>
      <c r="I106" s="33"/>
      <c r="J106" s="33"/>
      <c r="K106" s="4" t="s">
        <v>60</v>
      </c>
      <c r="L106" s="35" t="s">
        <v>53</v>
      </c>
      <c r="M106" s="102"/>
      <c r="N106" s="102"/>
      <c r="O106" s="102"/>
      <c r="P106" s="22"/>
      <c r="Q106" s="7"/>
      <c r="R106" s="64"/>
      <c r="S106" s="5"/>
      <c r="T106" s="5"/>
      <c r="U106" s="5"/>
      <c r="V106" s="9"/>
      <c r="W106" s="9"/>
      <c r="X106" s="9"/>
    </row>
    <row r="107" spans="1:24" ht="15.75">
      <c r="A107" s="23"/>
      <c r="B107" s="38"/>
      <c r="C107" s="25"/>
      <c r="D107" s="192"/>
      <c r="E107" s="192"/>
      <c r="F107" s="83"/>
      <c r="G107" s="39" t="s">
        <v>505</v>
      </c>
      <c r="H107" s="169" t="s">
        <v>472</v>
      </c>
      <c r="I107" s="33"/>
      <c r="J107" s="33"/>
      <c r="K107" s="4" t="s">
        <v>60</v>
      </c>
      <c r="L107" s="35" t="s">
        <v>53</v>
      </c>
      <c r="M107" s="102"/>
      <c r="N107" s="102"/>
      <c r="O107" s="102"/>
      <c r="P107" s="22"/>
      <c r="Q107" s="7"/>
      <c r="R107" s="64"/>
      <c r="S107" s="5"/>
      <c r="T107" s="5"/>
      <c r="U107" s="5"/>
      <c r="V107" s="9"/>
      <c r="W107" s="9"/>
      <c r="X107" s="9"/>
    </row>
    <row r="108" spans="1:24" ht="15.75">
      <c r="A108" s="23"/>
      <c r="B108" s="38"/>
      <c r="C108" s="25"/>
      <c r="D108" s="192"/>
      <c r="E108" s="192"/>
      <c r="F108" s="83"/>
      <c r="G108" s="39" t="s">
        <v>533</v>
      </c>
      <c r="H108" s="159" t="s">
        <v>488</v>
      </c>
      <c r="I108" s="33"/>
      <c r="J108" s="33"/>
      <c r="K108" s="8" t="s">
        <v>152</v>
      </c>
      <c r="L108" s="65" t="s">
        <v>53</v>
      </c>
      <c r="M108" s="102"/>
      <c r="N108" s="102"/>
      <c r="O108" s="102"/>
      <c r="P108" s="22"/>
      <c r="Q108" s="7"/>
      <c r="R108" s="64"/>
      <c r="S108" s="5"/>
      <c r="T108" s="5"/>
      <c r="U108" s="5"/>
      <c r="V108" s="9"/>
      <c r="W108" s="9"/>
      <c r="X108" s="9"/>
    </row>
    <row r="109" spans="1:24" ht="15.75">
      <c r="A109" s="23"/>
      <c r="B109" s="38"/>
      <c r="C109" s="25"/>
      <c r="D109" s="192"/>
      <c r="E109" s="193"/>
      <c r="F109" s="39"/>
      <c r="G109" s="39" t="s">
        <v>536</v>
      </c>
      <c r="H109" s="159" t="s">
        <v>488</v>
      </c>
      <c r="I109" s="33"/>
      <c r="J109" s="33"/>
      <c r="K109" s="8" t="s">
        <v>537</v>
      </c>
      <c r="L109" s="35" t="s">
        <v>53</v>
      </c>
      <c r="M109" s="102"/>
      <c r="N109" s="102"/>
      <c r="O109" s="102"/>
      <c r="P109" s="22"/>
      <c r="Q109" s="7"/>
      <c r="R109" s="64"/>
      <c r="S109" s="5"/>
      <c r="T109" s="5"/>
      <c r="U109" s="5"/>
      <c r="V109" s="9"/>
      <c r="W109" s="9"/>
      <c r="X109" s="9"/>
    </row>
    <row r="110" spans="1:24" ht="15.75">
      <c r="A110" s="23"/>
      <c r="B110" s="38"/>
      <c r="C110" s="25"/>
      <c r="D110" s="192"/>
      <c r="E110" s="192" t="s">
        <v>539</v>
      </c>
      <c r="F110" s="39"/>
      <c r="G110" s="160" t="s">
        <v>533</v>
      </c>
      <c r="H110" s="157" t="s">
        <v>488</v>
      </c>
      <c r="I110" s="43"/>
      <c r="J110" s="33"/>
      <c r="K110" s="8" t="s">
        <v>152</v>
      </c>
      <c r="L110" s="35" t="s">
        <v>53</v>
      </c>
      <c r="M110" s="102"/>
      <c r="N110" s="102"/>
      <c r="O110" s="102"/>
      <c r="P110" s="22"/>
      <c r="Q110" s="7"/>
      <c r="R110" s="64"/>
      <c r="S110" s="5"/>
      <c r="T110" s="5"/>
      <c r="U110" s="5"/>
      <c r="V110" s="9"/>
      <c r="W110" s="9"/>
      <c r="X110" s="9"/>
    </row>
    <row r="111" spans="1:24" ht="15.75">
      <c r="A111" s="23"/>
      <c r="B111" s="38"/>
      <c r="C111" s="25"/>
      <c r="D111" s="193"/>
      <c r="E111" s="193"/>
      <c r="F111" s="39"/>
      <c r="G111" s="160" t="s">
        <v>536</v>
      </c>
      <c r="H111" s="157" t="s">
        <v>488</v>
      </c>
      <c r="I111" s="43"/>
      <c r="J111" s="33"/>
      <c r="K111" s="8" t="s">
        <v>537</v>
      </c>
      <c r="L111" s="65" t="s">
        <v>53</v>
      </c>
      <c r="M111" s="102"/>
      <c r="N111" s="102"/>
      <c r="O111" s="102"/>
      <c r="P111" s="22"/>
      <c r="Q111" s="7"/>
      <c r="R111" s="64"/>
      <c r="S111" s="5"/>
      <c r="T111" s="5"/>
      <c r="U111" s="5"/>
      <c r="V111" s="9"/>
      <c r="W111" s="9"/>
      <c r="X111" s="9"/>
    </row>
    <row r="112" spans="1:24" ht="43.5">
      <c r="A112" s="23"/>
      <c r="B112" s="38"/>
      <c r="C112" s="25"/>
      <c r="D112" s="191" t="s">
        <v>543</v>
      </c>
      <c r="E112" s="202" t="s">
        <v>544</v>
      </c>
      <c r="F112" s="27"/>
      <c r="G112" s="47" t="s">
        <v>71</v>
      </c>
      <c r="H112" s="157" t="s">
        <v>488</v>
      </c>
      <c r="I112" s="43"/>
      <c r="J112" s="33"/>
      <c r="K112" s="10" t="s">
        <v>57</v>
      </c>
      <c r="L112" s="35" t="s">
        <v>53</v>
      </c>
      <c r="M112" s="102"/>
      <c r="N112" s="102"/>
      <c r="O112" s="102"/>
      <c r="P112" s="22"/>
      <c r="Q112" s="7"/>
      <c r="R112" s="64" t="s">
        <v>692</v>
      </c>
      <c r="S112" s="5"/>
      <c r="T112" s="5"/>
      <c r="U112" s="5"/>
      <c r="V112" s="9"/>
      <c r="W112" s="9"/>
      <c r="X112" s="9"/>
    </row>
    <row r="113" spans="1:138" ht="29.25">
      <c r="A113" s="23"/>
      <c r="B113" s="38"/>
      <c r="C113" s="25"/>
      <c r="D113" s="192"/>
      <c r="E113" s="202"/>
      <c r="F113" s="27"/>
      <c r="G113" s="112" t="s">
        <v>113</v>
      </c>
      <c r="H113" s="171" t="s">
        <v>472</v>
      </c>
      <c r="I113" s="43"/>
      <c r="J113" s="33"/>
      <c r="K113" s="4" t="s">
        <v>52</v>
      </c>
      <c r="L113" s="35" t="s">
        <v>53</v>
      </c>
      <c r="M113" s="102"/>
      <c r="N113" s="102"/>
      <c r="O113" s="102"/>
      <c r="P113" s="22"/>
      <c r="Q113" s="7"/>
      <c r="R113" s="64" t="s">
        <v>692</v>
      </c>
      <c r="S113" s="5"/>
      <c r="T113" s="5"/>
      <c r="U113" s="5"/>
      <c r="V113" s="9"/>
      <c r="W113" s="9"/>
      <c r="X113" s="9"/>
    </row>
    <row r="114" spans="1:138" ht="15.75">
      <c r="A114" s="23"/>
      <c r="B114" s="38"/>
      <c r="C114" s="25"/>
      <c r="D114" s="192"/>
      <c r="E114" s="202"/>
      <c r="F114" s="27"/>
      <c r="G114" s="161" t="s">
        <v>547</v>
      </c>
      <c r="H114" s="157" t="s">
        <v>488</v>
      </c>
      <c r="I114" s="85"/>
      <c r="J114" s="33"/>
      <c r="K114" s="8" t="s">
        <v>116</v>
      </c>
      <c r="L114" s="65" t="s">
        <v>53</v>
      </c>
      <c r="M114" s="102"/>
      <c r="N114" s="102"/>
      <c r="O114" s="102"/>
      <c r="P114" s="22"/>
      <c r="Q114" s="7"/>
      <c r="R114" s="64" t="s">
        <v>692</v>
      </c>
      <c r="S114" s="5"/>
      <c r="T114" s="5"/>
      <c r="U114" s="5"/>
      <c r="V114" s="9"/>
      <c r="W114" s="9"/>
      <c r="X114" s="9"/>
    </row>
    <row r="115" spans="1:138" ht="43.5">
      <c r="A115" s="23"/>
      <c r="B115" s="38"/>
      <c r="C115" s="25"/>
      <c r="D115" s="192"/>
      <c r="E115" s="202" t="s">
        <v>549</v>
      </c>
      <c r="F115" s="27"/>
      <c r="G115" s="47" t="s">
        <v>71</v>
      </c>
      <c r="H115" s="157" t="s">
        <v>488</v>
      </c>
      <c r="I115" s="86"/>
      <c r="J115" s="33"/>
      <c r="K115" s="10" t="s">
        <v>57</v>
      </c>
      <c r="L115" s="35" t="s">
        <v>53</v>
      </c>
      <c r="M115" s="102"/>
      <c r="N115" s="102"/>
      <c r="O115" s="102"/>
      <c r="P115" s="22"/>
      <c r="Q115" s="7"/>
      <c r="R115" s="64" t="s">
        <v>692</v>
      </c>
      <c r="S115" s="5"/>
      <c r="T115" s="5"/>
      <c r="U115" s="5"/>
      <c r="V115" s="9"/>
      <c r="W115" s="9"/>
      <c r="X115" s="9"/>
    </row>
    <row r="116" spans="1:138" ht="29.25">
      <c r="A116" s="23"/>
      <c r="B116" s="38"/>
      <c r="C116" s="25"/>
      <c r="D116" s="192"/>
      <c r="E116" s="202"/>
      <c r="F116" s="27"/>
      <c r="G116" s="112" t="s">
        <v>113</v>
      </c>
      <c r="H116" s="171" t="s">
        <v>472</v>
      </c>
      <c r="I116" s="86"/>
      <c r="J116" s="33"/>
      <c r="K116" s="4" t="s">
        <v>52</v>
      </c>
      <c r="L116" s="35" t="s">
        <v>53</v>
      </c>
      <c r="M116" s="102"/>
      <c r="N116" s="102"/>
      <c r="O116" s="102"/>
      <c r="P116" s="22"/>
      <c r="Q116" s="7"/>
      <c r="R116" s="64" t="s">
        <v>692</v>
      </c>
      <c r="S116" s="5"/>
      <c r="T116" s="5"/>
      <c r="U116" s="5"/>
      <c r="V116" s="9"/>
      <c r="W116" s="9"/>
      <c r="X116" s="9"/>
    </row>
    <row r="117" spans="1:138" ht="15.75">
      <c r="A117" s="23"/>
      <c r="B117" s="38"/>
      <c r="C117" s="25"/>
      <c r="D117" s="192"/>
      <c r="E117" s="202"/>
      <c r="F117" s="27"/>
      <c r="G117" s="161" t="s">
        <v>547</v>
      </c>
      <c r="H117" s="157" t="s">
        <v>488</v>
      </c>
      <c r="I117" s="86"/>
      <c r="J117" s="33"/>
      <c r="K117" s="8" t="s">
        <v>116</v>
      </c>
      <c r="L117" s="65" t="s">
        <v>53</v>
      </c>
      <c r="M117" s="102"/>
      <c r="N117" s="102"/>
      <c r="O117" s="102"/>
      <c r="P117" s="22"/>
      <c r="Q117" s="7"/>
      <c r="R117" s="64" t="s">
        <v>692</v>
      </c>
      <c r="S117" s="5"/>
      <c r="T117" s="5"/>
      <c r="U117" s="5"/>
      <c r="V117" s="9"/>
      <c r="W117" s="9"/>
      <c r="X117" s="9"/>
    </row>
    <row r="118" spans="1:138" ht="43.5">
      <c r="A118" s="23"/>
      <c r="B118" s="38"/>
      <c r="C118" s="25"/>
      <c r="D118" s="192"/>
      <c r="E118" s="202" t="s">
        <v>553</v>
      </c>
      <c r="F118" s="27"/>
      <c r="G118" s="47" t="s">
        <v>71</v>
      </c>
      <c r="H118" s="157" t="s">
        <v>488</v>
      </c>
      <c r="I118" s="86"/>
      <c r="J118" s="33"/>
      <c r="K118" s="10" t="s">
        <v>57</v>
      </c>
      <c r="L118" s="35" t="s">
        <v>53</v>
      </c>
      <c r="M118" s="102"/>
      <c r="N118" s="102"/>
      <c r="O118" s="102"/>
      <c r="P118" s="22"/>
      <c r="Q118" s="7"/>
      <c r="R118" s="64" t="s">
        <v>681</v>
      </c>
      <c r="S118" s="5"/>
      <c r="T118" s="5"/>
      <c r="U118" s="5"/>
      <c r="V118" s="9"/>
      <c r="W118" s="9"/>
      <c r="X118" s="9"/>
    </row>
    <row r="119" spans="1:138" ht="29.25">
      <c r="A119" s="23"/>
      <c r="B119" s="38"/>
      <c r="C119" s="25"/>
      <c r="D119" s="192"/>
      <c r="E119" s="202"/>
      <c r="F119" s="27"/>
      <c r="G119" s="112" t="s">
        <v>113</v>
      </c>
      <c r="H119" s="171" t="s">
        <v>472</v>
      </c>
      <c r="I119" s="86"/>
      <c r="J119" s="33"/>
      <c r="K119" s="4" t="s">
        <v>52</v>
      </c>
      <c r="L119" s="35" t="s">
        <v>53</v>
      </c>
      <c r="M119" s="102"/>
      <c r="N119" s="102"/>
      <c r="O119" s="102"/>
      <c r="P119" s="22"/>
      <c r="Q119" s="7"/>
      <c r="R119" s="64" t="s">
        <v>681</v>
      </c>
      <c r="S119" s="5"/>
      <c r="T119" s="5"/>
      <c r="U119" s="5"/>
      <c r="V119" s="9"/>
      <c r="W119" s="9"/>
      <c r="X119" s="9"/>
    </row>
    <row r="120" spans="1:138" ht="15.75">
      <c r="A120" s="23"/>
      <c r="B120" s="38"/>
      <c r="C120" s="25"/>
      <c r="D120" s="192"/>
      <c r="E120" s="202"/>
      <c r="F120" s="27"/>
      <c r="G120" s="161" t="s">
        <v>547</v>
      </c>
      <c r="H120" s="157" t="s">
        <v>488</v>
      </c>
      <c r="I120" s="86"/>
      <c r="J120" s="33"/>
      <c r="K120" s="30" t="s">
        <v>116</v>
      </c>
      <c r="L120" s="65" t="s">
        <v>53</v>
      </c>
      <c r="M120" s="102"/>
      <c r="N120" s="102"/>
      <c r="O120" s="102"/>
      <c r="P120" s="22"/>
      <c r="Q120" s="7"/>
      <c r="R120" s="64" t="s">
        <v>681</v>
      </c>
      <c r="S120" s="5"/>
      <c r="T120" s="5"/>
      <c r="U120" s="5"/>
      <c r="V120" s="9"/>
      <c r="W120" s="9"/>
      <c r="X120" s="9"/>
    </row>
    <row r="121" spans="1:138" ht="15.75">
      <c r="A121" s="23"/>
      <c r="B121" s="38"/>
      <c r="C121" s="25"/>
      <c r="D121" s="192"/>
      <c r="E121" s="191" t="s">
        <v>557</v>
      </c>
      <c r="F121" s="27"/>
      <c r="G121" s="47" t="s">
        <v>71</v>
      </c>
      <c r="H121" s="157" t="s">
        <v>488</v>
      </c>
      <c r="I121" s="86"/>
      <c r="J121" s="33"/>
      <c r="K121" s="8" t="s">
        <v>150</v>
      </c>
      <c r="L121" s="35" t="s">
        <v>53</v>
      </c>
      <c r="M121" s="102"/>
      <c r="N121" s="102"/>
      <c r="O121" s="102"/>
      <c r="P121" s="22"/>
      <c r="Q121" s="7"/>
      <c r="R121" s="64"/>
      <c r="S121" s="5"/>
      <c r="T121" s="5"/>
      <c r="U121" s="5"/>
      <c r="V121" s="9"/>
      <c r="W121" s="9"/>
      <c r="X121" s="9"/>
    </row>
    <row r="122" spans="1:138" ht="29.25">
      <c r="A122" s="23"/>
      <c r="B122" s="38"/>
      <c r="C122" s="25"/>
      <c r="D122" s="192"/>
      <c r="E122" s="192"/>
      <c r="F122" s="27"/>
      <c r="G122" s="112" t="s">
        <v>113</v>
      </c>
      <c r="H122" s="171" t="s">
        <v>472</v>
      </c>
      <c r="I122" s="86"/>
      <c r="J122" s="33"/>
      <c r="K122" s="8" t="s">
        <v>559</v>
      </c>
      <c r="L122" s="35" t="s">
        <v>53</v>
      </c>
      <c r="M122" s="102"/>
      <c r="N122" s="102"/>
      <c r="O122" s="102"/>
      <c r="P122" s="22"/>
      <c r="Q122" s="7"/>
      <c r="R122" s="64"/>
      <c r="S122" s="5"/>
      <c r="T122" s="5"/>
      <c r="U122" s="5"/>
      <c r="V122" s="9"/>
      <c r="W122" s="9"/>
      <c r="X122" s="9"/>
    </row>
    <row r="123" spans="1:138" ht="29.25">
      <c r="A123" s="23"/>
      <c r="B123" s="38"/>
      <c r="C123" s="25"/>
      <c r="D123" s="193"/>
      <c r="E123" s="193"/>
      <c r="F123" s="27"/>
      <c r="G123" s="161" t="s">
        <v>547</v>
      </c>
      <c r="H123" s="157" t="s">
        <v>488</v>
      </c>
      <c r="I123" s="86"/>
      <c r="J123" s="33"/>
      <c r="K123" s="8" t="s">
        <v>561</v>
      </c>
      <c r="L123" s="65" t="s">
        <v>53</v>
      </c>
      <c r="M123" s="102"/>
      <c r="N123" s="102"/>
      <c r="O123" s="102"/>
      <c r="P123" s="22"/>
      <c r="Q123" s="7"/>
      <c r="R123" s="64"/>
      <c r="S123" s="5"/>
      <c r="T123" s="5"/>
      <c r="U123" s="5"/>
      <c r="V123" s="9"/>
      <c r="W123" s="9"/>
      <c r="X123" s="9"/>
    </row>
    <row r="124" spans="1:138" ht="30" customHeight="1">
      <c r="A124" s="23"/>
      <c r="B124" s="38"/>
      <c r="C124" s="25"/>
      <c r="D124" s="202" t="s">
        <v>563</v>
      </c>
      <c r="E124" s="204" t="s">
        <v>564</v>
      </c>
      <c r="F124" s="44"/>
      <c r="G124" s="26" t="s">
        <v>113</v>
      </c>
      <c r="H124" s="174" t="s">
        <v>472</v>
      </c>
      <c r="I124" s="33"/>
      <c r="J124" s="33"/>
      <c r="K124" s="68" t="s">
        <v>52</v>
      </c>
      <c r="L124" s="35" t="s">
        <v>53</v>
      </c>
      <c r="M124" s="102"/>
      <c r="N124" s="102"/>
      <c r="O124" s="102"/>
      <c r="P124" s="22"/>
      <c r="Q124" s="7"/>
      <c r="R124" s="64"/>
      <c r="S124" s="5"/>
      <c r="T124" s="5"/>
      <c r="U124" s="5"/>
      <c r="V124" s="9"/>
      <c r="W124" s="9"/>
      <c r="X124" s="9"/>
    </row>
    <row r="125" spans="1:138" ht="30" customHeight="1">
      <c r="A125" s="154"/>
      <c r="B125" s="38"/>
      <c r="C125" s="25"/>
      <c r="D125" s="202"/>
      <c r="E125" s="205"/>
      <c r="F125" s="39"/>
      <c r="G125" s="32" t="s">
        <v>566</v>
      </c>
      <c r="H125" s="169" t="s">
        <v>472</v>
      </c>
      <c r="I125" s="18"/>
      <c r="J125" s="33"/>
      <c r="K125" s="8" t="s">
        <v>567</v>
      </c>
      <c r="L125" s="35" t="s">
        <v>53</v>
      </c>
      <c r="M125" s="106"/>
      <c r="N125" s="106"/>
      <c r="O125" s="106"/>
      <c r="P125" s="66"/>
      <c r="Q125" s="17"/>
      <c r="R125" s="95"/>
      <c r="S125" s="5"/>
      <c r="T125" s="5"/>
      <c r="U125" s="5"/>
      <c r="V125" s="9"/>
      <c r="W125" s="9"/>
      <c r="X125" s="9"/>
    </row>
    <row r="126" spans="1:138" s="21" customFormat="1" ht="15.75">
      <c r="A126" s="153"/>
      <c r="B126" s="69"/>
      <c r="C126" s="11"/>
      <c r="D126" s="202"/>
      <c r="E126" s="205"/>
      <c r="F126" s="39"/>
      <c r="G126" s="32" t="s">
        <v>569</v>
      </c>
      <c r="H126" s="170" t="s">
        <v>488</v>
      </c>
      <c r="I126" s="18"/>
      <c r="J126" s="33"/>
      <c r="K126" s="8" t="s">
        <v>570</v>
      </c>
      <c r="L126" s="65" t="s">
        <v>53</v>
      </c>
      <c r="M126" s="104"/>
      <c r="N126" s="104"/>
      <c r="O126" s="104"/>
      <c r="P126" s="16"/>
      <c r="Q126" s="16"/>
      <c r="R126" s="11"/>
      <c r="S126" s="5"/>
      <c r="T126" s="5"/>
      <c r="U126" s="5"/>
      <c r="V126" s="9"/>
      <c r="W126" s="9"/>
      <c r="X126" s="9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</row>
    <row r="127" spans="1:138" s="21" customFormat="1" ht="29.25">
      <c r="A127" s="153"/>
      <c r="B127" s="69"/>
      <c r="C127" s="11"/>
      <c r="D127" s="202"/>
      <c r="E127" s="205"/>
      <c r="F127" s="39"/>
      <c r="G127" s="32" t="s">
        <v>572</v>
      </c>
      <c r="H127" s="170" t="s">
        <v>508</v>
      </c>
      <c r="I127" s="18"/>
      <c r="J127" s="33"/>
      <c r="K127" s="8" t="s">
        <v>573</v>
      </c>
      <c r="L127" s="35" t="s">
        <v>53</v>
      </c>
      <c r="M127" s="104"/>
      <c r="N127" s="104"/>
      <c r="O127" s="104"/>
      <c r="P127" s="16"/>
      <c r="Q127" s="16"/>
      <c r="R127" s="11"/>
      <c r="S127" s="5"/>
      <c r="T127" s="5"/>
      <c r="U127" s="5"/>
      <c r="V127" s="9"/>
      <c r="W127" s="9"/>
      <c r="X127" s="9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</row>
    <row r="128" spans="1:138" s="21" customFormat="1" ht="29.25">
      <c r="A128" s="153"/>
      <c r="B128" s="69"/>
      <c r="C128" s="11"/>
      <c r="D128" s="202"/>
      <c r="E128" s="205" t="s">
        <v>575</v>
      </c>
      <c r="F128" s="39"/>
      <c r="G128" s="27" t="s">
        <v>113</v>
      </c>
      <c r="H128" s="169" t="s">
        <v>472</v>
      </c>
      <c r="I128" s="33"/>
      <c r="J128" s="33"/>
      <c r="K128" s="4" t="s">
        <v>52</v>
      </c>
      <c r="L128" s="35" t="s">
        <v>53</v>
      </c>
      <c r="M128" s="104"/>
      <c r="N128" s="104"/>
      <c r="O128" s="104"/>
      <c r="P128" s="16"/>
      <c r="Q128" s="16"/>
      <c r="R128" s="11"/>
      <c r="S128" s="5"/>
      <c r="T128" s="5"/>
      <c r="U128" s="5"/>
      <c r="V128" s="9"/>
      <c r="W128" s="9"/>
      <c r="X128" s="9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</row>
    <row r="129" spans="1:138" s="21" customFormat="1" ht="15.75">
      <c r="A129" s="153"/>
      <c r="B129" s="69"/>
      <c r="C129" s="11"/>
      <c r="D129" s="202"/>
      <c r="E129" s="205"/>
      <c r="F129" s="39"/>
      <c r="G129" s="32" t="s">
        <v>566</v>
      </c>
      <c r="H129" s="169" t="s">
        <v>472</v>
      </c>
      <c r="I129" s="18"/>
      <c r="J129" s="33"/>
      <c r="K129" s="8" t="s">
        <v>567</v>
      </c>
      <c r="L129" s="65" t="s">
        <v>53</v>
      </c>
      <c r="M129" s="104"/>
      <c r="N129" s="104"/>
      <c r="O129" s="104"/>
      <c r="P129" s="16"/>
      <c r="Q129" s="16"/>
      <c r="R129" s="11"/>
      <c r="S129" s="5"/>
      <c r="T129" s="5"/>
      <c r="U129" s="5"/>
      <c r="V129" s="9"/>
      <c r="W129" s="9"/>
      <c r="X129" s="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</row>
    <row r="130" spans="1:138" s="21" customFormat="1" ht="29.25">
      <c r="A130" s="153"/>
      <c r="B130" s="69"/>
      <c r="C130" s="11"/>
      <c r="D130" s="202"/>
      <c r="E130" s="205"/>
      <c r="F130" s="39"/>
      <c r="G130" s="32" t="s">
        <v>578</v>
      </c>
      <c r="H130" s="170" t="s">
        <v>488</v>
      </c>
      <c r="I130" s="18"/>
      <c r="J130" s="33"/>
      <c r="K130" s="8" t="s">
        <v>579</v>
      </c>
      <c r="L130" s="35" t="s">
        <v>53</v>
      </c>
      <c r="M130" s="104"/>
      <c r="N130" s="104"/>
      <c r="O130" s="104"/>
      <c r="P130" s="16"/>
      <c r="Q130" s="16"/>
      <c r="R130" s="11"/>
      <c r="S130" s="5"/>
      <c r="T130" s="5"/>
      <c r="U130" s="5"/>
      <c r="V130" s="9"/>
      <c r="W130" s="9"/>
      <c r="X130" s="9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</row>
    <row r="131" spans="1:138" s="21" customFormat="1" ht="15.75">
      <c r="A131" s="153"/>
      <c r="B131" s="69"/>
      <c r="C131" s="11"/>
      <c r="D131" s="202"/>
      <c r="E131" s="205" t="s">
        <v>581</v>
      </c>
      <c r="F131" s="39"/>
      <c r="G131" s="27" t="s">
        <v>113</v>
      </c>
      <c r="H131" s="169" t="s">
        <v>472</v>
      </c>
      <c r="I131" s="18"/>
      <c r="J131" s="33"/>
      <c r="K131" s="21" t="s">
        <v>150</v>
      </c>
      <c r="L131" s="35" t="s">
        <v>53</v>
      </c>
      <c r="M131" s="104"/>
      <c r="N131" s="104"/>
      <c r="O131" s="104"/>
      <c r="P131" s="16"/>
      <c r="Q131" s="16"/>
      <c r="R131" s="11"/>
      <c r="S131" s="5"/>
      <c r="T131" s="5"/>
      <c r="U131" s="5"/>
      <c r="V131" s="9"/>
      <c r="W131" s="9"/>
      <c r="X131" s="9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</row>
    <row r="132" spans="1:138" s="21" customFormat="1" ht="29.25">
      <c r="A132" s="153"/>
      <c r="B132" s="69"/>
      <c r="C132" s="11"/>
      <c r="D132" s="191"/>
      <c r="E132" s="206"/>
      <c r="F132" s="39"/>
      <c r="G132" s="32" t="s">
        <v>566</v>
      </c>
      <c r="H132" s="170" t="s">
        <v>488</v>
      </c>
      <c r="I132" s="18"/>
      <c r="J132" s="33"/>
      <c r="K132" s="8" t="s">
        <v>583</v>
      </c>
      <c r="L132" s="65" t="s">
        <v>53</v>
      </c>
      <c r="M132" s="104"/>
      <c r="N132" s="104"/>
      <c r="O132" s="104"/>
      <c r="P132" s="16"/>
      <c r="Q132" s="16"/>
      <c r="R132" s="11"/>
      <c r="S132" s="5"/>
      <c r="T132" s="5"/>
      <c r="U132" s="5"/>
      <c r="V132" s="9"/>
      <c r="W132" s="9"/>
      <c r="X132" s="9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</row>
    <row r="133" spans="1:138" s="21" customFormat="1" ht="15.75">
      <c r="A133" s="153"/>
      <c r="B133" s="69"/>
      <c r="C133" s="11"/>
      <c r="D133" s="203" t="s">
        <v>585</v>
      </c>
      <c r="E133" s="203" t="s">
        <v>586</v>
      </c>
      <c r="F133" s="27"/>
      <c r="G133" s="13" t="s">
        <v>587</v>
      </c>
      <c r="H133" s="169" t="s">
        <v>472</v>
      </c>
      <c r="I133" s="85"/>
      <c r="J133" s="33"/>
      <c r="K133" s="21" t="s">
        <v>150</v>
      </c>
      <c r="L133" s="35" t="s">
        <v>53</v>
      </c>
      <c r="M133" s="104"/>
      <c r="N133" s="104"/>
      <c r="O133" s="104"/>
      <c r="P133" s="16"/>
      <c r="Q133" s="16"/>
      <c r="R133" s="11"/>
      <c r="S133" s="5"/>
      <c r="T133" s="5"/>
      <c r="U133" s="5"/>
      <c r="V133" s="9"/>
      <c r="W133" s="9"/>
      <c r="X133" s="9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</row>
    <row r="134" spans="1:138" s="21" customFormat="1" ht="15.75">
      <c r="A134" s="153"/>
      <c r="B134" s="69"/>
      <c r="C134" s="11"/>
      <c r="D134" s="203"/>
      <c r="E134" s="203"/>
      <c r="F134" s="27"/>
      <c r="G134" s="13" t="s">
        <v>591</v>
      </c>
      <c r="H134" s="170" t="s">
        <v>488</v>
      </c>
      <c r="I134" s="85"/>
      <c r="J134" s="33"/>
      <c r="K134" s="21" t="s">
        <v>152</v>
      </c>
      <c r="L134" s="35" t="s">
        <v>53</v>
      </c>
      <c r="M134" s="104"/>
      <c r="N134" s="104"/>
      <c r="O134" s="104"/>
      <c r="P134" s="16"/>
      <c r="Q134" s="16"/>
      <c r="R134" s="11"/>
      <c r="S134" s="5"/>
      <c r="T134" s="5"/>
      <c r="U134" s="5"/>
      <c r="V134" s="9"/>
      <c r="W134" s="9"/>
      <c r="X134" s="9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</row>
    <row r="135" spans="1:138" s="21" customFormat="1" ht="15.75">
      <c r="A135" s="153"/>
      <c r="B135" s="69"/>
      <c r="C135" s="11"/>
      <c r="D135" s="203"/>
      <c r="E135" s="203"/>
      <c r="F135" s="27"/>
      <c r="G135" s="13" t="s">
        <v>594</v>
      </c>
      <c r="H135" s="170" t="s">
        <v>488</v>
      </c>
      <c r="I135" s="85"/>
      <c r="J135" s="33"/>
      <c r="K135" s="21" t="s">
        <v>155</v>
      </c>
      <c r="L135" s="65" t="s">
        <v>53</v>
      </c>
      <c r="M135" s="104"/>
      <c r="N135" s="104"/>
      <c r="O135" s="104"/>
      <c r="P135" s="16"/>
      <c r="Q135" s="16"/>
      <c r="R135" s="11"/>
      <c r="S135" s="5"/>
      <c r="T135" s="5"/>
      <c r="U135" s="5"/>
      <c r="V135" s="9"/>
      <c r="W135" s="9"/>
      <c r="X135" s="9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</row>
    <row r="136" spans="1:138" s="21" customFormat="1" ht="29.25">
      <c r="A136" s="153"/>
      <c r="B136" s="69"/>
      <c r="C136" s="11"/>
      <c r="D136" s="203"/>
      <c r="E136" s="203" t="s">
        <v>599</v>
      </c>
      <c r="F136" s="27"/>
      <c r="G136" s="13" t="s">
        <v>600</v>
      </c>
      <c r="H136" s="169" t="s">
        <v>472</v>
      </c>
      <c r="I136" s="85"/>
      <c r="J136" s="33"/>
      <c r="K136" s="21" t="s">
        <v>150</v>
      </c>
      <c r="L136" s="35" t="s">
        <v>53</v>
      </c>
      <c r="M136" s="104"/>
      <c r="N136" s="104"/>
      <c r="O136" s="104"/>
      <c r="P136" s="16"/>
      <c r="Q136" s="16"/>
      <c r="R136" s="11"/>
      <c r="S136" s="5"/>
      <c r="T136" s="5"/>
      <c r="U136" s="5"/>
      <c r="V136" s="9"/>
      <c r="W136" s="9"/>
      <c r="X136" s="9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</row>
    <row r="137" spans="1:138" s="21" customFormat="1" ht="15.75">
      <c r="A137" s="153"/>
      <c r="B137" s="69"/>
      <c r="C137" s="11"/>
      <c r="D137" s="203"/>
      <c r="E137" s="203"/>
      <c r="F137" s="27"/>
      <c r="G137" s="13" t="s">
        <v>591</v>
      </c>
      <c r="H137" s="170" t="s">
        <v>488</v>
      </c>
      <c r="I137" s="85"/>
      <c r="J137" s="33"/>
      <c r="K137" s="21" t="s">
        <v>152</v>
      </c>
      <c r="L137" s="35" t="s">
        <v>53</v>
      </c>
      <c r="M137" s="104"/>
      <c r="N137" s="104"/>
      <c r="O137" s="104"/>
      <c r="P137" s="16"/>
      <c r="Q137" s="16"/>
      <c r="R137" s="11"/>
      <c r="S137" s="5"/>
      <c r="T137" s="5"/>
      <c r="U137" s="5"/>
      <c r="V137" s="9"/>
      <c r="W137" s="9"/>
      <c r="X137" s="9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</row>
    <row r="138" spans="1:138" s="21" customFormat="1" ht="15.75">
      <c r="A138" s="153"/>
      <c r="B138" s="69"/>
      <c r="C138" s="11"/>
      <c r="D138" s="203"/>
      <c r="E138" s="203"/>
      <c r="F138" s="27"/>
      <c r="G138" s="13" t="s">
        <v>594</v>
      </c>
      <c r="H138" s="170" t="s">
        <v>488</v>
      </c>
      <c r="I138" s="85"/>
      <c r="J138" s="33"/>
      <c r="K138" s="21" t="s">
        <v>155</v>
      </c>
      <c r="L138" s="65" t="s">
        <v>53</v>
      </c>
      <c r="M138" s="104"/>
      <c r="N138" s="104"/>
      <c r="O138" s="104"/>
      <c r="P138" s="16"/>
      <c r="Q138" s="16"/>
      <c r="R138" s="11"/>
      <c r="S138" s="5"/>
      <c r="T138" s="5"/>
      <c r="U138" s="5"/>
      <c r="V138" s="9"/>
      <c r="W138" s="9"/>
      <c r="X138" s="9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</row>
    <row r="139" spans="1:138" s="21" customFormat="1" ht="15.75">
      <c r="A139" s="153"/>
      <c r="B139" s="69"/>
      <c r="C139" s="11"/>
      <c r="D139" s="203"/>
      <c r="E139" s="203" t="s">
        <v>607</v>
      </c>
      <c r="F139" s="27"/>
      <c r="G139" s="13" t="s">
        <v>608</v>
      </c>
      <c r="H139" s="169" t="s">
        <v>472</v>
      </c>
      <c r="I139" s="85"/>
      <c r="J139" s="33"/>
      <c r="K139" s="21" t="s">
        <v>150</v>
      </c>
      <c r="L139" s="35" t="s">
        <v>53</v>
      </c>
      <c r="M139" s="104"/>
      <c r="N139" s="104"/>
      <c r="O139" s="104"/>
      <c r="P139" s="16"/>
      <c r="Q139" s="16"/>
      <c r="R139" s="11"/>
      <c r="S139" s="5"/>
      <c r="T139" s="5"/>
      <c r="U139" s="5"/>
      <c r="V139" s="9"/>
      <c r="W139" s="9"/>
      <c r="X139" s="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</row>
    <row r="140" spans="1:138" s="21" customFormat="1" ht="15.75">
      <c r="A140" s="153"/>
      <c r="B140" s="69"/>
      <c r="C140" s="11"/>
      <c r="D140" s="203"/>
      <c r="E140" s="203"/>
      <c r="F140" s="27"/>
      <c r="G140" s="13" t="s">
        <v>591</v>
      </c>
      <c r="H140" s="170" t="s">
        <v>488</v>
      </c>
      <c r="I140" s="85"/>
      <c r="J140" s="33"/>
      <c r="K140" s="21" t="s">
        <v>152</v>
      </c>
      <c r="L140" s="35" t="s">
        <v>53</v>
      </c>
      <c r="M140" s="104"/>
      <c r="N140" s="104"/>
      <c r="O140" s="104"/>
      <c r="P140" s="16"/>
      <c r="Q140" s="16"/>
      <c r="R140" s="11"/>
      <c r="S140" s="5"/>
      <c r="T140" s="5"/>
      <c r="U140" s="5"/>
      <c r="V140" s="9"/>
      <c r="W140" s="9"/>
      <c r="X140" s="9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</row>
    <row r="141" spans="1:138" s="21" customFormat="1" ht="15.75">
      <c r="A141" s="153"/>
      <c r="B141" s="69"/>
      <c r="C141" s="11"/>
      <c r="D141" s="203"/>
      <c r="E141" s="203"/>
      <c r="F141" s="27"/>
      <c r="G141" s="13" t="s">
        <v>594</v>
      </c>
      <c r="H141" s="170" t="s">
        <v>488</v>
      </c>
      <c r="I141" s="85"/>
      <c r="J141" s="33"/>
      <c r="K141" s="21" t="s">
        <v>155</v>
      </c>
      <c r="L141" s="65" t="s">
        <v>53</v>
      </c>
      <c r="M141" s="104"/>
      <c r="N141" s="104"/>
      <c r="O141" s="104"/>
      <c r="P141" s="16"/>
      <c r="Q141" s="16"/>
      <c r="R141" s="11"/>
      <c r="S141" s="5"/>
      <c r="T141" s="5"/>
      <c r="U141" s="5"/>
      <c r="V141" s="9"/>
      <c r="W141" s="9"/>
      <c r="X141" s="9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</row>
    <row r="142" spans="1:138" s="21" customFormat="1" ht="15.75">
      <c r="A142" s="153"/>
      <c r="B142" s="69"/>
      <c r="C142" s="11"/>
      <c r="D142" s="203" t="s">
        <v>615</v>
      </c>
      <c r="E142" s="203" t="s">
        <v>616</v>
      </c>
      <c r="F142" s="27"/>
      <c r="G142" s="13" t="s">
        <v>617</v>
      </c>
      <c r="H142" s="169" t="s">
        <v>472</v>
      </c>
      <c r="I142" s="85"/>
      <c r="J142" s="33"/>
      <c r="K142" s="21" t="s">
        <v>150</v>
      </c>
      <c r="L142" s="35" t="s">
        <v>53</v>
      </c>
      <c r="M142" s="104"/>
      <c r="N142" s="104"/>
      <c r="O142" s="104"/>
      <c r="P142" s="16"/>
      <c r="Q142" s="16"/>
      <c r="R142" s="11"/>
      <c r="S142" s="5"/>
      <c r="T142" s="5"/>
      <c r="U142" s="5"/>
      <c r="V142" s="9"/>
      <c r="W142" s="9"/>
      <c r="X142" s="9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</row>
    <row r="143" spans="1:138" s="21" customFormat="1" ht="15.75">
      <c r="A143" s="153"/>
      <c r="B143" s="69"/>
      <c r="C143" s="11"/>
      <c r="D143" s="203"/>
      <c r="E143" s="203"/>
      <c r="F143" s="27"/>
      <c r="G143" s="13" t="s">
        <v>620</v>
      </c>
      <c r="H143" s="170" t="s">
        <v>488</v>
      </c>
      <c r="I143" s="85"/>
      <c r="J143" s="33"/>
      <c r="K143" s="21" t="s">
        <v>152</v>
      </c>
      <c r="L143" s="35" t="s">
        <v>53</v>
      </c>
      <c r="M143" s="104"/>
      <c r="N143" s="104"/>
      <c r="O143" s="104"/>
      <c r="P143" s="16"/>
      <c r="Q143" s="16"/>
      <c r="R143" s="11"/>
      <c r="S143" s="5"/>
      <c r="T143" s="5"/>
      <c r="U143" s="5"/>
      <c r="V143" s="9"/>
      <c r="W143" s="9"/>
      <c r="X143" s="9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</row>
    <row r="144" spans="1:138" ht="15.75" customHeight="1">
      <c r="A144" s="162"/>
      <c r="B144" s="163"/>
      <c r="C144" s="164"/>
      <c r="D144" s="203"/>
      <c r="E144" s="203"/>
      <c r="F144" s="27"/>
      <c r="G144" s="13" t="s">
        <v>623</v>
      </c>
      <c r="H144" s="170" t="s">
        <v>488</v>
      </c>
      <c r="I144" s="85"/>
      <c r="J144" s="33"/>
      <c r="K144" s="21" t="s">
        <v>155</v>
      </c>
      <c r="L144" s="65" t="s">
        <v>53</v>
      </c>
      <c r="M144" s="165"/>
      <c r="N144" s="165"/>
      <c r="O144" s="165"/>
      <c r="P144" s="166"/>
      <c r="Q144" s="167"/>
      <c r="R144" s="168"/>
      <c r="S144" s="5"/>
      <c r="T144" s="5"/>
      <c r="U144" s="5"/>
      <c r="V144" s="9"/>
      <c r="W144" s="9"/>
      <c r="X144" s="9"/>
    </row>
    <row r="145" spans="1:24" ht="15.75">
      <c r="A145" s="23"/>
      <c r="B145" s="69"/>
      <c r="C145" s="11"/>
      <c r="D145" s="203"/>
      <c r="E145" s="203" t="s">
        <v>626</v>
      </c>
      <c r="F145" s="27"/>
      <c r="G145" s="13" t="s">
        <v>627</v>
      </c>
      <c r="H145" s="169" t="s">
        <v>472</v>
      </c>
      <c r="I145" s="85"/>
      <c r="J145" s="33"/>
      <c r="K145" s="21" t="s">
        <v>150</v>
      </c>
      <c r="L145" s="35" t="s">
        <v>53</v>
      </c>
      <c r="M145" s="102"/>
      <c r="N145" s="102"/>
      <c r="O145" s="102"/>
      <c r="P145" s="22"/>
      <c r="Q145" s="7"/>
      <c r="R145" s="64"/>
      <c r="S145" s="5"/>
      <c r="T145" s="5"/>
      <c r="U145" s="5"/>
      <c r="V145" s="9"/>
      <c r="W145" s="9"/>
      <c r="X145" s="9"/>
    </row>
    <row r="146" spans="1:24" ht="15.75">
      <c r="A146" s="23"/>
      <c r="B146" s="69"/>
      <c r="C146" s="11"/>
      <c r="D146" s="203"/>
      <c r="E146" s="203"/>
      <c r="F146" s="27"/>
      <c r="G146" s="13" t="s">
        <v>630</v>
      </c>
      <c r="H146" s="170" t="s">
        <v>488</v>
      </c>
      <c r="I146" s="85"/>
      <c r="J146" s="33"/>
      <c r="K146" s="21" t="s">
        <v>152</v>
      </c>
      <c r="L146" s="35" t="s">
        <v>53</v>
      </c>
      <c r="M146" s="102"/>
      <c r="N146" s="102"/>
      <c r="O146" s="102"/>
      <c r="P146" s="22"/>
      <c r="Q146" s="7"/>
      <c r="R146" s="64"/>
      <c r="S146" s="5"/>
      <c r="T146" s="5"/>
      <c r="U146" s="5"/>
      <c r="V146" s="9"/>
      <c r="W146" s="9"/>
      <c r="X146" s="9"/>
    </row>
    <row r="147" spans="1:24" ht="29.25" customHeight="1">
      <c r="A147" s="23"/>
      <c r="B147" s="69"/>
      <c r="C147" s="11"/>
      <c r="D147" s="203"/>
      <c r="E147" s="203"/>
      <c r="F147" s="27"/>
      <c r="G147" s="13" t="s">
        <v>633</v>
      </c>
      <c r="H147" s="170" t="s">
        <v>488</v>
      </c>
      <c r="I147" s="85"/>
      <c r="J147" s="33"/>
      <c r="K147" s="21" t="s">
        <v>155</v>
      </c>
      <c r="L147" s="65" t="s">
        <v>53</v>
      </c>
      <c r="M147" s="102"/>
      <c r="N147" s="102"/>
      <c r="O147" s="102"/>
      <c r="P147" s="22"/>
      <c r="Q147" s="7"/>
      <c r="R147" s="64"/>
      <c r="S147" s="5"/>
      <c r="T147" s="5"/>
      <c r="U147" s="5"/>
      <c r="V147" s="9"/>
      <c r="W147" s="9"/>
      <c r="X147" s="9"/>
    </row>
    <row r="148" spans="1:24" ht="15.75">
      <c r="A148" s="23"/>
      <c r="B148" s="69"/>
      <c r="C148" s="11"/>
      <c r="D148" s="203"/>
      <c r="E148" s="203" t="s">
        <v>636</v>
      </c>
      <c r="F148" s="27"/>
      <c r="G148" s="13" t="s">
        <v>637</v>
      </c>
      <c r="H148" s="169" t="s">
        <v>472</v>
      </c>
      <c r="I148" s="85"/>
      <c r="J148" s="33"/>
      <c r="K148" s="21" t="s">
        <v>150</v>
      </c>
      <c r="L148" s="35" t="s">
        <v>53</v>
      </c>
      <c r="M148" s="102"/>
      <c r="N148" s="102"/>
      <c r="O148" s="102"/>
      <c r="P148" s="22"/>
      <c r="Q148" s="7"/>
      <c r="R148" s="64"/>
      <c r="S148" s="5"/>
      <c r="T148" s="5"/>
      <c r="U148" s="5"/>
      <c r="V148" s="9"/>
      <c r="W148" s="9"/>
      <c r="X148" s="9"/>
    </row>
    <row r="149" spans="1:24" ht="15.75">
      <c r="A149" s="23"/>
      <c r="B149" s="69"/>
      <c r="C149" s="11"/>
      <c r="D149" s="203"/>
      <c r="E149" s="203"/>
      <c r="F149" s="27"/>
      <c r="G149" s="13" t="s">
        <v>641</v>
      </c>
      <c r="H149" s="170" t="s">
        <v>488</v>
      </c>
      <c r="I149" s="85"/>
      <c r="J149" s="33"/>
      <c r="K149" s="21" t="s">
        <v>152</v>
      </c>
      <c r="L149" s="35" t="s">
        <v>53</v>
      </c>
      <c r="M149" s="102"/>
      <c r="N149" s="102"/>
      <c r="O149" s="102"/>
      <c r="P149" s="22"/>
      <c r="Q149" s="7"/>
      <c r="R149" s="64"/>
      <c r="S149" s="5"/>
      <c r="T149" s="5"/>
      <c r="U149" s="5"/>
      <c r="V149" s="9"/>
      <c r="W149" s="9"/>
      <c r="X149" s="9"/>
    </row>
    <row r="150" spans="1:24" ht="15.75" customHeight="1">
      <c r="A150" s="23"/>
      <c r="B150" s="69"/>
      <c r="C150" s="11"/>
      <c r="D150" s="203"/>
      <c r="E150" s="203"/>
      <c r="F150" s="27"/>
      <c r="G150" s="13" t="s">
        <v>644</v>
      </c>
      <c r="H150" s="170" t="s">
        <v>488</v>
      </c>
      <c r="I150" s="85"/>
      <c r="J150" s="33"/>
      <c r="K150" s="21" t="s">
        <v>155</v>
      </c>
      <c r="L150" s="65" t="s">
        <v>53</v>
      </c>
      <c r="M150" s="102"/>
      <c r="N150" s="102"/>
      <c r="O150" s="102"/>
      <c r="P150" s="22"/>
      <c r="Q150" s="7"/>
      <c r="R150" s="64"/>
      <c r="S150" s="5"/>
      <c r="T150" s="5"/>
      <c r="U150" s="5"/>
      <c r="V150" s="9"/>
      <c r="W150" s="9"/>
      <c r="X150" s="9"/>
    </row>
    <row r="151" spans="1:24" ht="29.25">
      <c r="A151" s="23"/>
      <c r="B151" s="69"/>
      <c r="C151" s="11"/>
      <c r="D151" s="203"/>
      <c r="E151" s="203" t="s">
        <v>647</v>
      </c>
      <c r="F151" s="27"/>
      <c r="G151" s="13" t="s">
        <v>648</v>
      </c>
      <c r="H151" s="169" t="s">
        <v>472</v>
      </c>
      <c r="I151" s="85"/>
      <c r="J151" s="33"/>
      <c r="K151" s="21" t="s">
        <v>150</v>
      </c>
      <c r="L151" s="35" t="s">
        <v>53</v>
      </c>
      <c r="M151" s="102"/>
      <c r="N151" s="102"/>
      <c r="O151" s="102"/>
      <c r="P151" s="22"/>
      <c r="Q151" s="7"/>
      <c r="R151" s="64"/>
      <c r="S151" s="5"/>
      <c r="T151" s="5"/>
      <c r="U151" s="5"/>
      <c r="V151" s="9"/>
      <c r="W151" s="9"/>
      <c r="X151" s="9"/>
    </row>
    <row r="152" spans="1:24" ht="15.75">
      <c r="A152" s="23"/>
      <c r="B152" s="69"/>
      <c r="C152" s="11"/>
      <c r="D152" s="203"/>
      <c r="E152" s="203"/>
      <c r="F152" s="27"/>
      <c r="G152" s="13" t="s">
        <v>651</v>
      </c>
      <c r="H152" s="170" t="s">
        <v>488</v>
      </c>
      <c r="I152" s="85"/>
      <c r="J152" s="33"/>
      <c r="K152" s="21" t="s">
        <v>152</v>
      </c>
      <c r="L152" s="35" t="s">
        <v>53</v>
      </c>
      <c r="M152" s="102"/>
      <c r="N152" s="102"/>
      <c r="O152" s="102"/>
      <c r="P152" s="22"/>
      <c r="Q152" s="7"/>
      <c r="R152" s="64"/>
      <c r="S152" s="5"/>
      <c r="T152" s="5"/>
      <c r="U152" s="5"/>
      <c r="V152" s="9"/>
      <c r="W152" s="9"/>
      <c r="X152" s="9"/>
    </row>
    <row r="153" spans="1:24" ht="15.75" customHeight="1">
      <c r="A153" s="23"/>
      <c r="B153" s="69"/>
      <c r="C153" s="11"/>
      <c r="D153" s="203"/>
      <c r="E153" s="203"/>
      <c r="F153" s="27"/>
      <c r="G153" s="13" t="s">
        <v>654</v>
      </c>
      <c r="H153" s="170" t="s">
        <v>488</v>
      </c>
      <c r="I153" s="85"/>
      <c r="J153" s="33"/>
      <c r="K153" s="21" t="s">
        <v>155</v>
      </c>
      <c r="L153" s="65" t="s">
        <v>53</v>
      </c>
      <c r="M153" s="102"/>
      <c r="N153" s="102"/>
      <c r="O153" s="102"/>
      <c r="P153" s="22"/>
      <c r="Q153" s="7"/>
      <c r="R153" s="64"/>
      <c r="S153" s="5"/>
      <c r="T153" s="5"/>
      <c r="U153" s="5"/>
      <c r="V153" s="9"/>
      <c r="W153" s="9"/>
      <c r="X153" s="9"/>
    </row>
    <row r="154" spans="1:24" ht="29.25">
      <c r="A154" s="23"/>
      <c r="B154" s="69"/>
      <c r="C154" s="11"/>
      <c r="D154" s="203"/>
      <c r="E154" s="203" t="s">
        <v>658</v>
      </c>
      <c r="F154" s="27"/>
      <c r="G154" s="13" t="s">
        <v>659</v>
      </c>
      <c r="H154" s="169" t="s">
        <v>472</v>
      </c>
      <c r="I154" s="85"/>
      <c r="J154" s="33"/>
      <c r="K154" s="21" t="s">
        <v>150</v>
      </c>
      <c r="L154" s="35" t="s">
        <v>53</v>
      </c>
      <c r="M154" s="102"/>
      <c r="N154" s="102"/>
      <c r="O154" s="102"/>
      <c r="P154" s="22"/>
      <c r="Q154" s="7"/>
      <c r="R154" s="64"/>
      <c r="S154" s="5"/>
      <c r="T154" s="5"/>
      <c r="U154" s="5"/>
      <c r="V154" s="9"/>
      <c r="W154" s="9"/>
      <c r="X154" s="9"/>
    </row>
    <row r="155" spans="1:24" ht="43.5">
      <c r="A155" s="23"/>
      <c r="B155" s="69"/>
      <c r="C155" s="11"/>
      <c r="D155" s="203"/>
      <c r="E155" s="203"/>
      <c r="F155" s="27"/>
      <c r="G155" s="13" t="s">
        <v>662</v>
      </c>
      <c r="H155" s="170" t="s">
        <v>488</v>
      </c>
      <c r="I155" s="85"/>
      <c r="J155" s="33"/>
      <c r="K155" s="21" t="s">
        <v>152</v>
      </c>
      <c r="L155" s="35" t="s">
        <v>53</v>
      </c>
      <c r="M155" s="102"/>
      <c r="N155" s="102"/>
      <c r="O155" s="102"/>
      <c r="P155" s="22"/>
      <c r="Q155" s="7"/>
      <c r="R155" s="64"/>
      <c r="S155" s="5"/>
      <c r="T155" s="5"/>
      <c r="U155" s="5"/>
      <c r="V155" s="9"/>
      <c r="W155" s="9"/>
      <c r="X155" s="9"/>
    </row>
    <row r="156" spans="1:24" ht="15.75" customHeight="1">
      <c r="A156" s="23"/>
      <c r="B156" s="69"/>
      <c r="C156" s="11"/>
      <c r="D156" s="203"/>
      <c r="E156" s="203"/>
      <c r="F156" s="27"/>
      <c r="G156" s="13" t="s">
        <v>666</v>
      </c>
      <c r="H156" s="170" t="s">
        <v>488</v>
      </c>
      <c r="I156" s="85"/>
      <c r="J156" s="33"/>
      <c r="K156" s="21" t="s">
        <v>155</v>
      </c>
      <c r="L156" s="65" t="s">
        <v>53</v>
      </c>
      <c r="M156" s="102"/>
      <c r="N156" s="102"/>
      <c r="O156" s="102"/>
      <c r="P156" s="22"/>
      <c r="Q156" s="7"/>
      <c r="R156" s="64"/>
      <c r="S156" s="5"/>
      <c r="T156" s="5"/>
      <c r="U156" s="5"/>
      <c r="V156" s="9"/>
      <c r="W156" s="9"/>
      <c r="X156" s="9"/>
    </row>
    <row r="157" spans="1:24" ht="15.75">
      <c r="A157" s="23"/>
      <c r="B157" s="69"/>
      <c r="C157" s="11"/>
      <c r="D157" s="203"/>
      <c r="E157" s="203" t="s">
        <v>670</v>
      </c>
      <c r="F157" s="27"/>
      <c r="G157" s="13" t="s">
        <v>671</v>
      </c>
      <c r="H157" s="169" t="s">
        <v>472</v>
      </c>
      <c r="I157" s="85"/>
      <c r="J157" s="33"/>
      <c r="K157" s="21" t="s">
        <v>150</v>
      </c>
      <c r="L157" s="35" t="s">
        <v>53</v>
      </c>
      <c r="M157" s="102"/>
      <c r="N157" s="102"/>
      <c r="O157" s="102"/>
      <c r="P157" s="22"/>
      <c r="Q157" s="7"/>
      <c r="R157" s="64"/>
      <c r="S157" s="5"/>
      <c r="T157" s="5"/>
      <c r="U157" s="5"/>
      <c r="V157" s="9"/>
      <c r="W157" s="9"/>
      <c r="X157" s="9"/>
    </row>
    <row r="158" spans="1:24" ht="15.75">
      <c r="A158" s="23"/>
      <c r="B158" s="69"/>
      <c r="C158" s="11"/>
      <c r="D158" s="203"/>
      <c r="E158" s="203"/>
      <c r="F158" s="27"/>
      <c r="G158" s="13" t="s">
        <v>675</v>
      </c>
      <c r="H158" s="170" t="s">
        <v>488</v>
      </c>
      <c r="I158" s="85"/>
      <c r="J158" s="33"/>
      <c r="K158" s="21" t="s">
        <v>152</v>
      </c>
      <c r="L158" s="35" t="s">
        <v>53</v>
      </c>
      <c r="M158" s="102"/>
      <c r="N158" s="102"/>
      <c r="O158" s="102"/>
      <c r="P158" s="22"/>
      <c r="Q158" s="7"/>
      <c r="R158" s="64"/>
      <c r="S158" s="5"/>
      <c r="T158" s="5"/>
      <c r="U158" s="5"/>
      <c r="V158" s="9"/>
      <c r="W158" s="9"/>
      <c r="X158" s="9"/>
    </row>
    <row r="159" spans="1:24" ht="15.75" customHeight="1">
      <c r="A159" s="23"/>
      <c r="B159" s="69"/>
      <c r="C159" s="11"/>
      <c r="D159" s="203"/>
      <c r="E159" s="203"/>
      <c r="F159" s="27"/>
      <c r="G159" s="13" t="s">
        <v>678</v>
      </c>
      <c r="H159" s="170" t="s">
        <v>488</v>
      </c>
      <c r="I159" s="85"/>
      <c r="J159" s="33"/>
      <c r="K159" s="21" t="s">
        <v>155</v>
      </c>
      <c r="L159" s="65" t="s">
        <v>53</v>
      </c>
      <c r="M159" s="102"/>
      <c r="N159" s="102"/>
      <c r="O159" s="102"/>
      <c r="P159" s="22"/>
      <c r="Q159" s="7"/>
      <c r="R159" s="64"/>
      <c r="S159" s="5"/>
      <c r="T159" s="5"/>
      <c r="U159" s="5"/>
      <c r="V159" s="9"/>
      <c r="W159" s="9"/>
      <c r="X159" s="9"/>
    </row>
    <row r="160" spans="1:24" ht="15" customHeight="1">
      <c r="A160" s="199" t="s">
        <v>287</v>
      </c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1"/>
      <c r="S160" s="93">
        <f>COUNTIF($O161:O238,"PASS")</f>
        <v>0</v>
      </c>
      <c r="T160" s="93">
        <f>COUNTIF($O161:O238,"FAIL")</f>
        <v>0</v>
      </c>
      <c r="U160" s="93">
        <f>COUNTBLANK(O161:O238)</f>
        <v>78</v>
      </c>
      <c r="V160" s="93">
        <f>COUNTIF($O161:O238,"IN PROGRESS")</f>
        <v>0</v>
      </c>
      <c r="W160" s="93">
        <f>COUNTIF($O161:O238,"BLOCKED")</f>
        <v>0</v>
      </c>
    </row>
    <row r="161" spans="1:23" s="181" customFormat="1" ht="15" customHeight="1">
      <c r="A161" s="179"/>
      <c r="B161" s="187"/>
      <c r="C161" s="187"/>
      <c r="D161" s="176" t="s">
        <v>468</v>
      </c>
      <c r="E161" s="176" t="s">
        <v>469</v>
      </c>
      <c r="F161" s="197" t="s">
        <v>470</v>
      </c>
      <c r="G161" s="31" t="s">
        <v>471</v>
      </c>
      <c r="H161" s="169" t="s">
        <v>472</v>
      </c>
      <c r="I161" s="14" t="s">
        <v>473</v>
      </c>
      <c r="J161" s="15"/>
      <c r="K161" s="8" t="s">
        <v>474</v>
      </c>
      <c r="L161" s="187"/>
      <c r="M161" s="187"/>
      <c r="N161" s="35" t="s">
        <v>53</v>
      </c>
      <c r="O161" s="179"/>
      <c r="P161" s="179"/>
      <c r="Q161" s="179"/>
      <c r="R161" s="179"/>
      <c r="S161" s="180"/>
      <c r="T161" s="180"/>
      <c r="U161" s="180"/>
      <c r="V161" s="180"/>
      <c r="W161" s="180"/>
    </row>
    <row r="162" spans="1:23" s="184" customFormat="1" ht="15" customHeight="1">
      <c r="A162" s="185"/>
      <c r="B162" s="179"/>
      <c r="C162" s="179"/>
      <c r="D162" s="177"/>
      <c r="E162" s="177"/>
      <c r="F162" s="198"/>
      <c r="G162" s="31" t="s">
        <v>477</v>
      </c>
      <c r="H162" s="169" t="s">
        <v>472</v>
      </c>
      <c r="I162" s="16" t="s">
        <v>478</v>
      </c>
      <c r="J162" s="15"/>
      <c r="K162" s="8" t="s">
        <v>479</v>
      </c>
      <c r="L162" s="179"/>
      <c r="M162" s="179"/>
      <c r="N162" s="35" t="s">
        <v>53</v>
      </c>
      <c r="O162" s="186"/>
      <c r="P162" s="182"/>
      <c r="Q162" s="182"/>
      <c r="R162" s="182"/>
      <c r="S162" s="183"/>
      <c r="T162" s="183"/>
      <c r="U162" s="183"/>
      <c r="V162" s="183"/>
      <c r="W162" s="183"/>
    </row>
    <row r="163" spans="1:23" s="184" customFormat="1" ht="15" customHeight="1">
      <c r="A163" s="185"/>
      <c r="B163" s="179"/>
      <c r="C163" s="179"/>
      <c r="D163" s="177"/>
      <c r="E163" s="177"/>
      <c r="F163" s="27" t="s">
        <v>481</v>
      </c>
      <c r="G163" s="32" t="s">
        <v>482</v>
      </c>
      <c r="H163" s="169" t="s">
        <v>472</v>
      </c>
      <c r="I163" s="18" t="s">
        <v>483</v>
      </c>
      <c r="J163" s="29"/>
      <c r="K163" s="30" t="s">
        <v>484</v>
      </c>
      <c r="L163" s="179"/>
      <c r="M163" s="179"/>
      <c r="N163" s="35" t="s">
        <v>53</v>
      </c>
      <c r="O163" s="186"/>
      <c r="P163" s="182"/>
      <c r="Q163" s="182"/>
      <c r="R163" s="182"/>
      <c r="S163" s="183"/>
      <c r="T163" s="183"/>
      <c r="U163" s="183"/>
      <c r="V163" s="183"/>
      <c r="W163" s="183"/>
    </row>
    <row r="164" spans="1:23" s="184" customFormat="1" ht="15" customHeight="1">
      <c r="A164" s="185"/>
      <c r="B164" s="179"/>
      <c r="C164" s="179"/>
      <c r="D164" s="177"/>
      <c r="E164" s="177"/>
      <c r="F164" s="27" t="s">
        <v>685</v>
      </c>
      <c r="G164" s="32" t="s">
        <v>686</v>
      </c>
      <c r="H164" s="170" t="s">
        <v>488</v>
      </c>
      <c r="I164" s="18" t="s">
        <v>687</v>
      </c>
      <c r="J164" s="29"/>
      <c r="K164" s="30" t="s">
        <v>688</v>
      </c>
      <c r="L164" s="179"/>
      <c r="M164" s="179"/>
      <c r="N164" s="35" t="s">
        <v>53</v>
      </c>
      <c r="O164" s="186"/>
      <c r="P164" s="182"/>
      <c r="Q164" s="182"/>
      <c r="R164" s="182"/>
      <c r="S164" s="183"/>
      <c r="T164" s="183"/>
      <c r="U164" s="183"/>
      <c r="V164" s="183"/>
      <c r="W164" s="183"/>
    </row>
    <row r="165" spans="1:23" s="184" customFormat="1" ht="15" customHeight="1">
      <c r="A165" s="185"/>
      <c r="B165" s="179"/>
      <c r="C165" s="179"/>
      <c r="D165" s="177"/>
      <c r="E165" s="177"/>
      <c r="F165" s="27" t="s">
        <v>486</v>
      </c>
      <c r="G165" s="32" t="s">
        <v>487</v>
      </c>
      <c r="H165" s="170" t="s">
        <v>488</v>
      </c>
      <c r="I165" s="18" t="s">
        <v>690</v>
      </c>
      <c r="J165" s="29"/>
      <c r="K165" s="30" t="s">
        <v>490</v>
      </c>
      <c r="L165" s="179"/>
      <c r="M165" s="179"/>
      <c r="N165" s="65" t="s">
        <v>53</v>
      </c>
      <c r="O165" s="186"/>
      <c r="P165" s="182"/>
      <c r="Q165" s="182"/>
      <c r="R165" s="182"/>
      <c r="S165" s="183"/>
      <c r="T165" s="183"/>
      <c r="U165" s="183"/>
      <c r="V165" s="183"/>
      <c r="W165" s="183"/>
    </row>
    <row r="166" spans="1:23" s="184" customFormat="1" ht="15" customHeight="1">
      <c r="A166" s="185"/>
      <c r="B166" s="179"/>
      <c r="C166" s="179"/>
      <c r="D166" s="178"/>
      <c r="E166" s="178"/>
      <c r="F166" s="28" t="s">
        <v>492</v>
      </c>
      <c r="G166" s="32" t="s">
        <v>493</v>
      </c>
      <c r="H166" s="170" t="s">
        <v>488</v>
      </c>
      <c r="I166" s="18" t="s">
        <v>494</v>
      </c>
      <c r="J166" s="33"/>
      <c r="K166" s="30" t="s">
        <v>495</v>
      </c>
      <c r="L166" s="179"/>
      <c r="M166" s="179"/>
      <c r="N166" s="35" t="s">
        <v>53</v>
      </c>
      <c r="O166" s="186"/>
      <c r="P166" s="182"/>
      <c r="Q166" s="182"/>
      <c r="R166" s="182"/>
      <c r="S166" s="183"/>
      <c r="T166" s="183"/>
      <c r="U166" s="183"/>
      <c r="V166" s="183"/>
      <c r="W166" s="183"/>
    </row>
    <row r="167" spans="1:23" s="184" customFormat="1" ht="15" customHeight="1">
      <c r="A167" s="185"/>
      <c r="B167" s="179"/>
      <c r="C167" s="179"/>
      <c r="D167" s="191" t="s">
        <v>169</v>
      </c>
      <c r="E167" s="202" t="s">
        <v>497</v>
      </c>
      <c r="F167" s="160"/>
      <c r="G167" s="27" t="s">
        <v>498</v>
      </c>
      <c r="H167" s="171" t="s">
        <v>472</v>
      </c>
      <c r="I167" s="43"/>
      <c r="J167" s="33"/>
      <c r="K167" s="4" t="s">
        <v>52</v>
      </c>
      <c r="L167" s="179"/>
      <c r="M167" s="179"/>
      <c r="N167" s="35" t="s">
        <v>53</v>
      </c>
      <c r="O167" s="186"/>
      <c r="P167" s="182"/>
      <c r="Q167" s="182"/>
      <c r="R167" s="182"/>
      <c r="S167" s="183"/>
      <c r="T167" s="183"/>
      <c r="U167" s="183"/>
      <c r="V167" s="183"/>
      <c r="W167" s="183"/>
    </row>
    <row r="168" spans="1:23" s="184" customFormat="1" ht="15" customHeight="1">
      <c r="A168" s="185"/>
      <c r="B168" s="179"/>
      <c r="C168" s="179"/>
      <c r="D168" s="192"/>
      <c r="E168" s="202"/>
      <c r="F168" s="172"/>
      <c r="G168" s="36" t="s">
        <v>71</v>
      </c>
      <c r="H168" s="171" t="s">
        <v>472</v>
      </c>
      <c r="I168" s="43"/>
      <c r="J168" s="33"/>
      <c r="K168" s="10" t="s">
        <v>57</v>
      </c>
      <c r="L168" s="179"/>
      <c r="M168" s="179"/>
      <c r="N168" s="35" t="s">
        <v>53</v>
      </c>
      <c r="O168" s="186"/>
      <c r="P168" s="182"/>
      <c r="Q168" s="182"/>
      <c r="R168" s="182"/>
      <c r="S168" s="183"/>
      <c r="T168" s="183"/>
      <c r="U168" s="183"/>
      <c r="V168" s="183"/>
      <c r="W168" s="183"/>
    </row>
    <row r="169" spans="1:23" s="184" customFormat="1" ht="15" customHeight="1">
      <c r="A169" s="185"/>
      <c r="B169" s="179"/>
      <c r="C169" s="179"/>
      <c r="D169" s="192"/>
      <c r="E169" s="202"/>
      <c r="F169" s="173"/>
      <c r="G169" s="14" t="s">
        <v>59</v>
      </c>
      <c r="H169" s="171" t="s">
        <v>472</v>
      </c>
      <c r="I169" s="43"/>
      <c r="J169" s="33"/>
      <c r="K169" s="4" t="s">
        <v>60</v>
      </c>
      <c r="L169" s="179"/>
      <c r="M169" s="179"/>
      <c r="N169" s="35" t="s">
        <v>53</v>
      </c>
      <c r="O169" s="186"/>
      <c r="P169" s="182"/>
      <c r="Q169" s="182"/>
      <c r="R169" s="182"/>
      <c r="S169" s="183"/>
      <c r="T169" s="183"/>
      <c r="U169" s="183"/>
      <c r="V169" s="183"/>
      <c r="W169" s="183"/>
    </row>
    <row r="170" spans="1:23" s="184" customFormat="1" ht="15" customHeight="1">
      <c r="A170" s="185"/>
      <c r="B170" s="179"/>
      <c r="C170" s="179"/>
      <c r="D170" s="192"/>
      <c r="E170" s="202"/>
      <c r="F170" s="160"/>
      <c r="G170" s="27" t="s">
        <v>505</v>
      </c>
      <c r="H170" s="171" t="s">
        <v>472</v>
      </c>
      <c r="I170" s="43"/>
      <c r="J170" s="33"/>
      <c r="K170" s="4" t="s">
        <v>60</v>
      </c>
      <c r="L170" s="179"/>
      <c r="M170" s="179"/>
      <c r="N170" s="35" t="s">
        <v>53</v>
      </c>
      <c r="O170" s="186"/>
      <c r="P170" s="182"/>
      <c r="Q170" s="182"/>
      <c r="R170" s="182"/>
      <c r="S170" s="183"/>
      <c r="T170" s="183"/>
      <c r="U170" s="183"/>
      <c r="V170" s="183"/>
      <c r="W170" s="183"/>
    </row>
    <row r="171" spans="1:23" s="184" customFormat="1" ht="15" customHeight="1">
      <c r="A171" s="185"/>
      <c r="B171" s="179"/>
      <c r="C171" s="179"/>
      <c r="D171" s="192"/>
      <c r="E171" s="202"/>
      <c r="F171" s="160"/>
      <c r="G171" s="36" t="s">
        <v>507</v>
      </c>
      <c r="H171" s="157" t="s">
        <v>508</v>
      </c>
      <c r="I171" s="43"/>
      <c r="J171" s="33"/>
      <c r="K171" s="8" t="s">
        <v>65</v>
      </c>
      <c r="L171" s="179"/>
      <c r="M171" s="179"/>
      <c r="N171" s="35" t="s">
        <v>53</v>
      </c>
      <c r="O171" s="186"/>
      <c r="P171" s="182"/>
      <c r="Q171" s="182"/>
      <c r="R171" s="182"/>
      <c r="S171" s="183"/>
      <c r="T171" s="183"/>
      <c r="U171" s="183"/>
      <c r="V171" s="183"/>
      <c r="W171" s="183"/>
    </row>
    <row r="172" spans="1:23" s="184" customFormat="1" ht="15" customHeight="1">
      <c r="A172" s="185"/>
      <c r="B172" s="179"/>
      <c r="C172" s="179"/>
      <c r="D172" s="192"/>
      <c r="E172" s="202"/>
      <c r="F172" s="160"/>
      <c r="G172" s="36" t="s">
        <v>510</v>
      </c>
      <c r="H172" s="157" t="s">
        <v>508</v>
      </c>
      <c r="I172" s="43"/>
      <c r="J172" s="33"/>
      <c r="K172" s="8" t="s">
        <v>68</v>
      </c>
      <c r="L172" s="179"/>
      <c r="M172" s="179"/>
      <c r="N172" s="35" t="s">
        <v>53</v>
      </c>
      <c r="O172" s="186"/>
      <c r="P172" s="182"/>
      <c r="Q172" s="182"/>
      <c r="R172" s="182"/>
      <c r="S172" s="183"/>
      <c r="T172" s="183"/>
      <c r="U172" s="183"/>
      <c r="V172" s="183"/>
      <c r="W172" s="183"/>
    </row>
    <row r="173" spans="1:23" s="184" customFormat="1" ht="15" customHeight="1">
      <c r="A173" s="185"/>
      <c r="B173" s="179"/>
      <c r="C173" s="179"/>
      <c r="D173" s="192"/>
      <c r="E173" s="202" t="s">
        <v>512</v>
      </c>
      <c r="F173" s="28"/>
      <c r="G173" s="41" t="s">
        <v>71</v>
      </c>
      <c r="H173" s="158" t="s">
        <v>488</v>
      </c>
      <c r="I173" s="33"/>
      <c r="J173" s="33"/>
      <c r="K173" s="10" t="s">
        <v>57</v>
      </c>
      <c r="L173" s="179"/>
      <c r="M173" s="179"/>
      <c r="N173" s="35" t="s">
        <v>53</v>
      </c>
      <c r="O173" s="186"/>
      <c r="P173" s="182"/>
      <c r="Q173" s="182"/>
      <c r="R173" s="182"/>
      <c r="S173" s="183"/>
      <c r="T173" s="183"/>
      <c r="U173" s="183"/>
      <c r="V173" s="183"/>
      <c r="W173" s="183"/>
    </row>
    <row r="174" spans="1:23" s="184" customFormat="1" ht="15" customHeight="1">
      <c r="A174" s="185"/>
      <c r="B174" s="179"/>
      <c r="C174" s="179"/>
      <c r="D174" s="192"/>
      <c r="E174" s="202"/>
      <c r="F174" s="28"/>
      <c r="G174" s="27" t="s">
        <v>498</v>
      </c>
      <c r="H174" s="169" t="s">
        <v>472</v>
      </c>
      <c r="I174" s="33"/>
      <c r="J174" s="33"/>
      <c r="K174" s="4" t="s">
        <v>52</v>
      </c>
      <c r="L174" s="179"/>
      <c r="M174" s="179"/>
      <c r="N174" s="35" t="s">
        <v>53</v>
      </c>
      <c r="O174" s="186"/>
      <c r="P174" s="182"/>
      <c r="Q174" s="182"/>
      <c r="R174" s="182"/>
      <c r="S174" s="183"/>
      <c r="T174" s="183"/>
      <c r="U174" s="183"/>
      <c r="V174" s="183"/>
      <c r="W174" s="183"/>
    </row>
    <row r="175" spans="1:23" s="184" customFormat="1" ht="15" customHeight="1">
      <c r="A175" s="185"/>
      <c r="B175" s="179"/>
      <c r="C175" s="179"/>
      <c r="D175" s="192"/>
      <c r="E175" s="202"/>
      <c r="F175" s="28"/>
      <c r="G175" t="s">
        <v>507</v>
      </c>
      <c r="H175" s="157" t="s">
        <v>508</v>
      </c>
      <c r="I175" s="33"/>
      <c r="J175" s="33"/>
      <c r="K175" s="8" t="s">
        <v>65</v>
      </c>
      <c r="L175" s="179"/>
      <c r="M175" s="179"/>
      <c r="N175" s="35" t="s">
        <v>53</v>
      </c>
      <c r="O175" s="186"/>
      <c r="P175" s="182"/>
      <c r="Q175" s="182"/>
      <c r="R175" s="182"/>
      <c r="S175" s="183"/>
      <c r="T175" s="183"/>
      <c r="U175" s="183"/>
      <c r="V175" s="183"/>
      <c r="W175" s="183"/>
    </row>
    <row r="176" spans="1:23" s="184" customFormat="1" ht="15" customHeight="1">
      <c r="A176" s="185"/>
      <c r="B176" s="179"/>
      <c r="C176" s="179"/>
      <c r="D176" s="192"/>
      <c r="E176" s="202"/>
      <c r="F176" s="28"/>
      <c r="G176" s="18" t="s">
        <v>516</v>
      </c>
      <c r="H176" s="159" t="s">
        <v>488</v>
      </c>
      <c r="I176" s="33"/>
      <c r="J176" s="33"/>
      <c r="K176" s="8" t="s">
        <v>78</v>
      </c>
      <c r="L176" s="179"/>
      <c r="M176" s="179"/>
      <c r="N176" s="35" t="s">
        <v>53</v>
      </c>
      <c r="O176" s="186"/>
      <c r="P176" s="182"/>
      <c r="Q176" s="182"/>
      <c r="R176" s="182"/>
      <c r="S176" s="183"/>
      <c r="T176" s="183"/>
      <c r="U176" s="183"/>
      <c r="V176" s="183"/>
      <c r="W176" s="183"/>
    </row>
    <row r="177" spans="1:23" s="184" customFormat="1" ht="15" customHeight="1">
      <c r="A177" s="185"/>
      <c r="B177" s="179"/>
      <c r="C177" s="179"/>
      <c r="D177" s="192"/>
      <c r="E177" s="191"/>
      <c r="F177" s="28"/>
      <c r="G177" s="46" t="s">
        <v>510</v>
      </c>
      <c r="H177" s="157" t="s">
        <v>508</v>
      </c>
      <c r="I177" s="15"/>
      <c r="J177" s="43"/>
      <c r="K177" s="8" t="s">
        <v>68</v>
      </c>
      <c r="L177" s="179"/>
      <c r="M177" s="179"/>
      <c r="N177" s="35" t="s">
        <v>53</v>
      </c>
      <c r="O177" s="186"/>
      <c r="P177" s="182"/>
      <c r="Q177" s="182"/>
      <c r="R177" s="182"/>
      <c r="S177" s="183"/>
      <c r="T177" s="183"/>
      <c r="U177" s="183"/>
      <c r="V177" s="183"/>
      <c r="W177" s="183"/>
    </row>
    <row r="178" spans="1:23" s="184" customFormat="1" ht="15" customHeight="1">
      <c r="A178" s="185"/>
      <c r="B178" s="179"/>
      <c r="C178" s="179"/>
      <c r="D178" s="192"/>
      <c r="E178" s="202" t="s">
        <v>519</v>
      </c>
      <c r="F178" s="39"/>
      <c r="G178" s="47" t="s">
        <v>71</v>
      </c>
      <c r="H178" s="158" t="s">
        <v>488</v>
      </c>
      <c r="I178" s="15"/>
      <c r="J178" s="43"/>
      <c r="K178" s="10" t="s">
        <v>57</v>
      </c>
      <c r="L178" s="179"/>
      <c r="M178" s="179"/>
      <c r="N178" s="35" t="s">
        <v>53</v>
      </c>
      <c r="O178" s="186"/>
      <c r="P178" s="182"/>
      <c r="Q178" s="182"/>
      <c r="R178" s="182"/>
      <c r="S178" s="183"/>
      <c r="T178" s="183"/>
      <c r="U178" s="183"/>
      <c r="V178" s="183"/>
      <c r="W178" s="183"/>
    </row>
    <row r="179" spans="1:23" s="184" customFormat="1" ht="15" customHeight="1">
      <c r="A179" s="185"/>
      <c r="B179" s="179"/>
      <c r="C179" s="179"/>
      <c r="D179" s="192"/>
      <c r="E179" s="202"/>
      <c r="F179" s="39"/>
      <c r="G179" s="27" t="s">
        <v>498</v>
      </c>
      <c r="H179" s="169" t="s">
        <v>472</v>
      </c>
      <c r="I179" s="33"/>
      <c r="J179" s="33"/>
      <c r="K179" s="4" t="s">
        <v>52</v>
      </c>
      <c r="L179" s="179"/>
      <c r="M179" s="179"/>
      <c r="N179" s="35" t="s">
        <v>53</v>
      </c>
      <c r="O179" s="186"/>
      <c r="P179" s="182"/>
      <c r="Q179" s="182"/>
      <c r="R179" s="182"/>
      <c r="S179" s="183"/>
      <c r="T179" s="183"/>
      <c r="U179" s="183"/>
      <c r="V179" s="183"/>
      <c r="W179" s="183"/>
    </row>
    <row r="180" spans="1:23" s="184" customFormat="1" ht="15" customHeight="1">
      <c r="A180" s="185"/>
      <c r="B180" s="179"/>
      <c r="C180" s="179"/>
      <c r="D180" s="192"/>
      <c r="E180" s="202"/>
      <c r="F180" s="39"/>
      <c r="G180" s="21" t="s">
        <v>522</v>
      </c>
      <c r="H180" s="157" t="s">
        <v>508</v>
      </c>
      <c r="I180" s="33"/>
      <c r="J180" s="43"/>
      <c r="K180" s="8" t="s">
        <v>65</v>
      </c>
      <c r="L180" s="179"/>
      <c r="M180" s="179"/>
      <c r="N180" s="35" t="s">
        <v>53</v>
      </c>
      <c r="O180" s="186"/>
      <c r="P180" s="182"/>
      <c r="Q180" s="182"/>
      <c r="R180" s="182"/>
      <c r="S180" s="183"/>
      <c r="T180" s="183"/>
      <c r="U180" s="183"/>
      <c r="V180" s="183"/>
      <c r="W180" s="183"/>
    </row>
    <row r="181" spans="1:23" s="184" customFormat="1" ht="15" customHeight="1">
      <c r="A181" s="185"/>
      <c r="B181" s="179"/>
      <c r="C181" s="179"/>
      <c r="D181" s="192"/>
      <c r="E181" s="202"/>
      <c r="F181" s="39"/>
      <c r="G181" s="45" t="s">
        <v>516</v>
      </c>
      <c r="H181" s="159" t="s">
        <v>488</v>
      </c>
      <c r="I181" s="33"/>
      <c r="J181" s="33"/>
      <c r="K181" s="8" t="s">
        <v>78</v>
      </c>
      <c r="L181" s="179"/>
      <c r="M181" s="179"/>
      <c r="N181" s="35" t="s">
        <v>53</v>
      </c>
      <c r="O181" s="186"/>
      <c r="P181" s="182"/>
      <c r="Q181" s="182"/>
      <c r="R181" s="182"/>
      <c r="S181" s="183"/>
      <c r="T181" s="183"/>
      <c r="U181" s="183"/>
      <c r="V181" s="183"/>
      <c r="W181" s="183"/>
    </row>
    <row r="182" spans="1:23" s="184" customFormat="1" ht="15" customHeight="1">
      <c r="A182" s="185"/>
      <c r="B182" s="179"/>
      <c r="C182" s="179"/>
      <c r="D182" s="192"/>
      <c r="E182" s="202"/>
      <c r="F182" s="39"/>
      <c r="G182" s="18" t="s">
        <v>510</v>
      </c>
      <c r="H182" s="157" t="s">
        <v>508</v>
      </c>
      <c r="I182" s="33"/>
      <c r="J182" s="33"/>
      <c r="K182" s="30" t="s">
        <v>68</v>
      </c>
      <c r="L182" s="179"/>
      <c r="M182" s="179"/>
      <c r="N182" s="35" t="s">
        <v>53</v>
      </c>
      <c r="O182" s="186"/>
      <c r="P182" s="182"/>
      <c r="Q182" s="182"/>
      <c r="R182" s="182"/>
      <c r="S182" s="183"/>
      <c r="T182" s="183"/>
      <c r="U182" s="183"/>
      <c r="V182" s="183"/>
      <c r="W182" s="183"/>
    </row>
    <row r="183" spans="1:23" s="184" customFormat="1" ht="15" customHeight="1">
      <c r="A183" s="185"/>
      <c r="B183" s="179"/>
      <c r="C183" s="179"/>
      <c r="D183" s="192"/>
      <c r="E183" s="191" t="s">
        <v>527</v>
      </c>
      <c r="F183" s="83"/>
      <c r="G183" s="39" t="s">
        <v>528</v>
      </c>
      <c r="H183" s="169" t="s">
        <v>472</v>
      </c>
      <c r="I183" s="33"/>
      <c r="J183" s="33"/>
      <c r="K183" s="68" t="s">
        <v>52</v>
      </c>
      <c r="L183" s="179"/>
      <c r="M183" s="179"/>
      <c r="N183" s="35" t="s">
        <v>53</v>
      </c>
      <c r="O183" s="186"/>
      <c r="P183" s="182"/>
      <c r="Q183" s="182"/>
      <c r="R183" s="182"/>
      <c r="S183" s="183"/>
      <c r="T183" s="183"/>
      <c r="U183" s="183"/>
      <c r="V183" s="183"/>
      <c r="W183" s="183"/>
    </row>
    <row r="184" spans="1:23" s="184" customFormat="1" ht="15" customHeight="1">
      <c r="A184" s="185"/>
      <c r="B184" s="179"/>
      <c r="C184" s="179"/>
      <c r="D184" s="192"/>
      <c r="E184" s="192"/>
      <c r="F184" s="83"/>
      <c r="G184" s="39" t="s">
        <v>113</v>
      </c>
      <c r="H184" s="169" t="s">
        <v>472</v>
      </c>
      <c r="I184" s="33"/>
      <c r="J184" s="33"/>
      <c r="K184" s="4" t="s">
        <v>52</v>
      </c>
      <c r="L184" s="179"/>
      <c r="M184" s="179"/>
      <c r="N184" s="35" t="s">
        <v>53</v>
      </c>
      <c r="O184" s="186"/>
      <c r="P184" s="182"/>
      <c r="Q184" s="182"/>
      <c r="R184" s="182"/>
      <c r="S184" s="183"/>
      <c r="T184" s="183"/>
      <c r="U184" s="183"/>
      <c r="V184" s="183"/>
      <c r="W184" s="183"/>
    </row>
    <row r="185" spans="1:23" s="184" customFormat="1" ht="15" customHeight="1">
      <c r="A185" s="185"/>
      <c r="B185" s="179"/>
      <c r="C185" s="179"/>
      <c r="D185" s="192"/>
      <c r="E185" s="192"/>
      <c r="F185" s="84"/>
      <c r="G185" s="20" t="s">
        <v>59</v>
      </c>
      <c r="H185" s="169" t="s">
        <v>472</v>
      </c>
      <c r="I185" s="33"/>
      <c r="J185" s="33"/>
      <c r="K185" s="4" t="s">
        <v>60</v>
      </c>
      <c r="L185" s="179"/>
      <c r="M185" s="179"/>
      <c r="N185" s="35" t="s">
        <v>53</v>
      </c>
      <c r="O185" s="186"/>
      <c r="P185" s="182"/>
      <c r="Q185" s="182"/>
      <c r="R185" s="182"/>
      <c r="S185" s="183"/>
      <c r="T185" s="183"/>
      <c r="U185" s="183"/>
      <c r="V185" s="183"/>
      <c r="W185" s="183"/>
    </row>
    <row r="186" spans="1:23" s="184" customFormat="1" ht="15" customHeight="1">
      <c r="A186" s="185"/>
      <c r="B186" s="179"/>
      <c r="C186" s="179"/>
      <c r="D186" s="192"/>
      <c r="E186" s="192"/>
      <c r="F186" s="83"/>
      <c r="G186" s="39" t="s">
        <v>505</v>
      </c>
      <c r="H186" s="169" t="s">
        <v>472</v>
      </c>
      <c r="I186" s="33"/>
      <c r="J186" s="33"/>
      <c r="K186" s="4" t="s">
        <v>60</v>
      </c>
      <c r="L186" s="179"/>
      <c r="M186" s="179"/>
      <c r="N186" s="35" t="s">
        <v>53</v>
      </c>
      <c r="O186" s="186"/>
      <c r="P186" s="182"/>
      <c r="Q186" s="182"/>
      <c r="R186" s="182"/>
      <c r="S186" s="183"/>
      <c r="T186" s="183"/>
      <c r="U186" s="183"/>
      <c r="V186" s="183"/>
      <c r="W186" s="183"/>
    </row>
    <row r="187" spans="1:23" s="184" customFormat="1" ht="15" customHeight="1">
      <c r="A187" s="185"/>
      <c r="B187" s="179"/>
      <c r="C187" s="179"/>
      <c r="D187" s="192"/>
      <c r="E187" s="192"/>
      <c r="F187" s="83"/>
      <c r="G187" s="39" t="s">
        <v>533</v>
      </c>
      <c r="H187" s="159" t="s">
        <v>488</v>
      </c>
      <c r="I187" s="33"/>
      <c r="J187" s="33"/>
      <c r="K187" s="8" t="s">
        <v>152</v>
      </c>
      <c r="L187" s="179"/>
      <c r="M187" s="179"/>
      <c r="N187" s="35" t="s">
        <v>53</v>
      </c>
      <c r="O187" s="186"/>
      <c r="P187" s="182"/>
      <c r="Q187" s="182"/>
      <c r="R187" s="182"/>
      <c r="S187" s="183"/>
      <c r="T187" s="183"/>
      <c r="U187" s="183"/>
      <c r="V187" s="183"/>
      <c r="W187" s="183"/>
    </row>
    <row r="188" spans="1:23" s="184" customFormat="1" ht="15" customHeight="1">
      <c r="A188" s="185"/>
      <c r="B188" s="179"/>
      <c r="C188" s="179"/>
      <c r="D188" s="192"/>
      <c r="E188" s="193"/>
      <c r="F188" s="39"/>
      <c r="G188" s="39" t="s">
        <v>536</v>
      </c>
      <c r="H188" s="159" t="s">
        <v>488</v>
      </c>
      <c r="I188" s="33"/>
      <c r="J188" s="33"/>
      <c r="K188" s="8" t="s">
        <v>537</v>
      </c>
      <c r="L188" s="179"/>
      <c r="M188" s="179"/>
      <c r="N188" s="35" t="s">
        <v>53</v>
      </c>
      <c r="O188" s="186"/>
      <c r="P188" s="182"/>
      <c r="Q188" s="182"/>
      <c r="R188" s="182"/>
      <c r="S188" s="183"/>
      <c r="T188" s="183"/>
      <c r="U188" s="183"/>
      <c r="V188" s="183"/>
      <c r="W188" s="183"/>
    </row>
    <row r="189" spans="1:23" s="184" customFormat="1" ht="15" customHeight="1">
      <c r="A189" s="185"/>
      <c r="B189" s="179"/>
      <c r="C189" s="179"/>
      <c r="D189" s="192"/>
      <c r="E189" s="192" t="s">
        <v>539</v>
      </c>
      <c r="F189" s="39"/>
      <c r="G189" s="160" t="s">
        <v>533</v>
      </c>
      <c r="H189" s="157" t="s">
        <v>488</v>
      </c>
      <c r="I189" s="43"/>
      <c r="J189" s="33"/>
      <c r="K189" s="8" t="s">
        <v>152</v>
      </c>
      <c r="L189" s="179"/>
      <c r="M189" s="179"/>
      <c r="N189" s="35" t="s">
        <v>53</v>
      </c>
      <c r="O189" s="186"/>
      <c r="P189" s="182"/>
      <c r="Q189" s="182"/>
      <c r="R189" s="182"/>
      <c r="S189" s="183"/>
      <c r="T189" s="183"/>
      <c r="U189" s="183"/>
      <c r="V189" s="183"/>
      <c r="W189" s="183"/>
    </row>
    <row r="190" spans="1:23" s="184" customFormat="1" ht="15" customHeight="1">
      <c r="A190" s="185"/>
      <c r="B190" s="179"/>
      <c r="C190" s="179"/>
      <c r="D190" s="193"/>
      <c r="E190" s="193"/>
      <c r="F190" s="39"/>
      <c r="G190" s="160" t="s">
        <v>536</v>
      </c>
      <c r="H190" s="157" t="s">
        <v>488</v>
      </c>
      <c r="I190" s="43"/>
      <c r="J190" s="33"/>
      <c r="K190" s="8" t="s">
        <v>537</v>
      </c>
      <c r="L190" s="179"/>
      <c r="M190" s="179"/>
      <c r="N190" s="35" t="s">
        <v>53</v>
      </c>
      <c r="O190" s="186"/>
      <c r="P190" s="182"/>
      <c r="Q190" s="182"/>
      <c r="R190" s="182"/>
      <c r="S190" s="183"/>
      <c r="T190" s="183"/>
      <c r="U190" s="183"/>
      <c r="V190" s="183"/>
      <c r="W190" s="183"/>
    </row>
    <row r="191" spans="1:23" s="184" customFormat="1" ht="15" customHeight="1">
      <c r="A191" s="185"/>
      <c r="B191" s="179"/>
      <c r="C191" s="179"/>
      <c r="D191" s="191" t="s">
        <v>543</v>
      </c>
      <c r="E191" s="202" t="s">
        <v>544</v>
      </c>
      <c r="F191" s="27"/>
      <c r="G191" s="47" t="s">
        <v>71</v>
      </c>
      <c r="H191" s="157" t="s">
        <v>488</v>
      </c>
      <c r="I191" s="43"/>
      <c r="J191" s="33"/>
      <c r="K191" s="10" t="s">
        <v>57</v>
      </c>
      <c r="L191" s="179"/>
      <c r="M191" s="179"/>
      <c r="N191" s="35" t="s">
        <v>53</v>
      </c>
      <c r="O191" s="186"/>
      <c r="P191" s="182"/>
      <c r="Q191" s="182"/>
      <c r="R191" s="182"/>
      <c r="S191" s="183"/>
      <c r="T191" s="183"/>
      <c r="U191" s="183"/>
      <c r="V191" s="183"/>
      <c r="W191" s="183"/>
    </row>
    <row r="192" spans="1:23" s="184" customFormat="1" ht="15" customHeight="1">
      <c r="A192" s="185"/>
      <c r="B192" s="179"/>
      <c r="C192" s="179"/>
      <c r="D192" s="192"/>
      <c r="E192" s="202"/>
      <c r="F192" s="27"/>
      <c r="G192" s="112" t="s">
        <v>113</v>
      </c>
      <c r="H192" s="171" t="s">
        <v>472</v>
      </c>
      <c r="I192" s="43"/>
      <c r="J192" s="33"/>
      <c r="K192" s="4" t="s">
        <v>52</v>
      </c>
      <c r="L192" s="179"/>
      <c r="M192" s="179"/>
      <c r="N192" s="35" t="s">
        <v>53</v>
      </c>
      <c r="O192" s="186"/>
      <c r="P192" s="182"/>
      <c r="Q192" s="182"/>
      <c r="R192" s="182"/>
      <c r="S192" s="183"/>
      <c r="T192" s="183"/>
      <c r="U192" s="183"/>
      <c r="V192" s="183"/>
      <c r="W192" s="183"/>
    </row>
    <row r="193" spans="1:23" s="184" customFormat="1" ht="15" customHeight="1">
      <c r="A193" s="185"/>
      <c r="B193" s="179"/>
      <c r="C193" s="179"/>
      <c r="D193" s="192"/>
      <c r="E193" s="202"/>
      <c r="F193" s="27"/>
      <c r="G193" s="161" t="s">
        <v>547</v>
      </c>
      <c r="H193" s="157" t="s">
        <v>488</v>
      </c>
      <c r="I193" s="85"/>
      <c r="J193" s="33"/>
      <c r="K193" s="8" t="s">
        <v>116</v>
      </c>
      <c r="L193" s="179"/>
      <c r="M193" s="179"/>
      <c r="N193" s="35" t="s">
        <v>53</v>
      </c>
      <c r="O193" s="186"/>
      <c r="P193" s="182"/>
      <c r="Q193" s="182"/>
      <c r="R193" s="182"/>
      <c r="S193" s="183"/>
      <c r="T193" s="183"/>
      <c r="U193" s="183"/>
      <c r="V193" s="183"/>
      <c r="W193" s="183"/>
    </row>
    <row r="194" spans="1:23" s="184" customFormat="1" ht="15" customHeight="1">
      <c r="A194" s="185"/>
      <c r="B194" s="179"/>
      <c r="C194" s="179"/>
      <c r="D194" s="192"/>
      <c r="E194" s="202" t="s">
        <v>549</v>
      </c>
      <c r="F194" s="27"/>
      <c r="G194" s="47" t="s">
        <v>71</v>
      </c>
      <c r="H194" s="157" t="s">
        <v>488</v>
      </c>
      <c r="I194" s="86"/>
      <c r="J194" s="33"/>
      <c r="K194" s="10" t="s">
        <v>57</v>
      </c>
      <c r="L194" s="179"/>
      <c r="M194" s="179"/>
      <c r="N194" s="35" t="s">
        <v>53</v>
      </c>
      <c r="O194" s="186"/>
      <c r="P194" s="182"/>
      <c r="Q194" s="182"/>
      <c r="R194" s="182"/>
      <c r="S194" s="183"/>
      <c r="T194" s="183"/>
      <c r="U194" s="183"/>
      <c r="V194" s="183"/>
      <c r="W194" s="183"/>
    </row>
    <row r="195" spans="1:23" s="184" customFormat="1" ht="15" customHeight="1">
      <c r="A195" s="185"/>
      <c r="B195" s="179"/>
      <c r="C195" s="179"/>
      <c r="D195" s="192"/>
      <c r="E195" s="202"/>
      <c r="F195" s="27"/>
      <c r="G195" s="112" t="s">
        <v>113</v>
      </c>
      <c r="H195" s="171" t="s">
        <v>472</v>
      </c>
      <c r="I195" s="86"/>
      <c r="J195" s="33"/>
      <c r="K195" s="4" t="s">
        <v>52</v>
      </c>
      <c r="L195" s="179"/>
      <c r="M195" s="179"/>
      <c r="N195" s="35" t="s">
        <v>53</v>
      </c>
      <c r="O195" s="186"/>
      <c r="P195" s="182"/>
      <c r="Q195" s="182"/>
      <c r="R195" s="182"/>
      <c r="S195" s="183"/>
      <c r="T195" s="183"/>
      <c r="U195" s="183"/>
      <c r="V195" s="183"/>
      <c r="W195" s="183"/>
    </row>
    <row r="196" spans="1:23" s="184" customFormat="1" ht="15" customHeight="1">
      <c r="A196" s="185"/>
      <c r="B196" s="179"/>
      <c r="C196" s="179"/>
      <c r="D196" s="192"/>
      <c r="E196" s="202"/>
      <c r="F196" s="27"/>
      <c r="G196" s="161" t="s">
        <v>547</v>
      </c>
      <c r="H196" s="157" t="s">
        <v>488</v>
      </c>
      <c r="I196" s="86"/>
      <c r="J196" s="33"/>
      <c r="K196" s="8" t="s">
        <v>116</v>
      </c>
      <c r="L196" s="179"/>
      <c r="M196" s="179"/>
      <c r="N196" s="35" t="s">
        <v>53</v>
      </c>
      <c r="O196" s="186"/>
      <c r="P196" s="182"/>
      <c r="Q196" s="182"/>
      <c r="R196" s="182"/>
      <c r="S196" s="183"/>
      <c r="T196" s="183"/>
      <c r="U196" s="183"/>
      <c r="V196" s="183"/>
      <c r="W196" s="183"/>
    </row>
    <row r="197" spans="1:23" s="184" customFormat="1" ht="15" customHeight="1">
      <c r="A197" s="185"/>
      <c r="B197" s="179"/>
      <c r="C197" s="179"/>
      <c r="D197" s="192"/>
      <c r="E197" s="202" t="s">
        <v>553</v>
      </c>
      <c r="F197" s="27"/>
      <c r="G197" s="47" t="s">
        <v>71</v>
      </c>
      <c r="H197" s="157" t="s">
        <v>488</v>
      </c>
      <c r="I197" s="86"/>
      <c r="J197" s="33"/>
      <c r="K197" s="10" t="s">
        <v>57</v>
      </c>
      <c r="L197" s="179"/>
      <c r="M197" s="179"/>
      <c r="N197" s="35" t="s">
        <v>53</v>
      </c>
      <c r="O197" s="186"/>
      <c r="P197" s="182"/>
      <c r="Q197" s="182"/>
      <c r="R197" s="182"/>
      <c r="S197" s="183"/>
      <c r="T197" s="183"/>
      <c r="U197" s="183"/>
      <c r="V197" s="183"/>
      <c r="W197" s="183"/>
    </row>
    <row r="198" spans="1:23" s="184" customFormat="1" ht="15" customHeight="1">
      <c r="A198" s="185"/>
      <c r="B198" s="179"/>
      <c r="C198" s="179"/>
      <c r="D198" s="192"/>
      <c r="E198" s="202"/>
      <c r="F198" s="27"/>
      <c r="G198" s="112" t="s">
        <v>113</v>
      </c>
      <c r="H198" s="171" t="s">
        <v>472</v>
      </c>
      <c r="I198" s="86"/>
      <c r="J198" s="33"/>
      <c r="K198" s="4" t="s">
        <v>52</v>
      </c>
      <c r="L198" s="179"/>
      <c r="M198" s="179"/>
      <c r="N198" s="35" t="s">
        <v>53</v>
      </c>
      <c r="O198" s="186"/>
      <c r="P198" s="182"/>
      <c r="Q198" s="182"/>
      <c r="R198" s="182"/>
      <c r="S198" s="183"/>
      <c r="T198" s="183"/>
      <c r="U198" s="183"/>
      <c r="V198" s="183"/>
      <c r="W198" s="183"/>
    </row>
    <row r="199" spans="1:23" s="184" customFormat="1" ht="15" customHeight="1">
      <c r="A199" s="185"/>
      <c r="B199" s="179"/>
      <c r="C199" s="179"/>
      <c r="D199" s="192"/>
      <c r="E199" s="202"/>
      <c r="F199" s="27"/>
      <c r="G199" s="161" t="s">
        <v>547</v>
      </c>
      <c r="H199" s="157" t="s">
        <v>488</v>
      </c>
      <c r="I199" s="86"/>
      <c r="J199" s="33"/>
      <c r="K199" s="30" t="s">
        <v>116</v>
      </c>
      <c r="L199" s="179"/>
      <c r="M199" s="179"/>
      <c r="N199" s="35" t="s">
        <v>53</v>
      </c>
      <c r="O199" s="186"/>
      <c r="P199" s="182"/>
      <c r="Q199" s="182"/>
      <c r="R199" s="182"/>
      <c r="S199" s="183"/>
      <c r="T199" s="183"/>
      <c r="U199" s="183"/>
      <c r="V199" s="183"/>
      <c r="W199" s="183"/>
    </row>
    <row r="200" spans="1:23" s="184" customFormat="1" ht="15" customHeight="1">
      <c r="A200" s="185"/>
      <c r="B200" s="179"/>
      <c r="C200" s="179"/>
      <c r="D200" s="192"/>
      <c r="E200" s="191" t="s">
        <v>557</v>
      </c>
      <c r="F200" s="27"/>
      <c r="G200" s="47" t="s">
        <v>71</v>
      </c>
      <c r="H200" s="157" t="s">
        <v>488</v>
      </c>
      <c r="I200" s="86"/>
      <c r="J200" s="33"/>
      <c r="K200" s="8" t="s">
        <v>150</v>
      </c>
      <c r="L200" s="179"/>
      <c r="M200" s="179"/>
      <c r="N200" s="35" t="s">
        <v>53</v>
      </c>
      <c r="O200" s="186"/>
      <c r="P200" s="182"/>
      <c r="Q200" s="182"/>
      <c r="R200" s="182"/>
      <c r="S200" s="183"/>
      <c r="T200" s="183"/>
      <c r="U200" s="183"/>
      <c r="V200" s="183"/>
      <c r="W200" s="183"/>
    </row>
    <row r="201" spans="1:23" s="184" customFormat="1" ht="15" customHeight="1">
      <c r="A201" s="185"/>
      <c r="B201" s="179"/>
      <c r="C201" s="179"/>
      <c r="D201" s="192"/>
      <c r="E201" s="192"/>
      <c r="F201" s="27"/>
      <c r="G201" s="112" t="s">
        <v>113</v>
      </c>
      <c r="H201" s="171" t="s">
        <v>472</v>
      </c>
      <c r="I201" s="86"/>
      <c r="J201" s="33"/>
      <c r="K201" s="8" t="s">
        <v>559</v>
      </c>
      <c r="L201" s="179"/>
      <c r="M201" s="179"/>
      <c r="N201" s="35" t="s">
        <v>53</v>
      </c>
      <c r="O201" s="186"/>
      <c r="P201" s="182"/>
      <c r="Q201" s="182"/>
      <c r="R201" s="182"/>
      <c r="S201" s="183"/>
      <c r="T201" s="183"/>
      <c r="U201" s="183"/>
      <c r="V201" s="183"/>
      <c r="W201" s="183"/>
    </row>
    <row r="202" spans="1:23" s="184" customFormat="1" ht="15" customHeight="1">
      <c r="A202" s="185"/>
      <c r="B202" s="179"/>
      <c r="C202" s="179"/>
      <c r="D202" s="193"/>
      <c r="E202" s="193"/>
      <c r="F202" s="27"/>
      <c r="G202" s="161" t="s">
        <v>547</v>
      </c>
      <c r="H202" s="157" t="s">
        <v>488</v>
      </c>
      <c r="I202" s="86"/>
      <c r="J202" s="33"/>
      <c r="K202" s="8" t="s">
        <v>561</v>
      </c>
      <c r="L202" s="179"/>
      <c r="M202" s="179"/>
      <c r="N202" s="35" t="s">
        <v>53</v>
      </c>
      <c r="O202" s="186"/>
      <c r="P202" s="182"/>
      <c r="Q202" s="182"/>
      <c r="R202" s="182"/>
      <c r="S202" s="183"/>
      <c r="T202" s="183"/>
      <c r="U202" s="183"/>
      <c r="V202" s="183"/>
      <c r="W202" s="183"/>
    </row>
    <row r="203" spans="1:23" s="184" customFormat="1" ht="15" customHeight="1">
      <c r="A203" s="185"/>
      <c r="B203" s="179"/>
      <c r="C203" s="179"/>
      <c r="D203" s="202" t="s">
        <v>563</v>
      </c>
      <c r="E203" s="204" t="s">
        <v>564</v>
      </c>
      <c r="F203" s="44"/>
      <c r="G203" s="26" t="s">
        <v>113</v>
      </c>
      <c r="H203" s="174" t="s">
        <v>472</v>
      </c>
      <c r="I203" s="33"/>
      <c r="J203" s="33"/>
      <c r="K203" s="68" t="s">
        <v>52</v>
      </c>
      <c r="L203" s="179"/>
      <c r="M203" s="179"/>
      <c r="N203" s="35" t="s">
        <v>53</v>
      </c>
      <c r="O203" s="186"/>
      <c r="P203" s="182"/>
      <c r="Q203" s="182"/>
      <c r="R203" s="182"/>
      <c r="S203" s="183"/>
      <c r="T203" s="183"/>
      <c r="U203" s="183"/>
      <c r="V203" s="183"/>
      <c r="W203" s="183"/>
    </row>
    <row r="204" spans="1:23" s="184" customFormat="1" ht="15" customHeight="1">
      <c r="A204" s="185"/>
      <c r="B204" s="179"/>
      <c r="C204" s="179"/>
      <c r="D204" s="202"/>
      <c r="E204" s="205"/>
      <c r="F204" s="39"/>
      <c r="G204" s="32" t="s">
        <v>566</v>
      </c>
      <c r="H204" s="169" t="s">
        <v>472</v>
      </c>
      <c r="I204" s="18"/>
      <c r="J204" s="33"/>
      <c r="K204" s="8" t="s">
        <v>567</v>
      </c>
      <c r="L204" s="179"/>
      <c r="M204" s="179"/>
      <c r="N204" s="35" t="s">
        <v>53</v>
      </c>
      <c r="O204" s="186"/>
      <c r="P204" s="182"/>
      <c r="Q204" s="182"/>
      <c r="R204" s="182"/>
      <c r="S204" s="183"/>
      <c r="T204" s="183"/>
      <c r="U204" s="183"/>
      <c r="V204" s="183"/>
      <c r="W204" s="183"/>
    </row>
    <row r="205" spans="1:23" s="184" customFormat="1" ht="15" customHeight="1">
      <c r="A205" s="185"/>
      <c r="B205" s="179"/>
      <c r="C205" s="179"/>
      <c r="D205" s="202"/>
      <c r="E205" s="205"/>
      <c r="F205" s="39"/>
      <c r="G205" s="32" t="s">
        <v>569</v>
      </c>
      <c r="H205" s="170" t="s">
        <v>488</v>
      </c>
      <c r="I205" s="18"/>
      <c r="J205" s="33"/>
      <c r="K205" s="8" t="s">
        <v>570</v>
      </c>
      <c r="L205" s="179"/>
      <c r="M205" s="179"/>
      <c r="N205" s="35" t="s">
        <v>53</v>
      </c>
      <c r="O205" s="186"/>
      <c r="P205" s="182"/>
      <c r="Q205" s="182"/>
      <c r="R205" s="182"/>
      <c r="S205" s="183"/>
      <c r="T205" s="183"/>
      <c r="U205" s="183"/>
      <c r="V205" s="183"/>
      <c r="W205" s="183"/>
    </row>
    <row r="206" spans="1:23" s="184" customFormat="1" ht="15" customHeight="1">
      <c r="A206" s="185"/>
      <c r="B206" s="179"/>
      <c r="C206" s="179"/>
      <c r="D206" s="202"/>
      <c r="E206" s="205"/>
      <c r="F206" s="39"/>
      <c r="G206" s="32" t="s">
        <v>572</v>
      </c>
      <c r="H206" s="170" t="s">
        <v>508</v>
      </c>
      <c r="I206" s="18"/>
      <c r="J206" s="33"/>
      <c r="K206" s="8" t="s">
        <v>573</v>
      </c>
      <c r="L206" s="179"/>
      <c r="M206" s="179"/>
      <c r="N206" s="35" t="s">
        <v>53</v>
      </c>
      <c r="O206" s="186"/>
      <c r="P206" s="182"/>
      <c r="Q206" s="182"/>
      <c r="R206" s="182"/>
      <c r="S206" s="183"/>
      <c r="T206" s="183"/>
      <c r="U206" s="183"/>
      <c r="V206" s="183"/>
      <c r="W206" s="183"/>
    </row>
    <row r="207" spans="1:23" s="184" customFormat="1" ht="15" customHeight="1">
      <c r="A207" s="185"/>
      <c r="B207" s="179"/>
      <c r="C207" s="179"/>
      <c r="D207" s="202"/>
      <c r="E207" s="205" t="s">
        <v>575</v>
      </c>
      <c r="F207" s="39"/>
      <c r="G207" s="27" t="s">
        <v>113</v>
      </c>
      <c r="H207" s="169" t="s">
        <v>472</v>
      </c>
      <c r="I207" s="33"/>
      <c r="J207" s="33"/>
      <c r="K207" s="4" t="s">
        <v>52</v>
      </c>
      <c r="L207" s="179"/>
      <c r="M207" s="179"/>
      <c r="N207" s="35" t="s">
        <v>53</v>
      </c>
      <c r="O207" s="186"/>
      <c r="P207" s="182"/>
      <c r="Q207" s="182"/>
      <c r="R207" s="182"/>
      <c r="S207" s="183"/>
      <c r="T207" s="183"/>
      <c r="U207" s="183"/>
      <c r="V207" s="183"/>
      <c r="W207" s="183"/>
    </row>
    <row r="208" spans="1:23" s="184" customFormat="1" ht="15" customHeight="1">
      <c r="A208" s="185"/>
      <c r="B208" s="179"/>
      <c r="C208" s="179"/>
      <c r="D208" s="202"/>
      <c r="E208" s="205"/>
      <c r="F208" s="39"/>
      <c r="G208" s="32" t="s">
        <v>566</v>
      </c>
      <c r="H208" s="169" t="s">
        <v>472</v>
      </c>
      <c r="I208" s="18"/>
      <c r="J208" s="33"/>
      <c r="K208" s="8" t="s">
        <v>567</v>
      </c>
      <c r="L208" s="179"/>
      <c r="M208" s="179"/>
      <c r="N208" s="35" t="s">
        <v>53</v>
      </c>
      <c r="O208" s="186"/>
      <c r="P208" s="182"/>
      <c r="Q208" s="182"/>
      <c r="R208" s="182"/>
      <c r="S208" s="183"/>
      <c r="T208" s="183"/>
      <c r="U208" s="183"/>
      <c r="V208" s="183"/>
      <c r="W208" s="183"/>
    </row>
    <row r="209" spans="1:23" s="184" customFormat="1" ht="15" customHeight="1">
      <c r="A209" s="185"/>
      <c r="B209" s="179"/>
      <c r="C209" s="179"/>
      <c r="D209" s="202"/>
      <c r="E209" s="205"/>
      <c r="F209" s="39"/>
      <c r="G209" s="32" t="s">
        <v>578</v>
      </c>
      <c r="H209" s="170" t="s">
        <v>488</v>
      </c>
      <c r="I209" s="18"/>
      <c r="J209" s="33"/>
      <c r="K209" s="8" t="s">
        <v>579</v>
      </c>
      <c r="L209" s="179"/>
      <c r="M209" s="179"/>
      <c r="N209" s="35" t="s">
        <v>53</v>
      </c>
      <c r="O209" s="186"/>
      <c r="P209" s="182"/>
      <c r="Q209" s="182"/>
      <c r="R209" s="182"/>
      <c r="S209" s="183"/>
      <c r="T209" s="183"/>
      <c r="U209" s="183"/>
      <c r="V209" s="183"/>
      <c r="W209" s="183"/>
    </row>
    <row r="210" spans="1:23" s="184" customFormat="1" ht="15" customHeight="1">
      <c r="A210" s="185"/>
      <c r="B210" s="179"/>
      <c r="C210" s="179"/>
      <c r="D210" s="202"/>
      <c r="E210" s="205" t="s">
        <v>581</v>
      </c>
      <c r="F210" s="39"/>
      <c r="G210" s="27" t="s">
        <v>113</v>
      </c>
      <c r="H210" s="169" t="s">
        <v>472</v>
      </c>
      <c r="I210" s="18"/>
      <c r="J210" s="33"/>
      <c r="K210" s="21" t="s">
        <v>150</v>
      </c>
      <c r="L210" s="179"/>
      <c r="M210" s="179"/>
      <c r="N210" s="35" t="s">
        <v>53</v>
      </c>
      <c r="O210" s="186"/>
      <c r="P210" s="182"/>
      <c r="Q210" s="182"/>
      <c r="R210" s="182"/>
      <c r="S210" s="183"/>
      <c r="T210" s="183"/>
      <c r="U210" s="183"/>
      <c r="V210" s="183"/>
      <c r="W210" s="183"/>
    </row>
    <row r="211" spans="1:23" s="184" customFormat="1" ht="15" customHeight="1">
      <c r="A211" s="185"/>
      <c r="B211" s="179"/>
      <c r="C211" s="179"/>
      <c r="D211" s="191"/>
      <c r="E211" s="206"/>
      <c r="F211" s="39"/>
      <c r="G211" s="32" t="s">
        <v>566</v>
      </c>
      <c r="H211" s="170" t="s">
        <v>488</v>
      </c>
      <c r="I211" s="18"/>
      <c r="J211" s="33"/>
      <c r="K211" s="8" t="s">
        <v>583</v>
      </c>
      <c r="L211" s="179"/>
      <c r="M211" s="179"/>
      <c r="N211" s="35" t="s">
        <v>53</v>
      </c>
      <c r="O211" s="186"/>
      <c r="P211" s="182"/>
      <c r="Q211" s="182"/>
      <c r="R211" s="182"/>
      <c r="S211" s="183"/>
      <c r="T211" s="183"/>
      <c r="U211" s="183"/>
      <c r="V211" s="183"/>
      <c r="W211" s="183"/>
    </row>
    <row r="212" spans="1:23" s="184" customFormat="1" ht="15" customHeight="1">
      <c r="A212" s="185"/>
      <c r="B212" s="179"/>
      <c r="C212" s="179"/>
      <c r="D212" s="203" t="s">
        <v>585</v>
      </c>
      <c r="E212" s="203" t="s">
        <v>586</v>
      </c>
      <c r="F212" s="27"/>
      <c r="G212" s="13" t="s">
        <v>587</v>
      </c>
      <c r="H212" s="169" t="s">
        <v>472</v>
      </c>
      <c r="I212" s="85"/>
      <c r="J212" s="33"/>
      <c r="K212" s="21" t="s">
        <v>150</v>
      </c>
      <c r="L212" s="179"/>
      <c r="M212" s="179"/>
      <c r="N212" s="35" t="s">
        <v>53</v>
      </c>
      <c r="O212" s="186"/>
      <c r="P212" s="182"/>
      <c r="Q212" s="182"/>
      <c r="R212" s="182"/>
      <c r="S212" s="183"/>
      <c r="T212" s="183"/>
      <c r="U212" s="183"/>
      <c r="V212" s="183"/>
      <c r="W212" s="183"/>
    </row>
    <row r="213" spans="1:23" s="184" customFormat="1" ht="15" customHeight="1">
      <c r="A213" s="185"/>
      <c r="B213" s="179"/>
      <c r="C213" s="179"/>
      <c r="D213" s="203"/>
      <c r="E213" s="203"/>
      <c r="F213" s="27"/>
      <c r="G213" s="13" t="s">
        <v>591</v>
      </c>
      <c r="H213" s="170" t="s">
        <v>488</v>
      </c>
      <c r="I213" s="85"/>
      <c r="J213" s="33"/>
      <c r="K213" s="21" t="s">
        <v>152</v>
      </c>
      <c r="L213" s="179"/>
      <c r="M213" s="179"/>
      <c r="N213" s="35" t="s">
        <v>53</v>
      </c>
      <c r="O213" s="186"/>
      <c r="P213" s="182"/>
      <c r="Q213" s="182"/>
      <c r="R213" s="182"/>
      <c r="S213" s="183"/>
      <c r="T213" s="183"/>
      <c r="U213" s="183"/>
      <c r="V213" s="183"/>
      <c r="W213" s="183"/>
    </row>
    <row r="214" spans="1:23" s="184" customFormat="1" ht="15" customHeight="1">
      <c r="A214" s="185"/>
      <c r="B214" s="179"/>
      <c r="C214" s="179"/>
      <c r="D214" s="203"/>
      <c r="E214" s="203"/>
      <c r="F214" s="27"/>
      <c r="G214" s="13" t="s">
        <v>594</v>
      </c>
      <c r="H214" s="170" t="s">
        <v>488</v>
      </c>
      <c r="I214" s="85"/>
      <c r="J214" s="33"/>
      <c r="K214" s="21" t="s">
        <v>155</v>
      </c>
      <c r="L214" s="179"/>
      <c r="M214" s="179"/>
      <c r="N214" s="35" t="s">
        <v>53</v>
      </c>
      <c r="O214" s="186"/>
      <c r="P214" s="182"/>
      <c r="Q214" s="182"/>
      <c r="R214" s="182"/>
      <c r="S214" s="183"/>
      <c r="T214" s="183"/>
      <c r="U214" s="183"/>
      <c r="V214" s="183"/>
      <c r="W214" s="183"/>
    </row>
    <row r="215" spans="1:23" s="184" customFormat="1" ht="15" customHeight="1">
      <c r="A215" s="185"/>
      <c r="B215" s="179"/>
      <c r="C215" s="179"/>
      <c r="D215" s="203"/>
      <c r="E215" s="203" t="s">
        <v>599</v>
      </c>
      <c r="F215" s="27"/>
      <c r="G215" s="13" t="s">
        <v>600</v>
      </c>
      <c r="H215" s="169" t="s">
        <v>472</v>
      </c>
      <c r="I215" s="85"/>
      <c r="J215" s="33"/>
      <c r="K215" s="21" t="s">
        <v>150</v>
      </c>
      <c r="L215" s="179"/>
      <c r="M215" s="179"/>
      <c r="N215" s="35" t="s">
        <v>53</v>
      </c>
      <c r="O215" s="186"/>
      <c r="P215" s="182"/>
      <c r="Q215" s="182"/>
      <c r="R215" s="182"/>
      <c r="S215" s="183"/>
      <c r="T215" s="183"/>
      <c r="U215" s="183"/>
      <c r="V215" s="183"/>
      <c r="W215" s="183"/>
    </row>
    <row r="216" spans="1:23" s="184" customFormat="1" ht="15" customHeight="1">
      <c r="A216" s="185"/>
      <c r="B216" s="179"/>
      <c r="C216" s="179"/>
      <c r="D216" s="203"/>
      <c r="E216" s="203"/>
      <c r="F216" s="27"/>
      <c r="G216" s="13" t="s">
        <v>591</v>
      </c>
      <c r="H216" s="170" t="s">
        <v>488</v>
      </c>
      <c r="I216" s="85"/>
      <c r="J216" s="33"/>
      <c r="K216" s="21" t="s">
        <v>152</v>
      </c>
      <c r="L216" s="179"/>
      <c r="M216" s="179"/>
      <c r="N216" s="35" t="s">
        <v>53</v>
      </c>
      <c r="O216" s="186"/>
      <c r="P216" s="182"/>
      <c r="Q216" s="182"/>
      <c r="R216" s="182"/>
      <c r="S216" s="183"/>
      <c r="T216" s="183"/>
      <c r="U216" s="183"/>
      <c r="V216" s="183"/>
      <c r="W216" s="183"/>
    </row>
    <row r="217" spans="1:23" s="184" customFormat="1" ht="15" customHeight="1">
      <c r="A217" s="185"/>
      <c r="B217" s="179"/>
      <c r="C217" s="179"/>
      <c r="D217" s="203"/>
      <c r="E217" s="203"/>
      <c r="F217" s="27"/>
      <c r="G217" s="13" t="s">
        <v>594</v>
      </c>
      <c r="H217" s="170" t="s">
        <v>488</v>
      </c>
      <c r="I217" s="85"/>
      <c r="J217" s="33"/>
      <c r="K217" s="21" t="s">
        <v>155</v>
      </c>
      <c r="L217" s="179"/>
      <c r="M217" s="179"/>
      <c r="N217" s="35" t="s">
        <v>53</v>
      </c>
      <c r="O217" s="186"/>
      <c r="P217" s="182"/>
      <c r="Q217" s="182"/>
      <c r="R217" s="182"/>
      <c r="S217" s="183"/>
      <c r="T217" s="183"/>
      <c r="U217" s="183"/>
      <c r="V217" s="183"/>
      <c r="W217" s="183"/>
    </row>
    <row r="218" spans="1:23" s="184" customFormat="1" ht="15" customHeight="1">
      <c r="A218" s="185"/>
      <c r="B218" s="179"/>
      <c r="C218" s="179"/>
      <c r="D218" s="203"/>
      <c r="E218" s="203" t="s">
        <v>607</v>
      </c>
      <c r="F218" s="27"/>
      <c r="G218" s="13" t="s">
        <v>608</v>
      </c>
      <c r="H218" s="169" t="s">
        <v>472</v>
      </c>
      <c r="I218" s="85"/>
      <c r="J218" s="33"/>
      <c r="K218" s="21" t="s">
        <v>150</v>
      </c>
      <c r="L218" s="179"/>
      <c r="M218" s="179"/>
      <c r="N218" s="35" t="s">
        <v>53</v>
      </c>
      <c r="O218" s="186"/>
      <c r="P218" s="182"/>
      <c r="Q218" s="182"/>
      <c r="R218" s="182"/>
      <c r="S218" s="183"/>
      <c r="T218" s="183"/>
      <c r="U218" s="183"/>
      <c r="V218" s="183"/>
      <c r="W218" s="183"/>
    </row>
    <row r="219" spans="1:23" s="184" customFormat="1" ht="15" customHeight="1">
      <c r="A219" s="185"/>
      <c r="B219" s="179"/>
      <c r="C219" s="179"/>
      <c r="D219" s="203"/>
      <c r="E219" s="203"/>
      <c r="F219" s="27"/>
      <c r="G219" s="13" t="s">
        <v>591</v>
      </c>
      <c r="H219" s="170" t="s">
        <v>488</v>
      </c>
      <c r="I219" s="85"/>
      <c r="J219" s="33"/>
      <c r="K219" s="21" t="s">
        <v>152</v>
      </c>
      <c r="L219" s="179"/>
      <c r="M219" s="179"/>
      <c r="N219" s="35" t="s">
        <v>53</v>
      </c>
      <c r="O219" s="186"/>
      <c r="P219" s="182"/>
      <c r="Q219" s="182"/>
      <c r="R219" s="182"/>
      <c r="S219" s="183"/>
      <c r="T219" s="183"/>
      <c r="U219" s="183"/>
      <c r="V219" s="183"/>
      <c r="W219" s="183"/>
    </row>
    <row r="220" spans="1:23" s="184" customFormat="1" ht="15" customHeight="1">
      <c r="A220" s="185"/>
      <c r="B220" s="179"/>
      <c r="C220" s="179"/>
      <c r="D220" s="203"/>
      <c r="E220" s="203"/>
      <c r="F220" s="27"/>
      <c r="G220" s="13" t="s">
        <v>594</v>
      </c>
      <c r="H220" s="170" t="s">
        <v>488</v>
      </c>
      <c r="I220" s="85"/>
      <c r="J220" s="33"/>
      <c r="K220" s="21" t="s">
        <v>155</v>
      </c>
      <c r="L220" s="179"/>
      <c r="M220" s="179"/>
      <c r="N220" s="35" t="s">
        <v>53</v>
      </c>
      <c r="O220" s="186"/>
      <c r="P220" s="182"/>
      <c r="Q220" s="182"/>
      <c r="R220" s="182"/>
      <c r="S220" s="183"/>
      <c r="T220" s="183"/>
      <c r="U220" s="183"/>
      <c r="V220" s="183"/>
      <c r="W220" s="183"/>
    </row>
    <row r="221" spans="1:23" s="184" customFormat="1" ht="15" customHeight="1">
      <c r="A221" s="185"/>
      <c r="B221" s="179"/>
      <c r="C221" s="179"/>
      <c r="D221" s="188" t="s">
        <v>615</v>
      </c>
      <c r="E221" s="188" t="s">
        <v>616</v>
      </c>
      <c r="F221" s="27"/>
      <c r="G221" s="13" t="s">
        <v>617</v>
      </c>
      <c r="H221" s="169" t="s">
        <v>472</v>
      </c>
      <c r="I221" s="85" t="s">
        <v>693</v>
      </c>
      <c r="J221" s="33"/>
      <c r="K221" s="21" t="s">
        <v>150</v>
      </c>
      <c r="L221" s="179"/>
      <c r="M221" s="179"/>
      <c r="N221" s="35" t="s">
        <v>53</v>
      </c>
      <c r="O221" s="186"/>
      <c r="P221" s="182"/>
      <c r="Q221" s="182"/>
      <c r="R221" s="182"/>
      <c r="S221" s="183"/>
      <c r="T221" s="183"/>
      <c r="U221" s="183"/>
      <c r="V221" s="183"/>
      <c r="W221" s="183"/>
    </row>
    <row r="222" spans="1:23" s="184" customFormat="1" ht="15" customHeight="1">
      <c r="A222" s="185"/>
      <c r="B222" s="179"/>
      <c r="C222" s="179"/>
      <c r="D222" s="189"/>
      <c r="E222" s="189"/>
      <c r="F222" s="27"/>
      <c r="G222" s="13" t="s">
        <v>620</v>
      </c>
      <c r="H222" s="170" t="s">
        <v>488</v>
      </c>
      <c r="I222" s="85"/>
      <c r="J222" s="33"/>
      <c r="K222" s="21" t="s">
        <v>152</v>
      </c>
      <c r="L222" s="179"/>
      <c r="M222" s="179"/>
      <c r="N222" s="35" t="s">
        <v>53</v>
      </c>
      <c r="O222" s="186"/>
      <c r="P222" s="182"/>
      <c r="Q222" s="182"/>
      <c r="R222" s="182"/>
      <c r="S222" s="183"/>
      <c r="T222" s="183"/>
      <c r="U222" s="183"/>
      <c r="V222" s="183"/>
      <c r="W222" s="183"/>
    </row>
    <row r="223" spans="1:23" s="184" customFormat="1" ht="15" customHeight="1">
      <c r="A223" s="185"/>
      <c r="B223" s="179"/>
      <c r="C223" s="179"/>
      <c r="D223" s="189"/>
      <c r="E223" s="190"/>
      <c r="F223" s="27"/>
      <c r="G223" s="13" t="s">
        <v>623</v>
      </c>
      <c r="H223" s="170" t="s">
        <v>488</v>
      </c>
      <c r="I223" s="85"/>
      <c r="J223" s="33"/>
      <c r="K223" s="21" t="s">
        <v>155</v>
      </c>
      <c r="L223" s="179"/>
      <c r="M223" s="179"/>
      <c r="N223" s="35" t="s">
        <v>53</v>
      </c>
      <c r="O223" s="186"/>
      <c r="P223" s="182"/>
      <c r="Q223" s="182"/>
      <c r="R223" s="182"/>
      <c r="S223" s="183"/>
      <c r="T223" s="183"/>
      <c r="U223" s="183"/>
      <c r="V223" s="183"/>
      <c r="W223" s="183"/>
    </row>
    <row r="224" spans="1:23" s="184" customFormat="1" ht="15" customHeight="1">
      <c r="A224" s="185"/>
      <c r="B224" s="179"/>
      <c r="C224" s="179"/>
      <c r="D224" s="189"/>
      <c r="E224" s="188" t="s">
        <v>626</v>
      </c>
      <c r="F224" s="27"/>
      <c r="G224" s="13" t="s">
        <v>627</v>
      </c>
      <c r="H224" s="169" t="s">
        <v>472</v>
      </c>
      <c r="I224" s="85"/>
      <c r="J224" s="33"/>
      <c r="K224" s="21" t="s">
        <v>150</v>
      </c>
      <c r="L224" s="179"/>
      <c r="M224" s="179"/>
      <c r="N224" s="35" t="s">
        <v>53</v>
      </c>
      <c r="O224" s="186"/>
      <c r="P224" s="182"/>
      <c r="Q224" s="182"/>
      <c r="R224" s="182"/>
      <c r="S224" s="183"/>
      <c r="T224" s="183"/>
      <c r="U224" s="183"/>
      <c r="V224" s="183"/>
      <c r="W224" s="183"/>
    </row>
    <row r="225" spans="1:138" s="184" customFormat="1" ht="15" customHeight="1">
      <c r="A225" s="185"/>
      <c r="B225" s="179"/>
      <c r="C225" s="179"/>
      <c r="D225" s="189"/>
      <c r="E225" s="189"/>
      <c r="F225" s="27"/>
      <c r="G225" s="13" t="s">
        <v>630</v>
      </c>
      <c r="H225" s="170" t="s">
        <v>488</v>
      </c>
      <c r="I225" s="85"/>
      <c r="J225" s="33"/>
      <c r="K225" s="21" t="s">
        <v>152</v>
      </c>
      <c r="L225" s="179"/>
      <c r="M225" s="179"/>
      <c r="N225" s="35" t="s">
        <v>53</v>
      </c>
      <c r="O225" s="186"/>
      <c r="P225" s="182"/>
      <c r="Q225" s="182"/>
      <c r="R225" s="182"/>
      <c r="S225" s="183"/>
      <c r="T225" s="183"/>
      <c r="U225" s="183"/>
      <c r="V225" s="183"/>
      <c r="W225" s="183"/>
    </row>
    <row r="226" spans="1:138" s="184" customFormat="1" ht="15" customHeight="1">
      <c r="A226" s="185"/>
      <c r="B226" s="179"/>
      <c r="C226" s="179"/>
      <c r="D226" s="189"/>
      <c r="E226" s="190"/>
      <c r="F226" s="27"/>
      <c r="G226" s="13" t="s">
        <v>633</v>
      </c>
      <c r="H226" s="170" t="s">
        <v>488</v>
      </c>
      <c r="I226" s="85"/>
      <c r="J226" s="33"/>
      <c r="K226" s="21" t="s">
        <v>155</v>
      </c>
      <c r="L226" s="179"/>
      <c r="M226" s="179"/>
      <c r="N226" s="35" t="s">
        <v>53</v>
      </c>
      <c r="O226" s="186"/>
      <c r="P226" s="182"/>
      <c r="Q226" s="182"/>
      <c r="R226" s="182"/>
      <c r="S226" s="183"/>
      <c r="T226" s="183"/>
      <c r="U226" s="183"/>
      <c r="V226" s="183"/>
      <c r="W226" s="183"/>
    </row>
    <row r="227" spans="1:138" s="184" customFormat="1" ht="15" customHeight="1">
      <c r="A227" s="185"/>
      <c r="B227" s="179"/>
      <c r="C227" s="179"/>
      <c r="D227" s="189"/>
      <c r="E227" s="188" t="s">
        <v>636</v>
      </c>
      <c r="F227" s="27"/>
      <c r="G227" s="13" t="s">
        <v>637</v>
      </c>
      <c r="H227" s="169" t="s">
        <v>472</v>
      </c>
      <c r="I227" s="85"/>
      <c r="J227" s="33"/>
      <c r="K227" s="21" t="s">
        <v>150</v>
      </c>
      <c r="L227" s="179"/>
      <c r="M227" s="179"/>
      <c r="N227" s="35" t="s">
        <v>53</v>
      </c>
      <c r="O227" s="186"/>
      <c r="P227" s="182"/>
      <c r="Q227" s="182"/>
      <c r="R227" s="182"/>
      <c r="S227" s="183"/>
      <c r="T227" s="183"/>
      <c r="U227" s="183"/>
      <c r="V227" s="183"/>
      <c r="W227" s="183"/>
    </row>
    <row r="228" spans="1:138" s="184" customFormat="1" ht="15" customHeight="1">
      <c r="A228" s="185"/>
      <c r="B228" s="179"/>
      <c r="C228" s="179"/>
      <c r="D228" s="189"/>
      <c r="E228" s="189"/>
      <c r="F228" s="27"/>
      <c r="G228" s="13" t="s">
        <v>641</v>
      </c>
      <c r="H228" s="170" t="s">
        <v>488</v>
      </c>
      <c r="I228" s="85"/>
      <c r="J228" s="33"/>
      <c r="K228" s="21" t="s">
        <v>152</v>
      </c>
      <c r="L228" s="179"/>
      <c r="M228" s="179"/>
      <c r="N228" s="35" t="s">
        <v>53</v>
      </c>
      <c r="O228" s="186"/>
      <c r="P228" s="182"/>
      <c r="Q228" s="182"/>
      <c r="R228" s="182"/>
      <c r="S228" s="183"/>
      <c r="T228" s="183"/>
      <c r="U228" s="183"/>
      <c r="V228" s="183"/>
      <c r="W228" s="183"/>
    </row>
    <row r="229" spans="1:138" s="184" customFormat="1" ht="15" customHeight="1">
      <c r="A229" s="185"/>
      <c r="B229" s="179"/>
      <c r="C229" s="179"/>
      <c r="D229" s="189"/>
      <c r="E229" s="190"/>
      <c r="F229" s="27"/>
      <c r="G229" s="13" t="s">
        <v>644</v>
      </c>
      <c r="H229" s="170" t="s">
        <v>488</v>
      </c>
      <c r="I229" s="85"/>
      <c r="J229" s="33"/>
      <c r="K229" s="21" t="s">
        <v>155</v>
      </c>
      <c r="L229" s="179"/>
      <c r="M229" s="179"/>
      <c r="N229" s="35" t="s">
        <v>53</v>
      </c>
      <c r="O229" s="186"/>
      <c r="P229" s="182"/>
      <c r="Q229" s="182"/>
      <c r="R229" s="182"/>
      <c r="S229" s="183"/>
      <c r="T229" s="183"/>
      <c r="U229" s="183"/>
      <c r="V229" s="183"/>
      <c r="W229" s="183"/>
    </row>
    <row r="230" spans="1:138" s="184" customFormat="1" ht="15" customHeight="1">
      <c r="A230" s="185"/>
      <c r="B230" s="179"/>
      <c r="C230" s="179"/>
      <c r="D230" s="189"/>
      <c r="E230" s="188" t="s">
        <v>647</v>
      </c>
      <c r="F230" s="27"/>
      <c r="G230" s="13" t="s">
        <v>648</v>
      </c>
      <c r="H230" s="169" t="s">
        <v>472</v>
      </c>
      <c r="I230" s="85"/>
      <c r="J230" s="33"/>
      <c r="K230" s="21" t="s">
        <v>150</v>
      </c>
      <c r="L230" s="179"/>
      <c r="M230" s="179"/>
      <c r="N230" s="35" t="s">
        <v>53</v>
      </c>
      <c r="O230" s="186"/>
      <c r="P230" s="182"/>
      <c r="Q230" s="182"/>
      <c r="R230" s="182"/>
      <c r="S230" s="183"/>
      <c r="T230" s="183"/>
      <c r="U230" s="183"/>
      <c r="V230" s="183"/>
      <c r="W230" s="183"/>
    </row>
    <row r="231" spans="1:138" s="184" customFormat="1" ht="15" customHeight="1">
      <c r="A231" s="185"/>
      <c r="B231" s="179"/>
      <c r="C231" s="179"/>
      <c r="D231" s="189"/>
      <c r="E231" s="189"/>
      <c r="F231" s="27"/>
      <c r="G231" s="13" t="s">
        <v>651</v>
      </c>
      <c r="H231" s="170" t="s">
        <v>488</v>
      </c>
      <c r="I231" s="85"/>
      <c r="J231" s="33"/>
      <c r="K231" s="21" t="s">
        <v>152</v>
      </c>
      <c r="L231" s="179"/>
      <c r="M231" s="179"/>
      <c r="N231" s="35" t="s">
        <v>53</v>
      </c>
      <c r="O231" s="186"/>
      <c r="P231" s="182"/>
      <c r="Q231" s="182"/>
      <c r="R231" s="182"/>
      <c r="S231" s="183"/>
      <c r="T231" s="183"/>
      <c r="U231" s="183"/>
      <c r="V231" s="183"/>
      <c r="W231" s="183"/>
    </row>
    <row r="232" spans="1:138" s="184" customFormat="1" ht="15" customHeight="1">
      <c r="A232" s="185"/>
      <c r="B232" s="179"/>
      <c r="C232" s="179"/>
      <c r="D232" s="189"/>
      <c r="E232" s="190"/>
      <c r="F232" s="27"/>
      <c r="G232" s="13" t="s">
        <v>654</v>
      </c>
      <c r="H232" s="170" t="s">
        <v>488</v>
      </c>
      <c r="I232" s="85"/>
      <c r="J232" s="33"/>
      <c r="K232" s="21" t="s">
        <v>155</v>
      </c>
      <c r="L232" s="179"/>
      <c r="M232" s="179"/>
      <c r="N232" s="35" t="s">
        <v>53</v>
      </c>
      <c r="O232" s="186"/>
      <c r="P232" s="182"/>
      <c r="Q232" s="182"/>
      <c r="R232" s="182"/>
      <c r="S232" s="183"/>
      <c r="T232" s="183"/>
      <c r="U232" s="183"/>
      <c r="V232" s="183"/>
      <c r="W232" s="183"/>
    </row>
    <row r="233" spans="1:138" s="184" customFormat="1" ht="15" customHeight="1">
      <c r="A233" s="185"/>
      <c r="B233" s="179"/>
      <c r="C233" s="179"/>
      <c r="D233" s="189"/>
      <c r="E233" s="188" t="s">
        <v>658</v>
      </c>
      <c r="F233" s="27"/>
      <c r="G233" s="13" t="s">
        <v>659</v>
      </c>
      <c r="H233" s="169" t="s">
        <v>472</v>
      </c>
      <c r="I233" s="85"/>
      <c r="J233" s="33"/>
      <c r="K233" s="21" t="s">
        <v>150</v>
      </c>
      <c r="L233" s="179"/>
      <c r="M233" s="179"/>
      <c r="N233" s="35" t="s">
        <v>53</v>
      </c>
      <c r="O233" s="186"/>
      <c r="P233" s="182"/>
      <c r="Q233" s="182"/>
      <c r="R233" s="182"/>
      <c r="S233" s="183"/>
      <c r="T233" s="183"/>
      <c r="U233" s="183"/>
      <c r="V233" s="183"/>
      <c r="W233" s="183"/>
    </row>
    <row r="234" spans="1:138" s="184" customFormat="1" ht="15" customHeight="1">
      <c r="A234" s="185"/>
      <c r="B234" s="179"/>
      <c r="C234" s="179"/>
      <c r="D234" s="189"/>
      <c r="E234" s="189"/>
      <c r="F234" s="27"/>
      <c r="G234" s="13" t="s">
        <v>662</v>
      </c>
      <c r="H234" s="170" t="s">
        <v>488</v>
      </c>
      <c r="I234" s="85"/>
      <c r="J234" s="33"/>
      <c r="K234" s="21" t="s">
        <v>152</v>
      </c>
      <c r="L234" s="179"/>
      <c r="M234" s="179"/>
      <c r="N234" s="35" t="s">
        <v>53</v>
      </c>
      <c r="O234" s="186"/>
      <c r="P234" s="182"/>
      <c r="Q234" s="182"/>
      <c r="R234" s="182"/>
      <c r="S234" s="183"/>
      <c r="T234" s="183"/>
      <c r="U234" s="183"/>
      <c r="V234" s="183"/>
      <c r="W234" s="183"/>
    </row>
    <row r="235" spans="1:138" s="184" customFormat="1" ht="15" customHeight="1">
      <c r="A235" s="185"/>
      <c r="B235" s="179"/>
      <c r="C235" s="179"/>
      <c r="D235" s="189"/>
      <c r="E235" s="190"/>
      <c r="F235" s="27"/>
      <c r="G235" s="13" t="s">
        <v>666</v>
      </c>
      <c r="H235" s="170" t="s">
        <v>488</v>
      </c>
      <c r="I235" s="85"/>
      <c r="J235" s="33"/>
      <c r="K235" s="21" t="s">
        <v>155</v>
      </c>
      <c r="L235" s="179"/>
      <c r="M235" s="179"/>
      <c r="N235" s="35" t="s">
        <v>53</v>
      </c>
      <c r="O235" s="186"/>
      <c r="P235" s="182"/>
      <c r="Q235" s="182"/>
      <c r="R235" s="182"/>
      <c r="S235" s="183"/>
      <c r="T235" s="183"/>
      <c r="U235" s="183"/>
      <c r="V235" s="183"/>
      <c r="W235" s="183"/>
    </row>
    <row r="236" spans="1:138" s="184" customFormat="1" ht="15" customHeight="1">
      <c r="A236" s="185"/>
      <c r="B236" s="179"/>
      <c r="C236" s="179"/>
      <c r="D236" s="189"/>
      <c r="E236" s="188" t="s">
        <v>670</v>
      </c>
      <c r="F236" s="27"/>
      <c r="G236" s="13" t="s">
        <v>671</v>
      </c>
      <c r="H236" s="169" t="s">
        <v>472</v>
      </c>
      <c r="I236" s="85"/>
      <c r="J236" s="33"/>
      <c r="K236" s="21" t="s">
        <v>150</v>
      </c>
      <c r="L236" s="179"/>
      <c r="M236" s="179"/>
      <c r="N236" s="35" t="s">
        <v>53</v>
      </c>
      <c r="O236" s="186"/>
      <c r="P236" s="182"/>
      <c r="Q236" s="182"/>
      <c r="R236" s="182"/>
      <c r="S236" s="183"/>
      <c r="T236" s="183"/>
      <c r="U236" s="183"/>
      <c r="V236" s="183"/>
      <c r="W236" s="183"/>
    </row>
    <row r="237" spans="1:138" s="184" customFormat="1" ht="15" customHeight="1">
      <c r="A237" s="185"/>
      <c r="B237" s="179"/>
      <c r="C237" s="179"/>
      <c r="D237" s="189"/>
      <c r="E237" s="189"/>
      <c r="F237" s="27"/>
      <c r="G237" s="13" t="s">
        <v>675</v>
      </c>
      <c r="H237" s="170" t="s">
        <v>488</v>
      </c>
      <c r="I237" s="85"/>
      <c r="J237" s="33"/>
      <c r="K237" s="21" t="s">
        <v>152</v>
      </c>
      <c r="L237" s="179"/>
      <c r="M237" s="179"/>
      <c r="N237" s="35" t="s">
        <v>53</v>
      </c>
      <c r="O237" s="186"/>
      <c r="P237" s="182"/>
      <c r="Q237" s="182"/>
      <c r="R237" s="182"/>
      <c r="S237" s="183"/>
      <c r="T237" s="183"/>
      <c r="U237" s="183"/>
      <c r="V237" s="183"/>
      <c r="W237" s="183"/>
    </row>
    <row r="238" spans="1:138" s="184" customFormat="1" ht="15" customHeight="1">
      <c r="A238" s="185"/>
      <c r="B238" s="179"/>
      <c r="C238" s="179"/>
      <c r="D238" s="190"/>
      <c r="E238" s="190"/>
      <c r="F238" s="27"/>
      <c r="G238" s="13" t="s">
        <v>678</v>
      </c>
      <c r="H238" s="170" t="s">
        <v>488</v>
      </c>
      <c r="I238" s="85"/>
      <c r="J238" s="33"/>
      <c r="K238" s="21" t="s">
        <v>155</v>
      </c>
      <c r="L238" s="179"/>
      <c r="M238" s="179"/>
      <c r="N238" s="35" t="s">
        <v>53</v>
      </c>
      <c r="O238" s="186"/>
      <c r="P238" s="182"/>
      <c r="Q238" s="182"/>
      <c r="R238" s="182"/>
      <c r="S238" s="183"/>
      <c r="T238" s="183"/>
      <c r="U238" s="183"/>
      <c r="V238" s="183"/>
      <c r="W238" s="183"/>
    </row>
    <row r="239" spans="1:138" ht="15" customHeight="1">
      <c r="A239" s="194" t="s">
        <v>375</v>
      </c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6"/>
      <c r="S239" s="93">
        <f>COUNTIF($O240:O317,"PASS")</f>
        <v>0</v>
      </c>
      <c r="T239" s="93">
        <f>COUNTIF($O240:O317,"FAIL")</f>
        <v>0</v>
      </c>
      <c r="U239" s="93">
        <f>COUNTBLANK(O240:O317)</f>
        <v>78</v>
      </c>
      <c r="V239" s="93">
        <f>COUNTIF($O240:O317,"IN PROGRESS")</f>
        <v>0</v>
      </c>
      <c r="W239" s="93">
        <f>COUNTIF($O240:O317,"BLOCKED")</f>
        <v>0</v>
      </c>
    </row>
    <row r="240" spans="1:138" ht="72.75">
      <c r="A240" s="179"/>
      <c r="B240" s="187"/>
      <c r="C240" s="187"/>
      <c r="D240" s="191" t="s">
        <v>468</v>
      </c>
      <c r="E240" s="191" t="s">
        <v>469</v>
      </c>
      <c r="F240" s="197" t="s">
        <v>470</v>
      </c>
      <c r="G240" s="31" t="s">
        <v>471</v>
      </c>
      <c r="H240" s="169" t="s">
        <v>472</v>
      </c>
      <c r="I240" s="14" t="s">
        <v>473</v>
      </c>
      <c r="J240" s="15"/>
      <c r="K240" s="8" t="s">
        <v>474</v>
      </c>
      <c r="L240" s="35" t="s">
        <v>53</v>
      </c>
      <c r="M240" s="187"/>
      <c r="N240" s="187"/>
      <c r="O240" s="179"/>
      <c r="P240" s="179"/>
      <c r="Q240" s="179"/>
      <c r="R240" s="179"/>
      <c r="S240" s="180"/>
      <c r="T240" s="180"/>
      <c r="U240" s="180"/>
      <c r="V240" s="180"/>
      <c r="W240" s="180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81"/>
      <c r="AJ240" s="181"/>
      <c r="AK240" s="181"/>
      <c r="AL240" s="181"/>
      <c r="AM240" s="181"/>
      <c r="AN240" s="181"/>
      <c r="AO240" s="181"/>
      <c r="AP240" s="181"/>
      <c r="AQ240" s="181"/>
      <c r="AR240" s="181"/>
      <c r="AS240" s="181"/>
      <c r="AT240" s="181"/>
      <c r="AU240" s="181"/>
      <c r="AV240" s="181"/>
      <c r="AW240" s="181"/>
      <c r="AX240" s="181"/>
      <c r="AY240" s="181"/>
      <c r="AZ240" s="181"/>
      <c r="BA240" s="181"/>
      <c r="BB240" s="181"/>
      <c r="BC240" s="181"/>
      <c r="BD240" s="181"/>
      <c r="BE240" s="181"/>
      <c r="BF240" s="181"/>
      <c r="BG240" s="181"/>
      <c r="BH240" s="181"/>
      <c r="BI240" s="181"/>
      <c r="BJ240" s="181"/>
      <c r="BK240" s="181"/>
      <c r="BL240" s="181"/>
      <c r="BM240" s="181"/>
      <c r="BN240" s="181"/>
      <c r="BO240" s="181"/>
      <c r="BP240" s="181"/>
      <c r="BQ240" s="181"/>
      <c r="BR240" s="181"/>
      <c r="BS240" s="181"/>
      <c r="BT240" s="181"/>
      <c r="BU240" s="181"/>
      <c r="BV240" s="181"/>
      <c r="BW240" s="181"/>
      <c r="BX240" s="181"/>
      <c r="BY240" s="181"/>
      <c r="BZ240" s="181"/>
      <c r="CA240" s="181"/>
      <c r="CB240" s="181"/>
      <c r="CC240" s="181"/>
      <c r="CD240" s="181"/>
      <c r="CE240" s="181"/>
      <c r="CF240" s="181"/>
      <c r="CG240" s="181"/>
      <c r="CH240" s="181"/>
      <c r="CI240" s="181"/>
      <c r="CJ240" s="181"/>
      <c r="CK240" s="181"/>
      <c r="CL240" s="181"/>
      <c r="CM240" s="181"/>
      <c r="CN240" s="181"/>
      <c r="CO240" s="181"/>
      <c r="CP240" s="181"/>
      <c r="CQ240" s="181"/>
      <c r="CR240" s="181"/>
      <c r="CS240" s="181"/>
      <c r="CT240" s="181"/>
      <c r="CU240" s="181"/>
      <c r="CV240" s="181"/>
      <c r="CW240" s="181"/>
      <c r="CX240" s="181"/>
      <c r="CY240" s="181"/>
      <c r="CZ240" s="181"/>
      <c r="DA240" s="181"/>
      <c r="DB240" s="181"/>
      <c r="DC240" s="181"/>
      <c r="DD240" s="181"/>
      <c r="DE240" s="181"/>
      <c r="DF240" s="181"/>
      <c r="DG240" s="181"/>
      <c r="DH240" s="181"/>
      <c r="DI240" s="181"/>
      <c r="DJ240" s="181"/>
      <c r="DK240" s="181"/>
      <c r="DL240" s="181"/>
      <c r="DM240" s="181"/>
      <c r="DN240" s="181"/>
      <c r="DO240" s="181"/>
      <c r="DP240" s="181"/>
      <c r="DQ240" s="181"/>
      <c r="DR240" s="181"/>
      <c r="DS240" s="181"/>
      <c r="DT240" s="181"/>
      <c r="DU240" s="181"/>
      <c r="DV240" s="181"/>
      <c r="DW240" s="181"/>
      <c r="DX240" s="181"/>
      <c r="DY240" s="181"/>
      <c r="DZ240" s="181"/>
      <c r="EA240" s="181"/>
      <c r="EB240" s="181"/>
      <c r="EC240" s="181"/>
      <c r="ED240" s="181"/>
      <c r="EE240" s="181"/>
      <c r="EF240" s="181"/>
      <c r="EG240" s="181"/>
      <c r="EH240" s="181"/>
    </row>
    <row r="241" spans="1:138" ht="29.25">
      <c r="A241" s="185"/>
      <c r="B241" s="179"/>
      <c r="C241" s="179"/>
      <c r="D241" s="192"/>
      <c r="E241" s="192"/>
      <c r="F241" s="198"/>
      <c r="G241" s="31" t="s">
        <v>477</v>
      </c>
      <c r="H241" s="169" t="s">
        <v>472</v>
      </c>
      <c r="I241" s="16" t="s">
        <v>478</v>
      </c>
      <c r="J241" s="15"/>
      <c r="K241" s="8" t="s">
        <v>479</v>
      </c>
      <c r="L241" s="35" t="s">
        <v>53</v>
      </c>
      <c r="M241" s="179"/>
      <c r="N241" s="179"/>
      <c r="O241" s="186"/>
      <c r="P241" s="182"/>
      <c r="Q241" s="182"/>
      <c r="R241" s="182"/>
      <c r="S241" s="183"/>
      <c r="T241" s="183"/>
      <c r="U241" s="183"/>
      <c r="V241" s="183"/>
      <c r="W241" s="183"/>
      <c r="X241" s="184"/>
      <c r="Y241" s="184"/>
      <c r="Z241" s="184"/>
      <c r="AA241" s="184"/>
      <c r="AB241" s="184"/>
      <c r="AC241" s="184"/>
      <c r="AD241" s="184"/>
      <c r="AE241" s="184"/>
      <c r="AF241" s="184"/>
      <c r="AG241" s="184"/>
      <c r="AH241" s="184"/>
      <c r="AI241" s="184"/>
      <c r="AJ241" s="184"/>
      <c r="AK241" s="184"/>
      <c r="AL241" s="184"/>
      <c r="AM241" s="184"/>
      <c r="AN241" s="184"/>
      <c r="AO241" s="184"/>
      <c r="AP241" s="184"/>
      <c r="AQ241" s="184"/>
      <c r="AR241" s="184"/>
      <c r="AS241" s="184"/>
      <c r="AT241" s="184"/>
      <c r="AU241" s="184"/>
      <c r="AV241" s="184"/>
      <c r="AW241" s="184"/>
      <c r="AX241" s="184"/>
      <c r="AY241" s="184"/>
      <c r="AZ241" s="184"/>
      <c r="BA241" s="184"/>
      <c r="BB241" s="184"/>
      <c r="BC241" s="184"/>
      <c r="BD241" s="184"/>
      <c r="BE241" s="184"/>
      <c r="BF241" s="184"/>
      <c r="BG241" s="184"/>
      <c r="BH241" s="184"/>
      <c r="BI241" s="184"/>
      <c r="BJ241" s="184"/>
      <c r="BK241" s="184"/>
      <c r="BL241" s="184"/>
      <c r="BM241" s="184"/>
      <c r="BN241" s="184"/>
      <c r="BO241" s="184"/>
      <c r="BP241" s="184"/>
      <c r="BQ241" s="184"/>
      <c r="BR241" s="184"/>
      <c r="BS241" s="184"/>
      <c r="BT241" s="184"/>
      <c r="BU241" s="184"/>
      <c r="BV241" s="184"/>
      <c r="BW241" s="184"/>
      <c r="BX241" s="184"/>
      <c r="BY241" s="184"/>
      <c r="BZ241" s="184"/>
      <c r="CA241" s="184"/>
      <c r="CB241" s="184"/>
      <c r="CC241" s="184"/>
      <c r="CD241" s="184"/>
      <c r="CE241" s="184"/>
      <c r="CF241" s="184"/>
      <c r="CG241" s="184"/>
      <c r="CH241" s="184"/>
      <c r="CI241" s="184"/>
      <c r="CJ241" s="184"/>
      <c r="CK241" s="184"/>
      <c r="CL241" s="184"/>
      <c r="CM241" s="184"/>
      <c r="CN241" s="184"/>
      <c r="CO241" s="184"/>
      <c r="CP241" s="184"/>
      <c r="CQ241" s="184"/>
      <c r="CR241" s="184"/>
      <c r="CS241" s="184"/>
      <c r="CT241" s="184"/>
      <c r="CU241" s="184"/>
      <c r="CV241" s="184"/>
      <c r="CW241" s="184"/>
      <c r="CX241" s="184"/>
      <c r="CY241" s="184"/>
      <c r="CZ241" s="184"/>
      <c r="DA241" s="184"/>
      <c r="DB241" s="184"/>
      <c r="DC241" s="184"/>
      <c r="DD241" s="184"/>
      <c r="DE241" s="184"/>
      <c r="DF241" s="184"/>
      <c r="DG241" s="184"/>
      <c r="DH241" s="184"/>
      <c r="DI241" s="184"/>
      <c r="DJ241" s="184"/>
      <c r="DK241" s="184"/>
      <c r="DL241" s="184"/>
      <c r="DM241" s="184"/>
      <c r="DN241" s="184"/>
      <c r="DO241" s="184"/>
      <c r="DP241" s="184"/>
      <c r="DQ241" s="184"/>
      <c r="DR241" s="184"/>
      <c r="DS241" s="184"/>
      <c r="DT241" s="184"/>
      <c r="DU241" s="184"/>
      <c r="DV241" s="184"/>
      <c r="DW241" s="184"/>
      <c r="DX241" s="184"/>
      <c r="DY241" s="184"/>
      <c r="DZ241" s="184"/>
      <c r="EA241" s="184"/>
      <c r="EB241" s="184"/>
      <c r="EC241" s="184"/>
      <c r="ED241" s="184"/>
      <c r="EE241" s="184"/>
      <c r="EF241" s="184"/>
      <c r="EG241" s="184"/>
      <c r="EH241" s="184"/>
    </row>
    <row r="242" spans="1:138" ht="43.5">
      <c r="A242" s="185"/>
      <c r="B242" s="179"/>
      <c r="C242" s="179"/>
      <c r="D242" s="192"/>
      <c r="E242" s="192"/>
      <c r="F242" s="27" t="s">
        <v>481</v>
      </c>
      <c r="G242" s="32" t="s">
        <v>482</v>
      </c>
      <c r="H242" s="169" t="s">
        <v>472</v>
      </c>
      <c r="I242" s="18" t="s">
        <v>483</v>
      </c>
      <c r="J242" s="29"/>
      <c r="K242" s="30" t="s">
        <v>484</v>
      </c>
      <c r="L242" s="35" t="s">
        <v>53</v>
      </c>
      <c r="M242" s="179"/>
      <c r="N242" s="179"/>
      <c r="O242" s="186"/>
      <c r="P242" s="182"/>
      <c r="Q242" s="182"/>
      <c r="R242" s="182"/>
      <c r="S242" s="183"/>
      <c r="T242" s="183"/>
      <c r="U242" s="183"/>
      <c r="V242" s="183"/>
      <c r="W242" s="183"/>
      <c r="X242" s="184"/>
      <c r="Y242" s="184"/>
      <c r="Z242" s="184"/>
      <c r="AA242" s="184"/>
      <c r="AB242" s="184"/>
      <c r="AC242" s="184"/>
      <c r="AD242" s="184"/>
      <c r="AE242" s="184"/>
      <c r="AF242" s="184"/>
      <c r="AG242" s="184"/>
      <c r="AH242" s="184"/>
      <c r="AI242" s="184"/>
      <c r="AJ242" s="184"/>
      <c r="AK242" s="184"/>
      <c r="AL242" s="184"/>
      <c r="AM242" s="184"/>
      <c r="AN242" s="184"/>
      <c r="AO242" s="184"/>
      <c r="AP242" s="184"/>
      <c r="AQ242" s="184"/>
      <c r="AR242" s="184"/>
      <c r="AS242" s="184"/>
      <c r="AT242" s="184"/>
      <c r="AU242" s="184"/>
      <c r="AV242" s="184"/>
      <c r="AW242" s="184"/>
      <c r="AX242" s="184"/>
      <c r="AY242" s="184"/>
      <c r="AZ242" s="184"/>
      <c r="BA242" s="184"/>
      <c r="BB242" s="184"/>
      <c r="BC242" s="184"/>
      <c r="BD242" s="184"/>
      <c r="BE242" s="184"/>
      <c r="BF242" s="184"/>
      <c r="BG242" s="184"/>
      <c r="BH242" s="184"/>
      <c r="BI242" s="184"/>
      <c r="BJ242" s="184"/>
      <c r="BK242" s="184"/>
      <c r="BL242" s="184"/>
      <c r="BM242" s="184"/>
      <c r="BN242" s="184"/>
      <c r="BO242" s="184"/>
      <c r="BP242" s="184"/>
      <c r="BQ242" s="184"/>
      <c r="BR242" s="184"/>
      <c r="BS242" s="184"/>
      <c r="BT242" s="184"/>
      <c r="BU242" s="184"/>
      <c r="BV242" s="184"/>
      <c r="BW242" s="184"/>
      <c r="BX242" s="184"/>
      <c r="BY242" s="184"/>
      <c r="BZ242" s="184"/>
      <c r="CA242" s="184"/>
      <c r="CB242" s="184"/>
      <c r="CC242" s="184"/>
      <c r="CD242" s="184"/>
      <c r="CE242" s="184"/>
      <c r="CF242" s="184"/>
      <c r="CG242" s="184"/>
      <c r="CH242" s="184"/>
      <c r="CI242" s="184"/>
      <c r="CJ242" s="184"/>
      <c r="CK242" s="184"/>
      <c r="CL242" s="184"/>
      <c r="CM242" s="184"/>
      <c r="CN242" s="184"/>
      <c r="CO242" s="184"/>
      <c r="CP242" s="184"/>
      <c r="CQ242" s="184"/>
      <c r="CR242" s="184"/>
      <c r="CS242" s="184"/>
      <c r="CT242" s="184"/>
      <c r="CU242" s="184"/>
      <c r="CV242" s="184"/>
      <c r="CW242" s="184"/>
      <c r="CX242" s="184"/>
      <c r="CY242" s="184"/>
      <c r="CZ242" s="184"/>
      <c r="DA242" s="184"/>
      <c r="DB242" s="184"/>
      <c r="DC242" s="184"/>
      <c r="DD242" s="184"/>
      <c r="DE242" s="184"/>
      <c r="DF242" s="184"/>
      <c r="DG242" s="184"/>
      <c r="DH242" s="184"/>
      <c r="DI242" s="184"/>
      <c r="DJ242" s="184"/>
      <c r="DK242" s="184"/>
      <c r="DL242" s="184"/>
      <c r="DM242" s="184"/>
      <c r="DN242" s="184"/>
      <c r="DO242" s="184"/>
      <c r="DP242" s="184"/>
      <c r="DQ242" s="184"/>
      <c r="DR242" s="184"/>
      <c r="DS242" s="184"/>
      <c r="DT242" s="184"/>
      <c r="DU242" s="184"/>
      <c r="DV242" s="184"/>
      <c r="DW242" s="184"/>
      <c r="DX242" s="184"/>
      <c r="DY242" s="184"/>
      <c r="DZ242" s="184"/>
      <c r="EA242" s="184"/>
      <c r="EB242" s="184"/>
      <c r="EC242" s="184"/>
      <c r="ED242" s="184"/>
      <c r="EE242" s="184"/>
      <c r="EF242" s="184"/>
      <c r="EG242" s="184"/>
      <c r="EH242" s="184"/>
    </row>
    <row r="243" spans="1:138" ht="43.5">
      <c r="A243" s="185"/>
      <c r="B243" s="179"/>
      <c r="C243" s="179"/>
      <c r="D243" s="192"/>
      <c r="E243" s="192"/>
      <c r="F243" s="27" t="s">
        <v>685</v>
      </c>
      <c r="G243" s="32" t="s">
        <v>686</v>
      </c>
      <c r="H243" s="170" t="s">
        <v>488</v>
      </c>
      <c r="I243" s="18" t="s">
        <v>687</v>
      </c>
      <c r="J243" s="29"/>
      <c r="K243" s="30" t="s">
        <v>688</v>
      </c>
      <c r="L243" s="35" t="s">
        <v>53</v>
      </c>
      <c r="M243" s="179"/>
      <c r="N243" s="179"/>
      <c r="O243" s="186"/>
      <c r="P243" s="182"/>
      <c r="Q243" s="182"/>
      <c r="R243" s="182"/>
      <c r="S243" s="183"/>
      <c r="T243" s="183"/>
      <c r="U243" s="183"/>
      <c r="V243" s="183"/>
      <c r="W243" s="183"/>
      <c r="X243" s="184"/>
      <c r="Y243" s="184"/>
      <c r="Z243" s="184"/>
      <c r="AA243" s="184"/>
      <c r="AB243" s="184"/>
      <c r="AC243" s="184"/>
      <c r="AD243" s="184"/>
      <c r="AE243" s="184"/>
      <c r="AF243" s="184"/>
      <c r="AG243" s="184"/>
      <c r="AH243" s="184"/>
      <c r="AI243" s="184"/>
      <c r="AJ243" s="184"/>
      <c r="AK243" s="184"/>
      <c r="AL243" s="184"/>
      <c r="AM243" s="184"/>
      <c r="AN243" s="184"/>
      <c r="AO243" s="184"/>
      <c r="AP243" s="184"/>
      <c r="AQ243" s="184"/>
      <c r="AR243" s="184"/>
      <c r="AS243" s="184"/>
      <c r="AT243" s="184"/>
      <c r="AU243" s="184"/>
      <c r="AV243" s="184"/>
      <c r="AW243" s="184"/>
      <c r="AX243" s="184"/>
      <c r="AY243" s="184"/>
      <c r="AZ243" s="184"/>
      <c r="BA243" s="184"/>
      <c r="BB243" s="184"/>
      <c r="BC243" s="184"/>
      <c r="BD243" s="184"/>
      <c r="BE243" s="184"/>
      <c r="BF243" s="184"/>
      <c r="BG243" s="184"/>
      <c r="BH243" s="184"/>
      <c r="BI243" s="184"/>
      <c r="BJ243" s="184"/>
      <c r="BK243" s="184"/>
      <c r="BL243" s="184"/>
      <c r="BM243" s="184"/>
      <c r="BN243" s="184"/>
      <c r="BO243" s="184"/>
      <c r="BP243" s="184"/>
      <c r="BQ243" s="184"/>
      <c r="BR243" s="184"/>
      <c r="BS243" s="184"/>
      <c r="BT243" s="184"/>
      <c r="BU243" s="184"/>
      <c r="BV243" s="184"/>
      <c r="BW243" s="184"/>
      <c r="BX243" s="184"/>
      <c r="BY243" s="184"/>
      <c r="BZ243" s="184"/>
      <c r="CA243" s="184"/>
      <c r="CB243" s="184"/>
      <c r="CC243" s="184"/>
      <c r="CD243" s="184"/>
      <c r="CE243" s="184"/>
      <c r="CF243" s="184"/>
      <c r="CG243" s="184"/>
      <c r="CH243" s="184"/>
      <c r="CI243" s="184"/>
      <c r="CJ243" s="184"/>
      <c r="CK243" s="184"/>
      <c r="CL243" s="184"/>
      <c r="CM243" s="184"/>
      <c r="CN243" s="184"/>
      <c r="CO243" s="184"/>
      <c r="CP243" s="184"/>
      <c r="CQ243" s="184"/>
      <c r="CR243" s="184"/>
      <c r="CS243" s="184"/>
      <c r="CT243" s="184"/>
      <c r="CU243" s="184"/>
      <c r="CV243" s="184"/>
      <c r="CW243" s="184"/>
      <c r="CX243" s="184"/>
      <c r="CY243" s="184"/>
      <c r="CZ243" s="184"/>
      <c r="DA243" s="184"/>
      <c r="DB243" s="184"/>
      <c r="DC243" s="184"/>
      <c r="DD243" s="184"/>
      <c r="DE243" s="184"/>
      <c r="DF243" s="184"/>
      <c r="DG243" s="184"/>
      <c r="DH243" s="184"/>
      <c r="DI243" s="184"/>
      <c r="DJ243" s="184"/>
      <c r="DK243" s="184"/>
      <c r="DL243" s="184"/>
      <c r="DM243" s="184"/>
      <c r="DN243" s="184"/>
      <c r="DO243" s="184"/>
      <c r="DP243" s="184"/>
      <c r="DQ243" s="184"/>
      <c r="DR243" s="184"/>
      <c r="DS243" s="184"/>
      <c r="DT243" s="184"/>
      <c r="DU243" s="184"/>
      <c r="DV243" s="184"/>
      <c r="DW243" s="184"/>
      <c r="DX243" s="184"/>
      <c r="DY243" s="184"/>
      <c r="DZ243" s="184"/>
      <c r="EA243" s="184"/>
      <c r="EB243" s="184"/>
      <c r="EC243" s="184"/>
      <c r="ED243" s="184"/>
      <c r="EE243" s="184"/>
      <c r="EF243" s="184"/>
      <c r="EG243" s="184"/>
      <c r="EH243" s="184"/>
    </row>
    <row r="244" spans="1:138" ht="29.25">
      <c r="A244" s="185"/>
      <c r="B244" s="179"/>
      <c r="C244" s="179"/>
      <c r="D244" s="192"/>
      <c r="E244" s="192"/>
      <c r="F244" s="27" t="s">
        <v>486</v>
      </c>
      <c r="G244" s="32" t="s">
        <v>487</v>
      </c>
      <c r="H244" s="170" t="s">
        <v>488</v>
      </c>
      <c r="I244" s="18" t="s">
        <v>690</v>
      </c>
      <c r="J244" s="29"/>
      <c r="K244" s="30" t="s">
        <v>490</v>
      </c>
      <c r="L244" s="65" t="s">
        <v>53</v>
      </c>
      <c r="M244" s="179"/>
      <c r="N244" s="179"/>
      <c r="O244" s="186"/>
      <c r="P244" s="182"/>
      <c r="Q244" s="182"/>
      <c r="R244" s="182"/>
      <c r="S244" s="183"/>
      <c r="T244" s="183"/>
      <c r="U244" s="183"/>
      <c r="V244" s="183"/>
      <c r="W244" s="183"/>
      <c r="X244" s="184"/>
      <c r="Y244" s="184"/>
      <c r="Z244" s="184"/>
      <c r="AA244" s="184"/>
      <c r="AB244" s="184"/>
      <c r="AC244" s="184"/>
      <c r="AD244" s="184"/>
      <c r="AE244" s="184"/>
      <c r="AF244" s="184"/>
      <c r="AG244" s="184"/>
      <c r="AH244" s="184"/>
      <c r="AI244" s="184"/>
      <c r="AJ244" s="184"/>
      <c r="AK244" s="184"/>
      <c r="AL244" s="184"/>
      <c r="AM244" s="184"/>
      <c r="AN244" s="184"/>
      <c r="AO244" s="184"/>
      <c r="AP244" s="184"/>
      <c r="AQ244" s="184"/>
      <c r="AR244" s="184"/>
      <c r="AS244" s="184"/>
      <c r="AT244" s="184"/>
      <c r="AU244" s="184"/>
      <c r="AV244" s="184"/>
      <c r="AW244" s="184"/>
      <c r="AX244" s="184"/>
      <c r="AY244" s="184"/>
      <c r="AZ244" s="184"/>
      <c r="BA244" s="184"/>
      <c r="BB244" s="184"/>
      <c r="BC244" s="184"/>
      <c r="BD244" s="184"/>
      <c r="BE244" s="184"/>
      <c r="BF244" s="184"/>
      <c r="BG244" s="184"/>
      <c r="BH244" s="184"/>
      <c r="BI244" s="184"/>
      <c r="BJ244" s="184"/>
      <c r="BK244" s="184"/>
      <c r="BL244" s="184"/>
      <c r="BM244" s="184"/>
      <c r="BN244" s="184"/>
      <c r="BO244" s="184"/>
      <c r="BP244" s="184"/>
      <c r="BQ244" s="184"/>
      <c r="BR244" s="184"/>
      <c r="BS244" s="184"/>
      <c r="BT244" s="184"/>
      <c r="BU244" s="184"/>
      <c r="BV244" s="184"/>
      <c r="BW244" s="184"/>
      <c r="BX244" s="184"/>
      <c r="BY244" s="184"/>
      <c r="BZ244" s="184"/>
      <c r="CA244" s="184"/>
      <c r="CB244" s="184"/>
      <c r="CC244" s="184"/>
      <c r="CD244" s="184"/>
      <c r="CE244" s="184"/>
      <c r="CF244" s="184"/>
      <c r="CG244" s="184"/>
      <c r="CH244" s="184"/>
      <c r="CI244" s="184"/>
      <c r="CJ244" s="184"/>
      <c r="CK244" s="184"/>
      <c r="CL244" s="184"/>
      <c r="CM244" s="184"/>
      <c r="CN244" s="184"/>
      <c r="CO244" s="184"/>
      <c r="CP244" s="184"/>
      <c r="CQ244" s="184"/>
      <c r="CR244" s="184"/>
      <c r="CS244" s="184"/>
      <c r="CT244" s="184"/>
      <c r="CU244" s="184"/>
      <c r="CV244" s="184"/>
      <c r="CW244" s="184"/>
      <c r="CX244" s="184"/>
      <c r="CY244" s="184"/>
      <c r="CZ244" s="184"/>
      <c r="DA244" s="184"/>
      <c r="DB244" s="184"/>
      <c r="DC244" s="184"/>
      <c r="DD244" s="184"/>
      <c r="DE244" s="184"/>
      <c r="DF244" s="184"/>
      <c r="DG244" s="184"/>
      <c r="DH244" s="184"/>
      <c r="DI244" s="184"/>
      <c r="DJ244" s="184"/>
      <c r="DK244" s="184"/>
      <c r="DL244" s="184"/>
      <c r="DM244" s="184"/>
      <c r="DN244" s="184"/>
      <c r="DO244" s="184"/>
      <c r="DP244" s="184"/>
      <c r="DQ244" s="184"/>
      <c r="DR244" s="184"/>
      <c r="DS244" s="184"/>
      <c r="DT244" s="184"/>
      <c r="DU244" s="184"/>
      <c r="DV244" s="184"/>
      <c r="DW244" s="184"/>
      <c r="DX244" s="184"/>
      <c r="DY244" s="184"/>
      <c r="DZ244" s="184"/>
      <c r="EA244" s="184"/>
      <c r="EB244" s="184"/>
      <c r="EC244" s="184"/>
      <c r="ED244" s="184"/>
      <c r="EE244" s="184"/>
      <c r="EF244" s="184"/>
      <c r="EG244" s="184"/>
      <c r="EH244" s="184"/>
    </row>
    <row r="245" spans="1:138" ht="29.25">
      <c r="A245" s="185"/>
      <c r="B245" s="179"/>
      <c r="C245" s="179"/>
      <c r="D245" s="193"/>
      <c r="E245" s="193"/>
      <c r="F245" s="28" t="s">
        <v>492</v>
      </c>
      <c r="G245" s="32" t="s">
        <v>493</v>
      </c>
      <c r="H245" s="170" t="s">
        <v>488</v>
      </c>
      <c r="I245" s="18" t="s">
        <v>494</v>
      </c>
      <c r="J245" s="33"/>
      <c r="K245" s="30" t="s">
        <v>495</v>
      </c>
      <c r="L245" s="35" t="s">
        <v>53</v>
      </c>
      <c r="M245" s="179"/>
      <c r="N245" s="179"/>
      <c r="O245" s="186"/>
      <c r="P245" s="182"/>
      <c r="Q245" s="182"/>
      <c r="R245" s="182"/>
      <c r="S245" s="183"/>
      <c r="T245" s="183"/>
      <c r="U245" s="183"/>
      <c r="V245" s="183"/>
      <c r="W245" s="183"/>
      <c r="X245" s="184"/>
      <c r="Y245" s="184"/>
      <c r="Z245" s="184"/>
      <c r="AA245" s="184"/>
      <c r="AB245" s="184"/>
      <c r="AC245" s="184"/>
      <c r="AD245" s="184"/>
      <c r="AE245" s="184"/>
      <c r="AF245" s="184"/>
      <c r="AG245" s="184"/>
      <c r="AH245" s="184"/>
      <c r="AI245" s="184"/>
      <c r="AJ245" s="184"/>
      <c r="AK245" s="184"/>
      <c r="AL245" s="184"/>
      <c r="AM245" s="184"/>
      <c r="AN245" s="184"/>
      <c r="AO245" s="184"/>
      <c r="AP245" s="184"/>
      <c r="AQ245" s="184"/>
      <c r="AR245" s="184"/>
      <c r="AS245" s="184"/>
      <c r="AT245" s="184"/>
      <c r="AU245" s="184"/>
      <c r="AV245" s="184"/>
      <c r="AW245" s="184"/>
      <c r="AX245" s="184"/>
      <c r="AY245" s="184"/>
      <c r="AZ245" s="184"/>
      <c r="BA245" s="184"/>
      <c r="BB245" s="184"/>
      <c r="BC245" s="184"/>
      <c r="BD245" s="184"/>
      <c r="BE245" s="184"/>
      <c r="BF245" s="184"/>
      <c r="BG245" s="184"/>
      <c r="BH245" s="184"/>
      <c r="BI245" s="184"/>
      <c r="BJ245" s="184"/>
      <c r="BK245" s="184"/>
      <c r="BL245" s="184"/>
      <c r="BM245" s="184"/>
      <c r="BN245" s="184"/>
      <c r="BO245" s="184"/>
      <c r="BP245" s="184"/>
      <c r="BQ245" s="184"/>
      <c r="BR245" s="184"/>
      <c r="BS245" s="184"/>
      <c r="BT245" s="184"/>
      <c r="BU245" s="184"/>
      <c r="BV245" s="184"/>
      <c r="BW245" s="184"/>
      <c r="BX245" s="184"/>
      <c r="BY245" s="184"/>
      <c r="BZ245" s="184"/>
      <c r="CA245" s="184"/>
      <c r="CB245" s="184"/>
      <c r="CC245" s="184"/>
      <c r="CD245" s="184"/>
      <c r="CE245" s="184"/>
      <c r="CF245" s="184"/>
      <c r="CG245" s="184"/>
      <c r="CH245" s="184"/>
      <c r="CI245" s="184"/>
      <c r="CJ245" s="184"/>
      <c r="CK245" s="184"/>
      <c r="CL245" s="184"/>
      <c r="CM245" s="184"/>
      <c r="CN245" s="184"/>
      <c r="CO245" s="184"/>
      <c r="CP245" s="184"/>
      <c r="CQ245" s="184"/>
      <c r="CR245" s="184"/>
      <c r="CS245" s="184"/>
      <c r="CT245" s="184"/>
      <c r="CU245" s="184"/>
      <c r="CV245" s="184"/>
      <c r="CW245" s="184"/>
      <c r="CX245" s="184"/>
      <c r="CY245" s="184"/>
      <c r="CZ245" s="184"/>
      <c r="DA245" s="184"/>
      <c r="DB245" s="184"/>
      <c r="DC245" s="184"/>
      <c r="DD245" s="184"/>
      <c r="DE245" s="184"/>
      <c r="DF245" s="184"/>
      <c r="DG245" s="184"/>
      <c r="DH245" s="184"/>
      <c r="DI245" s="184"/>
      <c r="DJ245" s="184"/>
      <c r="DK245" s="184"/>
      <c r="DL245" s="184"/>
      <c r="DM245" s="184"/>
      <c r="DN245" s="184"/>
      <c r="DO245" s="184"/>
      <c r="DP245" s="184"/>
      <c r="DQ245" s="184"/>
      <c r="DR245" s="184"/>
      <c r="DS245" s="184"/>
      <c r="DT245" s="184"/>
      <c r="DU245" s="184"/>
      <c r="DV245" s="184"/>
      <c r="DW245" s="184"/>
      <c r="DX245" s="184"/>
      <c r="DY245" s="184"/>
      <c r="DZ245" s="184"/>
      <c r="EA245" s="184"/>
      <c r="EB245" s="184"/>
      <c r="EC245" s="184"/>
      <c r="ED245" s="184"/>
      <c r="EE245" s="184"/>
      <c r="EF245" s="184"/>
      <c r="EG245" s="184"/>
      <c r="EH245" s="184"/>
    </row>
    <row r="246" spans="1:138" ht="29.25">
      <c r="A246" s="185"/>
      <c r="B246" s="179"/>
      <c r="C246" s="179"/>
      <c r="D246" s="191" t="s">
        <v>169</v>
      </c>
      <c r="E246" s="191" t="s">
        <v>497</v>
      </c>
      <c r="F246" s="160"/>
      <c r="G246" s="27" t="s">
        <v>498</v>
      </c>
      <c r="H246" s="171" t="s">
        <v>472</v>
      </c>
      <c r="I246" s="43"/>
      <c r="J246" s="33"/>
      <c r="K246" s="4" t="s">
        <v>52</v>
      </c>
      <c r="L246" s="35" t="s">
        <v>53</v>
      </c>
      <c r="M246" s="179"/>
      <c r="N246" s="179"/>
      <c r="O246" s="186"/>
      <c r="P246" s="182"/>
      <c r="Q246" s="182"/>
      <c r="R246" s="182"/>
      <c r="S246" s="183"/>
      <c r="T246" s="183"/>
      <c r="U246" s="183"/>
      <c r="V246" s="183"/>
      <c r="W246" s="183"/>
      <c r="X246" s="184"/>
      <c r="Y246" s="184"/>
      <c r="Z246" s="184"/>
      <c r="AA246" s="184"/>
      <c r="AB246" s="184"/>
      <c r="AC246" s="184"/>
      <c r="AD246" s="184"/>
      <c r="AE246" s="184"/>
      <c r="AF246" s="184"/>
      <c r="AG246" s="184"/>
      <c r="AH246" s="184"/>
      <c r="AI246" s="184"/>
      <c r="AJ246" s="184"/>
      <c r="AK246" s="184"/>
      <c r="AL246" s="184"/>
      <c r="AM246" s="184"/>
      <c r="AN246" s="184"/>
      <c r="AO246" s="184"/>
      <c r="AP246" s="184"/>
      <c r="AQ246" s="184"/>
      <c r="AR246" s="184"/>
      <c r="AS246" s="184"/>
      <c r="AT246" s="184"/>
      <c r="AU246" s="184"/>
      <c r="AV246" s="184"/>
      <c r="AW246" s="184"/>
      <c r="AX246" s="184"/>
      <c r="AY246" s="184"/>
      <c r="AZ246" s="184"/>
      <c r="BA246" s="184"/>
      <c r="BB246" s="184"/>
      <c r="BC246" s="184"/>
      <c r="BD246" s="184"/>
      <c r="BE246" s="184"/>
      <c r="BF246" s="184"/>
      <c r="BG246" s="184"/>
      <c r="BH246" s="184"/>
      <c r="BI246" s="184"/>
      <c r="BJ246" s="184"/>
      <c r="BK246" s="184"/>
      <c r="BL246" s="184"/>
      <c r="BM246" s="184"/>
      <c r="BN246" s="184"/>
      <c r="BO246" s="184"/>
      <c r="BP246" s="184"/>
      <c r="BQ246" s="184"/>
      <c r="BR246" s="184"/>
      <c r="BS246" s="184"/>
      <c r="BT246" s="184"/>
      <c r="BU246" s="184"/>
      <c r="BV246" s="184"/>
      <c r="BW246" s="184"/>
      <c r="BX246" s="184"/>
      <c r="BY246" s="184"/>
      <c r="BZ246" s="184"/>
      <c r="CA246" s="184"/>
      <c r="CB246" s="184"/>
      <c r="CC246" s="184"/>
      <c r="CD246" s="184"/>
      <c r="CE246" s="184"/>
      <c r="CF246" s="184"/>
      <c r="CG246" s="184"/>
      <c r="CH246" s="184"/>
      <c r="CI246" s="184"/>
      <c r="CJ246" s="184"/>
      <c r="CK246" s="184"/>
      <c r="CL246" s="184"/>
      <c r="CM246" s="184"/>
      <c r="CN246" s="184"/>
      <c r="CO246" s="184"/>
      <c r="CP246" s="184"/>
      <c r="CQ246" s="184"/>
      <c r="CR246" s="184"/>
      <c r="CS246" s="184"/>
      <c r="CT246" s="184"/>
      <c r="CU246" s="184"/>
      <c r="CV246" s="184"/>
      <c r="CW246" s="184"/>
      <c r="CX246" s="184"/>
      <c r="CY246" s="184"/>
      <c r="CZ246" s="184"/>
      <c r="DA246" s="184"/>
      <c r="DB246" s="184"/>
      <c r="DC246" s="184"/>
      <c r="DD246" s="184"/>
      <c r="DE246" s="184"/>
      <c r="DF246" s="184"/>
      <c r="DG246" s="184"/>
      <c r="DH246" s="184"/>
      <c r="DI246" s="184"/>
      <c r="DJ246" s="184"/>
      <c r="DK246" s="184"/>
      <c r="DL246" s="184"/>
      <c r="DM246" s="184"/>
      <c r="DN246" s="184"/>
      <c r="DO246" s="184"/>
      <c r="DP246" s="184"/>
      <c r="DQ246" s="184"/>
      <c r="DR246" s="184"/>
      <c r="DS246" s="184"/>
      <c r="DT246" s="184"/>
      <c r="DU246" s="184"/>
      <c r="DV246" s="184"/>
      <c r="DW246" s="184"/>
      <c r="DX246" s="184"/>
      <c r="DY246" s="184"/>
      <c r="DZ246" s="184"/>
      <c r="EA246" s="184"/>
      <c r="EB246" s="184"/>
      <c r="EC246" s="184"/>
      <c r="ED246" s="184"/>
      <c r="EE246" s="184"/>
      <c r="EF246" s="184"/>
      <c r="EG246" s="184"/>
      <c r="EH246" s="184"/>
    </row>
    <row r="247" spans="1:138" ht="43.5">
      <c r="A247" s="185"/>
      <c r="B247" s="179"/>
      <c r="C247" s="179"/>
      <c r="D247" s="192"/>
      <c r="E247" s="192"/>
      <c r="F247" s="172"/>
      <c r="G247" s="36" t="s">
        <v>71</v>
      </c>
      <c r="H247" s="171" t="s">
        <v>472</v>
      </c>
      <c r="I247" s="43"/>
      <c r="J247" s="33"/>
      <c r="K247" s="10" t="s">
        <v>57</v>
      </c>
      <c r="L247" s="35" t="s">
        <v>53</v>
      </c>
      <c r="M247" s="179"/>
      <c r="N247" s="179"/>
      <c r="O247" s="186"/>
      <c r="P247" s="182"/>
      <c r="Q247" s="182"/>
      <c r="R247" s="182"/>
      <c r="S247" s="183"/>
      <c r="T247" s="183"/>
      <c r="U247" s="183"/>
      <c r="V247" s="183"/>
      <c r="W247" s="183"/>
      <c r="X247" s="184"/>
      <c r="Y247" s="184"/>
      <c r="Z247" s="184"/>
      <c r="AA247" s="184"/>
      <c r="AB247" s="184"/>
      <c r="AC247" s="184"/>
      <c r="AD247" s="184"/>
      <c r="AE247" s="184"/>
      <c r="AF247" s="184"/>
      <c r="AG247" s="184"/>
      <c r="AH247" s="184"/>
      <c r="AI247" s="184"/>
      <c r="AJ247" s="184"/>
      <c r="AK247" s="184"/>
      <c r="AL247" s="184"/>
      <c r="AM247" s="184"/>
      <c r="AN247" s="184"/>
      <c r="AO247" s="184"/>
      <c r="AP247" s="184"/>
      <c r="AQ247" s="184"/>
      <c r="AR247" s="184"/>
      <c r="AS247" s="184"/>
      <c r="AT247" s="184"/>
      <c r="AU247" s="184"/>
      <c r="AV247" s="184"/>
      <c r="AW247" s="184"/>
      <c r="AX247" s="184"/>
      <c r="AY247" s="184"/>
      <c r="AZ247" s="184"/>
      <c r="BA247" s="184"/>
      <c r="BB247" s="184"/>
      <c r="BC247" s="184"/>
      <c r="BD247" s="184"/>
      <c r="BE247" s="184"/>
      <c r="BF247" s="184"/>
      <c r="BG247" s="184"/>
      <c r="BH247" s="184"/>
      <c r="BI247" s="184"/>
      <c r="BJ247" s="184"/>
      <c r="BK247" s="184"/>
      <c r="BL247" s="184"/>
      <c r="BM247" s="184"/>
      <c r="BN247" s="184"/>
      <c r="BO247" s="184"/>
      <c r="BP247" s="184"/>
      <c r="BQ247" s="184"/>
      <c r="BR247" s="184"/>
      <c r="BS247" s="184"/>
      <c r="BT247" s="184"/>
      <c r="BU247" s="184"/>
      <c r="BV247" s="184"/>
      <c r="BW247" s="184"/>
      <c r="BX247" s="184"/>
      <c r="BY247" s="184"/>
      <c r="BZ247" s="184"/>
      <c r="CA247" s="184"/>
      <c r="CB247" s="184"/>
      <c r="CC247" s="184"/>
      <c r="CD247" s="184"/>
      <c r="CE247" s="184"/>
      <c r="CF247" s="184"/>
      <c r="CG247" s="184"/>
      <c r="CH247" s="184"/>
      <c r="CI247" s="184"/>
      <c r="CJ247" s="184"/>
      <c r="CK247" s="184"/>
      <c r="CL247" s="184"/>
      <c r="CM247" s="184"/>
      <c r="CN247" s="184"/>
      <c r="CO247" s="184"/>
      <c r="CP247" s="184"/>
      <c r="CQ247" s="184"/>
      <c r="CR247" s="184"/>
      <c r="CS247" s="184"/>
      <c r="CT247" s="184"/>
      <c r="CU247" s="184"/>
      <c r="CV247" s="184"/>
      <c r="CW247" s="184"/>
      <c r="CX247" s="184"/>
      <c r="CY247" s="184"/>
      <c r="CZ247" s="184"/>
      <c r="DA247" s="184"/>
      <c r="DB247" s="184"/>
      <c r="DC247" s="184"/>
      <c r="DD247" s="184"/>
      <c r="DE247" s="184"/>
      <c r="DF247" s="184"/>
      <c r="DG247" s="184"/>
      <c r="DH247" s="184"/>
      <c r="DI247" s="184"/>
      <c r="DJ247" s="184"/>
      <c r="DK247" s="184"/>
      <c r="DL247" s="184"/>
      <c r="DM247" s="184"/>
      <c r="DN247" s="184"/>
      <c r="DO247" s="184"/>
      <c r="DP247" s="184"/>
      <c r="DQ247" s="184"/>
      <c r="DR247" s="184"/>
      <c r="DS247" s="184"/>
      <c r="DT247" s="184"/>
      <c r="DU247" s="184"/>
      <c r="DV247" s="184"/>
      <c r="DW247" s="184"/>
      <c r="DX247" s="184"/>
      <c r="DY247" s="184"/>
      <c r="DZ247" s="184"/>
      <c r="EA247" s="184"/>
      <c r="EB247" s="184"/>
      <c r="EC247" s="184"/>
      <c r="ED247" s="184"/>
      <c r="EE247" s="184"/>
      <c r="EF247" s="184"/>
      <c r="EG247" s="184"/>
      <c r="EH247" s="184"/>
    </row>
    <row r="248" spans="1:138">
      <c r="A248" s="185"/>
      <c r="B248" s="179"/>
      <c r="C248" s="179"/>
      <c r="D248" s="192"/>
      <c r="E248" s="192"/>
      <c r="F248" s="173"/>
      <c r="G248" s="14" t="s">
        <v>59</v>
      </c>
      <c r="H248" s="171" t="s">
        <v>472</v>
      </c>
      <c r="I248" s="43"/>
      <c r="J248" s="33"/>
      <c r="K248" s="4" t="s">
        <v>60</v>
      </c>
      <c r="L248" s="35" t="s">
        <v>53</v>
      </c>
      <c r="M248" s="179"/>
      <c r="N248" s="179"/>
      <c r="O248" s="186"/>
      <c r="P248" s="182"/>
      <c r="Q248" s="182"/>
      <c r="R248" s="182"/>
      <c r="S248" s="183"/>
      <c r="T248" s="183"/>
      <c r="U248" s="183"/>
      <c r="V248" s="183"/>
      <c r="W248" s="183"/>
      <c r="X248" s="184"/>
      <c r="Y248" s="184"/>
      <c r="Z248" s="184"/>
      <c r="AA248" s="184"/>
      <c r="AB248" s="184"/>
      <c r="AC248" s="184"/>
      <c r="AD248" s="184"/>
      <c r="AE248" s="184"/>
      <c r="AF248" s="184"/>
      <c r="AG248" s="184"/>
      <c r="AH248" s="184"/>
      <c r="AI248" s="184"/>
      <c r="AJ248" s="184"/>
      <c r="AK248" s="184"/>
      <c r="AL248" s="184"/>
      <c r="AM248" s="184"/>
      <c r="AN248" s="184"/>
      <c r="AO248" s="184"/>
      <c r="AP248" s="184"/>
      <c r="AQ248" s="184"/>
      <c r="AR248" s="184"/>
      <c r="AS248" s="184"/>
      <c r="AT248" s="184"/>
      <c r="AU248" s="184"/>
      <c r="AV248" s="184"/>
      <c r="AW248" s="184"/>
      <c r="AX248" s="184"/>
      <c r="AY248" s="184"/>
      <c r="AZ248" s="184"/>
      <c r="BA248" s="184"/>
      <c r="BB248" s="184"/>
      <c r="BC248" s="184"/>
      <c r="BD248" s="184"/>
      <c r="BE248" s="184"/>
      <c r="BF248" s="184"/>
      <c r="BG248" s="184"/>
      <c r="BH248" s="184"/>
      <c r="BI248" s="184"/>
      <c r="BJ248" s="184"/>
      <c r="BK248" s="184"/>
      <c r="BL248" s="184"/>
      <c r="BM248" s="184"/>
      <c r="BN248" s="184"/>
      <c r="BO248" s="184"/>
      <c r="BP248" s="184"/>
      <c r="BQ248" s="184"/>
      <c r="BR248" s="184"/>
      <c r="BS248" s="184"/>
      <c r="BT248" s="184"/>
      <c r="BU248" s="184"/>
      <c r="BV248" s="184"/>
      <c r="BW248" s="184"/>
      <c r="BX248" s="184"/>
      <c r="BY248" s="184"/>
      <c r="BZ248" s="184"/>
      <c r="CA248" s="184"/>
      <c r="CB248" s="184"/>
      <c r="CC248" s="184"/>
      <c r="CD248" s="184"/>
      <c r="CE248" s="184"/>
      <c r="CF248" s="184"/>
      <c r="CG248" s="184"/>
      <c r="CH248" s="184"/>
      <c r="CI248" s="184"/>
      <c r="CJ248" s="184"/>
      <c r="CK248" s="184"/>
      <c r="CL248" s="184"/>
      <c r="CM248" s="184"/>
      <c r="CN248" s="184"/>
      <c r="CO248" s="184"/>
      <c r="CP248" s="184"/>
      <c r="CQ248" s="184"/>
      <c r="CR248" s="184"/>
      <c r="CS248" s="184"/>
      <c r="CT248" s="184"/>
      <c r="CU248" s="184"/>
      <c r="CV248" s="184"/>
      <c r="CW248" s="184"/>
      <c r="CX248" s="184"/>
      <c r="CY248" s="184"/>
      <c r="CZ248" s="184"/>
      <c r="DA248" s="184"/>
      <c r="DB248" s="184"/>
      <c r="DC248" s="184"/>
      <c r="DD248" s="184"/>
      <c r="DE248" s="184"/>
      <c r="DF248" s="184"/>
      <c r="DG248" s="184"/>
      <c r="DH248" s="184"/>
      <c r="DI248" s="184"/>
      <c r="DJ248" s="184"/>
      <c r="DK248" s="184"/>
      <c r="DL248" s="184"/>
      <c r="DM248" s="184"/>
      <c r="DN248" s="184"/>
      <c r="DO248" s="184"/>
      <c r="DP248" s="184"/>
      <c r="DQ248" s="184"/>
      <c r="DR248" s="184"/>
      <c r="DS248" s="184"/>
      <c r="DT248" s="184"/>
      <c r="DU248" s="184"/>
      <c r="DV248" s="184"/>
      <c r="DW248" s="184"/>
      <c r="DX248" s="184"/>
      <c r="DY248" s="184"/>
      <c r="DZ248" s="184"/>
      <c r="EA248" s="184"/>
      <c r="EB248" s="184"/>
      <c r="EC248" s="184"/>
      <c r="ED248" s="184"/>
      <c r="EE248" s="184"/>
      <c r="EF248" s="184"/>
      <c r="EG248" s="184"/>
      <c r="EH248" s="184"/>
    </row>
    <row r="249" spans="1:138">
      <c r="A249" s="185"/>
      <c r="B249" s="179"/>
      <c r="C249" s="179"/>
      <c r="D249" s="192"/>
      <c r="E249" s="192"/>
      <c r="F249" s="160"/>
      <c r="G249" s="27" t="s">
        <v>505</v>
      </c>
      <c r="H249" s="171" t="s">
        <v>472</v>
      </c>
      <c r="I249" s="43"/>
      <c r="J249" s="33"/>
      <c r="K249" s="4" t="s">
        <v>60</v>
      </c>
      <c r="L249" s="35" t="s">
        <v>53</v>
      </c>
      <c r="M249" s="179"/>
      <c r="N249" s="179"/>
      <c r="O249" s="186"/>
      <c r="P249" s="182"/>
      <c r="Q249" s="182"/>
      <c r="R249" s="182"/>
      <c r="S249" s="183"/>
      <c r="T249" s="183"/>
      <c r="U249" s="183"/>
      <c r="V249" s="183"/>
      <c r="W249" s="183"/>
      <c r="X249" s="184"/>
      <c r="Y249" s="184"/>
      <c r="Z249" s="184"/>
      <c r="AA249" s="184"/>
      <c r="AB249" s="184"/>
      <c r="AC249" s="184"/>
      <c r="AD249" s="184"/>
      <c r="AE249" s="184"/>
      <c r="AF249" s="184"/>
      <c r="AG249" s="184"/>
      <c r="AH249" s="184"/>
      <c r="AI249" s="184"/>
      <c r="AJ249" s="184"/>
      <c r="AK249" s="184"/>
      <c r="AL249" s="184"/>
      <c r="AM249" s="184"/>
      <c r="AN249" s="184"/>
      <c r="AO249" s="184"/>
      <c r="AP249" s="184"/>
      <c r="AQ249" s="184"/>
      <c r="AR249" s="184"/>
      <c r="AS249" s="184"/>
      <c r="AT249" s="184"/>
      <c r="AU249" s="184"/>
      <c r="AV249" s="184"/>
      <c r="AW249" s="184"/>
      <c r="AX249" s="184"/>
      <c r="AY249" s="184"/>
      <c r="AZ249" s="184"/>
      <c r="BA249" s="184"/>
      <c r="BB249" s="184"/>
      <c r="BC249" s="184"/>
      <c r="BD249" s="184"/>
      <c r="BE249" s="184"/>
      <c r="BF249" s="184"/>
      <c r="BG249" s="184"/>
      <c r="BH249" s="184"/>
      <c r="BI249" s="184"/>
      <c r="BJ249" s="184"/>
      <c r="BK249" s="184"/>
      <c r="BL249" s="184"/>
      <c r="BM249" s="184"/>
      <c r="BN249" s="184"/>
      <c r="BO249" s="184"/>
      <c r="BP249" s="184"/>
      <c r="BQ249" s="184"/>
      <c r="BR249" s="184"/>
      <c r="BS249" s="184"/>
      <c r="BT249" s="184"/>
      <c r="BU249" s="184"/>
      <c r="BV249" s="184"/>
      <c r="BW249" s="184"/>
      <c r="BX249" s="184"/>
      <c r="BY249" s="184"/>
      <c r="BZ249" s="184"/>
      <c r="CA249" s="184"/>
      <c r="CB249" s="184"/>
      <c r="CC249" s="184"/>
      <c r="CD249" s="184"/>
      <c r="CE249" s="184"/>
      <c r="CF249" s="184"/>
      <c r="CG249" s="184"/>
      <c r="CH249" s="184"/>
      <c r="CI249" s="184"/>
      <c r="CJ249" s="184"/>
      <c r="CK249" s="184"/>
      <c r="CL249" s="184"/>
      <c r="CM249" s="184"/>
      <c r="CN249" s="184"/>
      <c r="CO249" s="184"/>
      <c r="CP249" s="184"/>
      <c r="CQ249" s="184"/>
      <c r="CR249" s="184"/>
      <c r="CS249" s="184"/>
      <c r="CT249" s="184"/>
      <c r="CU249" s="184"/>
      <c r="CV249" s="184"/>
      <c r="CW249" s="184"/>
      <c r="CX249" s="184"/>
      <c r="CY249" s="184"/>
      <c r="CZ249" s="184"/>
      <c r="DA249" s="184"/>
      <c r="DB249" s="184"/>
      <c r="DC249" s="184"/>
      <c r="DD249" s="184"/>
      <c r="DE249" s="184"/>
      <c r="DF249" s="184"/>
      <c r="DG249" s="184"/>
      <c r="DH249" s="184"/>
      <c r="DI249" s="184"/>
      <c r="DJ249" s="184"/>
      <c r="DK249" s="184"/>
      <c r="DL249" s="184"/>
      <c r="DM249" s="184"/>
      <c r="DN249" s="184"/>
      <c r="DO249" s="184"/>
      <c r="DP249" s="184"/>
      <c r="DQ249" s="184"/>
      <c r="DR249" s="184"/>
      <c r="DS249" s="184"/>
      <c r="DT249" s="184"/>
      <c r="DU249" s="184"/>
      <c r="DV249" s="184"/>
      <c r="DW249" s="184"/>
      <c r="DX249" s="184"/>
      <c r="DY249" s="184"/>
      <c r="DZ249" s="184"/>
      <c r="EA249" s="184"/>
      <c r="EB249" s="184"/>
      <c r="EC249" s="184"/>
      <c r="ED249" s="184"/>
      <c r="EE249" s="184"/>
      <c r="EF249" s="184"/>
      <c r="EG249" s="184"/>
      <c r="EH249" s="184"/>
    </row>
    <row r="250" spans="1:138">
      <c r="A250" s="185"/>
      <c r="B250" s="179"/>
      <c r="C250" s="179"/>
      <c r="D250" s="192"/>
      <c r="E250" s="192"/>
      <c r="F250" s="160"/>
      <c r="G250" s="36" t="s">
        <v>507</v>
      </c>
      <c r="H250" s="157" t="s">
        <v>508</v>
      </c>
      <c r="I250" s="43"/>
      <c r="J250" s="33"/>
      <c r="K250" s="8" t="s">
        <v>65</v>
      </c>
      <c r="L250" s="35" t="s">
        <v>53</v>
      </c>
      <c r="M250" s="179"/>
      <c r="N250" s="179"/>
      <c r="O250" s="186"/>
      <c r="P250" s="182"/>
      <c r="Q250" s="182"/>
      <c r="R250" s="182"/>
      <c r="S250" s="183"/>
      <c r="T250" s="183"/>
      <c r="U250" s="183"/>
      <c r="V250" s="183"/>
      <c r="W250" s="183"/>
      <c r="X250" s="184"/>
      <c r="Y250" s="184"/>
      <c r="Z250" s="184"/>
      <c r="AA250" s="184"/>
      <c r="AB250" s="184"/>
      <c r="AC250" s="184"/>
      <c r="AD250" s="184"/>
      <c r="AE250" s="184"/>
      <c r="AF250" s="184"/>
      <c r="AG250" s="184"/>
      <c r="AH250" s="184"/>
      <c r="AI250" s="184"/>
      <c r="AJ250" s="184"/>
      <c r="AK250" s="184"/>
      <c r="AL250" s="184"/>
      <c r="AM250" s="184"/>
      <c r="AN250" s="184"/>
      <c r="AO250" s="184"/>
      <c r="AP250" s="184"/>
      <c r="AQ250" s="184"/>
      <c r="AR250" s="184"/>
      <c r="AS250" s="184"/>
      <c r="AT250" s="184"/>
      <c r="AU250" s="184"/>
      <c r="AV250" s="184"/>
      <c r="AW250" s="184"/>
      <c r="AX250" s="184"/>
      <c r="AY250" s="184"/>
      <c r="AZ250" s="184"/>
      <c r="BA250" s="184"/>
      <c r="BB250" s="184"/>
      <c r="BC250" s="184"/>
      <c r="BD250" s="184"/>
      <c r="BE250" s="184"/>
      <c r="BF250" s="184"/>
      <c r="BG250" s="184"/>
      <c r="BH250" s="184"/>
      <c r="BI250" s="184"/>
      <c r="BJ250" s="184"/>
      <c r="BK250" s="184"/>
      <c r="BL250" s="184"/>
      <c r="BM250" s="184"/>
      <c r="BN250" s="184"/>
      <c r="BO250" s="184"/>
      <c r="BP250" s="184"/>
      <c r="BQ250" s="184"/>
      <c r="BR250" s="184"/>
      <c r="BS250" s="184"/>
      <c r="BT250" s="184"/>
      <c r="BU250" s="184"/>
      <c r="BV250" s="184"/>
      <c r="BW250" s="184"/>
      <c r="BX250" s="184"/>
      <c r="BY250" s="184"/>
      <c r="BZ250" s="184"/>
      <c r="CA250" s="184"/>
      <c r="CB250" s="184"/>
      <c r="CC250" s="184"/>
      <c r="CD250" s="184"/>
      <c r="CE250" s="184"/>
      <c r="CF250" s="184"/>
      <c r="CG250" s="184"/>
      <c r="CH250" s="184"/>
      <c r="CI250" s="184"/>
      <c r="CJ250" s="184"/>
      <c r="CK250" s="184"/>
      <c r="CL250" s="184"/>
      <c r="CM250" s="184"/>
      <c r="CN250" s="184"/>
      <c r="CO250" s="184"/>
      <c r="CP250" s="184"/>
      <c r="CQ250" s="184"/>
      <c r="CR250" s="184"/>
      <c r="CS250" s="184"/>
      <c r="CT250" s="184"/>
      <c r="CU250" s="184"/>
      <c r="CV250" s="184"/>
      <c r="CW250" s="184"/>
      <c r="CX250" s="184"/>
      <c r="CY250" s="184"/>
      <c r="CZ250" s="184"/>
      <c r="DA250" s="184"/>
      <c r="DB250" s="184"/>
      <c r="DC250" s="184"/>
      <c r="DD250" s="184"/>
      <c r="DE250" s="184"/>
      <c r="DF250" s="184"/>
      <c r="DG250" s="184"/>
      <c r="DH250" s="184"/>
      <c r="DI250" s="184"/>
      <c r="DJ250" s="184"/>
      <c r="DK250" s="184"/>
      <c r="DL250" s="184"/>
      <c r="DM250" s="184"/>
      <c r="DN250" s="184"/>
      <c r="DO250" s="184"/>
      <c r="DP250" s="184"/>
      <c r="DQ250" s="184"/>
      <c r="DR250" s="184"/>
      <c r="DS250" s="184"/>
      <c r="DT250" s="184"/>
      <c r="DU250" s="184"/>
      <c r="DV250" s="184"/>
      <c r="DW250" s="184"/>
      <c r="DX250" s="184"/>
      <c r="DY250" s="184"/>
      <c r="DZ250" s="184"/>
      <c r="EA250" s="184"/>
      <c r="EB250" s="184"/>
      <c r="EC250" s="184"/>
      <c r="ED250" s="184"/>
      <c r="EE250" s="184"/>
      <c r="EF250" s="184"/>
      <c r="EG250" s="184"/>
      <c r="EH250" s="184"/>
    </row>
    <row r="251" spans="1:138" ht="29.25">
      <c r="A251" s="185"/>
      <c r="B251" s="179"/>
      <c r="C251" s="179"/>
      <c r="D251" s="192"/>
      <c r="E251" s="193"/>
      <c r="F251" s="160"/>
      <c r="G251" s="36" t="s">
        <v>510</v>
      </c>
      <c r="H251" s="157" t="s">
        <v>508</v>
      </c>
      <c r="I251" s="43"/>
      <c r="J251" s="33"/>
      <c r="K251" s="8" t="s">
        <v>68</v>
      </c>
      <c r="L251" s="35" t="s">
        <v>53</v>
      </c>
      <c r="M251" s="179"/>
      <c r="N251" s="179"/>
      <c r="O251" s="186"/>
      <c r="P251" s="182"/>
      <c r="Q251" s="182"/>
      <c r="R251" s="182"/>
      <c r="S251" s="183"/>
      <c r="T251" s="183"/>
      <c r="U251" s="183"/>
      <c r="V251" s="183"/>
      <c r="W251" s="183"/>
      <c r="X251" s="184"/>
      <c r="Y251" s="184"/>
      <c r="Z251" s="184"/>
      <c r="AA251" s="184"/>
      <c r="AB251" s="184"/>
      <c r="AC251" s="184"/>
      <c r="AD251" s="184"/>
      <c r="AE251" s="184"/>
      <c r="AF251" s="184"/>
      <c r="AG251" s="184"/>
      <c r="AH251" s="184"/>
      <c r="AI251" s="184"/>
      <c r="AJ251" s="184"/>
      <c r="AK251" s="184"/>
      <c r="AL251" s="184"/>
      <c r="AM251" s="184"/>
      <c r="AN251" s="184"/>
      <c r="AO251" s="184"/>
      <c r="AP251" s="184"/>
      <c r="AQ251" s="184"/>
      <c r="AR251" s="184"/>
      <c r="AS251" s="184"/>
      <c r="AT251" s="184"/>
      <c r="AU251" s="184"/>
      <c r="AV251" s="184"/>
      <c r="AW251" s="184"/>
      <c r="AX251" s="184"/>
      <c r="AY251" s="184"/>
      <c r="AZ251" s="184"/>
      <c r="BA251" s="184"/>
      <c r="BB251" s="184"/>
      <c r="BC251" s="184"/>
      <c r="BD251" s="184"/>
      <c r="BE251" s="184"/>
      <c r="BF251" s="184"/>
      <c r="BG251" s="184"/>
      <c r="BH251" s="184"/>
      <c r="BI251" s="184"/>
      <c r="BJ251" s="184"/>
      <c r="BK251" s="184"/>
      <c r="BL251" s="184"/>
      <c r="BM251" s="184"/>
      <c r="BN251" s="184"/>
      <c r="BO251" s="184"/>
      <c r="BP251" s="184"/>
      <c r="BQ251" s="184"/>
      <c r="BR251" s="184"/>
      <c r="BS251" s="184"/>
      <c r="BT251" s="184"/>
      <c r="BU251" s="184"/>
      <c r="BV251" s="184"/>
      <c r="BW251" s="184"/>
      <c r="BX251" s="184"/>
      <c r="BY251" s="184"/>
      <c r="BZ251" s="184"/>
      <c r="CA251" s="184"/>
      <c r="CB251" s="184"/>
      <c r="CC251" s="184"/>
      <c r="CD251" s="184"/>
      <c r="CE251" s="184"/>
      <c r="CF251" s="184"/>
      <c r="CG251" s="184"/>
      <c r="CH251" s="184"/>
      <c r="CI251" s="184"/>
      <c r="CJ251" s="184"/>
      <c r="CK251" s="184"/>
      <c r="CL251" s="184"/>
      <c r="CM251" s="184"/>
      <c r="CN251" s="184"/>
      <c r="CO251" s="184"/>
      <c r="CP251" s="184"/>
      <c r="CQ251" s="184"/>
      <c r="CR251" s="184"/>
      <c r="CS251" s="184"/>
      <c r="CT251" s="184"/>
      <c r="CU251" s="184"/>
      <c r="CV251" s="184"/>
      <c r="CW251" s="184"/>
      <c r="CX251" s="184"/>
      <c r="CY251" s="184"/>
      <c r="CZ251" s="184"/>
      <c r="DA251" s="184"/>
      <c r="DB251" s="184"/>
      <c r="DC251" s="184"/>
      <c r="DD251" s="184"/>
      <c r="DE251" s="184"/>
      <c r="DF251" s="184"/>
      <c r="DG251" s="184"/>
      <c r="DH251" s="184"/>
      <c r="DI251" s="184"/>
      <c r="DJ251" s="184"/>
      <c r="DK251" s="184"/>
      <c r="DL251" s="184"/>
      <c r="DM251" s="184"/>
      <c r="DN251" s="184"/>
      <c r="DO251" s="184"/>
      <c r="DP251" s="184"/>
      <c r="DQ251" s="184"/>
      <c r="DR251" s="184"/>
      <c r="DS251" s="184"/>
      <c r="DT251" s="184"/>
      <c r="DU251" s="184"/>
      <c r="DV251" s="184"/>
      <c r="DW251" s="184"/>
      <c r="DX251" s="184"/>
      <c r="DY251" s="184"/>
      <c r="DZ251" s="184"/>
      <c r="EA251" s="184"/>
      <c r="EB251" s="184"/>
      <c r="EC251" s="184"/>
      <c r="ED251" s="184"/>
      <c r="EE251" s="184"/>
      <c r="EF251" s="184"/>
      <c r="EG251" s="184"/>
      <c r="EH251" s="184"/>
    </row>
    <row r="252" spans="1:138" ht="43.5">
      <c r="A252" s="185"/>
      <c r="B252" s="179"/>
      <c r="C252" s="179"/>
      <c r="D252" s="192"/>
      <c r="E252" s="191" t="s">
        <v>512</v>
      </c>
      <c r="F252" s="28"/>
      <c r="G252" s="41" t="s">
        <v>71</v>
      </c>
      <c r="H252" s="158" t="s">
        <v>488</v>
      </c>
      <c r="I252" s="33"/>
      <c r="J252" s="33"/>
      <c r="K252" s="10" t="s">
        <v>57</v>
      </c>
      <c r="L252" s="35" t="s">
        <v>53</v>
      </c>
      <c r="M252" s="179"/>
      <c r="N252" s="179"/>
      <c r="O252" s="186"/>
      <c r="P252" s="182"/>
      <c r="Q252" s="182"/>
      <c r="R252" s="182"/>
      <c r="S252" s="183"/>
      <c r="T252" s="183"/>
      <c r="U252" s="183"/>
      <c r="V252" s="183"/>
      <c r="W252" s="183"/>
      <c r="X252" s="184"/>
      <c r="Y252" s="184"/>
      <c r="Z252" s="184"/>
      <c r="AA252" s="184"/>
      <c r="AB252" s="184"/>
      <c r="AC252" s="184"/>
      <c r="AD252" s="184"/>
      <c r="AE252" s="184"/>
      <c r="AF252" s="184"/>
      <c r="AG252" s="184"/>
      <c r="AH252" s="184"/>
      <c r="AI252" s="184"/>
      <c r="AJ252" s="184"/>
      <c r="AK252" s="184"/>
      <c r="AL252" s="184"/>
      <c r="AM252" s="184"/>
      <c r="AN252" s="184"/>
      <c r="AO252" s="184"/>
      <c r="AP252" s="184"/>
      <c r="AQ252" s="184"/>
      <c r="AR252" s="184"/>
      <c r="AS252" s="184"/>
      <c r="AT252" s="184"/>
      <c r="AU252" s="184"/>
      <c r="AV252" s="184"/>
      <c r="AW252" s="184"/>
      <c r="AX252" s="184"/>
      <c r="AY252" s="184"/>
      <c r="AZ252" s="184"/>
      <c r="BA252" s="184"/>
      <c r="BB252" s="184"/>
      <c r="BC252" s="184"/>
      <c r="BD252" s="184"/>
      <c r="BE252" s="184"/>
      <c r="BF252" s="184"/>
      <c r="BG252" s="184"/>
      <c r="BH252" s="184"/>
      <c r="BI252" s="184"/>
      <c r="BJ252" s="184"/>
      <c r="BK252" s="184"/>
      <c r="BL252" s="184"/>
      <c r="BM252" s="184"/>
      <c r="BN252" s="184"/>
      <c r="BO252" s="184"/>
      <c r="BP252" s="184"/>
      <c r="BQ252" s="184"/>
      <c r="BR252" s="184"/>
      <c r="BS252" s="184"/>
      <c r="BT252" s="184"/>
      <c r="BU252" s="184"/>
      <c r="BV252" s="184"/>
      <c r="BW252" s="184"/>
      <c r="BX252" s="184"/>
      <c r="BY252" s="184"/>
      <c r="BZ252" s="184"/>
      <c r="CA252" s="184"/>
      <c r="CB252" s="184"/>
      <c r="CC252" s="184"/>
      <c r="CD252" s="184"/>
      <c r="CE252" s="184"/>
      <c r="CF252" s="184"/>
      <c r="CG252" s="184"/>
      <c r="CH252" s="184"/>
      <c r="CI252" s="184"/>
      <c r="CJ252" s="184"/>
      <c r="CK252" s="184"/>
      <c r="CL252" s="184"/>
      <c r="CM252" s="184"/>
      <c r="CN252" s="184"/>
      <c r="CO252" s="184"/>
      <c r="CP252" s="184"/>
      <c r="CQ252" s="184"/>
      <c r="CR252" s="184"/>
      <c r="CS252" s="184"/>
      <c r="CT252" s="184"/>
      <c r="CU252" s="184"/>
      <c r="CV252" s="184"/>
      <c r="CW252" s="184"/>
      <c r="CX252" s="184"/>
      <c r="CY252" s="184"/>
      <c r="CZ252" s="184"/>
      <c r="DA252" s="184"/>
      <c r="DB252" s="184"/>
      <c r="DC252" s="184"/>
      <c r="DD252" s="184"/>
      <c r="DE252" s="184"/>
      <c r="DF252" s="184"/>
      <c r="DG252" s="184"/>
      <c r="DH252" s="184"/>
      <c r="DI252" s="184"/>
      <c r="DJ252" s="184"/>
      <c r="DK252" s="184"/>
      <c r="DL252" s="184"/>
      <c r="DM252" s="184"/>
      <c r="DN252" s="184"/>
      <c r="DO252" s="184"/>
      <c r="DP252" s="184"/>
      <c r="DQ252" s="184"/>
      <c r="DR252" s="184"/>
      <c r="DS252" s="184"/>
      <c r="DT252" s="184"/>
      <c r="DU252" s="184"/>
      <c r="DV252" s="184"/>
      <c r="DW252" s="184"/>
      <c r="DX252" s="184"/>
      <c r="DY252" s="184"/>
      <c r="DZ252" s="184"/>
      <c r="EA252" s="184"/>
      <c r="EB252" s="184"/>
      <c r="EC252" s="184"/>
      <c r="ED252" s="184"/>
      <c r="EE252" s="184"/>
      <c r="EF252" s="184"/>
      <c r="EG252" s="184"/>
      <c r="EH252" s="184"/>
    </row>
    <row r="253" spans="1:138" ht="29.25">
      <c r="A253" s="185"/>
      <c r="B253" s="179"/>
      <c r="C253" s="179"/>
      <c r="D253" s="192"/>
      <c r="E253" s="192"/>
      <c r="F253" s="28"/>
      <c r="G253" s="27" t="s">
        <v>498</v>
      </c>
      <c r="H253" s="169" t="s">
        <v>472</v>
      </c>
      <c r="I253" s="33"/>
      <c r="J253" s="33"/>
      <c r="K253" s="4" t="s">
        <v>52</v>
      </c>
      <c r="L253" s="35" t="s">
        <v>53</v>
      </c>
      <c r="M253" s="179"/>
      <c r="N253" s="179"/>
      <c r="O253" s="186"/>
      <c r="P253" s="182"/>
      <c r="Q253" s="182"/>
      <c r="R253" s="182"/>
      <c r="S253" s="183"/>
      <c r="T253" s="183"/>
      <c r="U253" s="183"/>
      <c r="V253" s="183"/>
      <c r="W253" s="183"/>
      <c r="X253" s="184"/>
      <c r="Y253" s="184"/>
      <c r="Z253" s="184"/>
      <c r="AA253" s="184"/>
      <c r="AB253" s="184"/>
      <c r="AC253" s="184"/>
      <c r="AD253" s="184"/>
      <c r="AE253" s="184"/>
      <c r="AF253" s="184"/>
      <c r="AG253" s="184"/>
      <c r="AH253" s="184"/>
      <c r="AI253" s="184"/>
      <c r="AJ253" s="184"/>
      <c r="AK253" s="184"/>
      <c r="AL253" s="184"/>
      <c r="AM253" s="184"/>
      <c r="AN253" s="184"/>
      <c r="AO253" s="184"/>
      <c r="AP253" s="184"/>
      <c r="AQ253" s="184"/>
      <c r="AR253" s="184"/>
      <c r="AS253" s="184"/>
      <c r="AT253" s="184"/>
      <c r="AU253" s="184"/>
      <c r="AV253" s="184"/>
      <c r="AW253" s="184"/>
      <c r="AX253" s="184"/>
      <c r="AY253" s="184"/>
      <c r="AZ253" s="184"/>
      <c r="BA253" s="184"/>
      <c r="BB253" s="184"/>
      <c r="BC253" s="184"/>
      <c r="BD253" s="184"/>
      <c r="BE253" s="184"/>
      <c r="BF253" s="184"/>
      <c r="BG253" s="184"/>
      <c r="BH253" s="184"/>
      <c r="BI253" s="184"/>
      <c r="BJ253" s="184"/>
      <c r="BK253" s="184"/>
      <c r="BL253" s="184"/>
      <c r="BM253" s="184"/>
      <c r="BN253" s="184"/>
      <c r="BO253" s="184"/>
      <c r="BP253" s="184"/>
      <c r="BQ253" s="184"/>
      <c r="BR253" s="184"/>
      <c r="BS253" s="184"/>
      <c r="BT253" s="184"/>
      <c r="BU253" s="184"/>
      <c r="BV253" s="184"/>
      <c r="BW253" s="184"/>
      <c r="BX253" s="184"/>
      <c r="BY253" s="184"/>
      <c r="BZ253" s="184"/>
      <c r="CA253" s="184"/>
      <c r="CB253" s="184"/>
      <c r="CC253" s="184"/>
      <c r="CD253" s="184"/>
      <c r="CE253" s="184"/>
      <c r="CF253" s="184"/>
      <c r="CG253" s="184"/>
      <c r="CH253" s="184"/>
      <c r="CI253" s="184"/>
      <c r="CJ253" s="184"/>
      <c r="CK253" s="184"/>
      <c r="CL253" s="184"/>
      <c r="CM253" s="184"/>
      <c r="CN253" s="184"/>
      <c r="CO253" s="184"/>
      <c r="CP253" s="184"/>
      <c r="CQ253" s="184"/>
      <c r="CR253" s="184"/>
      <c r="CS253" s="184"/>
      <c r="CT253" s="184"/>
      <c r="CU253" s="184"/>
      <c r="CV253" s="184"/>
      <c r="CW253" s="184"/>
      <c r="CX253" s="184"/>
      <c r="CY253" s="184"/>
      <c r="CZ253" s="184"/>
      <c r="DA253" s="184"/>
      <c r="DB253" s="184"/>
      <c r="DC253" s="184"/>
      <c r="DD253" s="184"/>
      <c r="DE253" s="184"/>
      <c r="DF253" s="184"/>
      <c r="DG253" s="184"/>
      <c r="DH253" s="184"/>
      <c r="DI253" s="184"/>
      <c r="DJ253" s="184"/>
      <c r="DK253" s="184"/>
      <c r="DL253" s="184"/>
      <c r="DM253" s="184"/>
      <c r="DN253" s="184"/>
      <c r="DO253" s="184"/>
      <c r="DP253" s="184"/>
      <c r="DQ253" s="184"/>
      <c r="DR253" s="184"/>
      <c r="DS253" s="184"/>
      <c r="DT253" s="184"/>
      <c r="DU253" s="184"/>
      <c r="DV253" s="184"/>
      <c r="DW253" s="184"/>
      <c r="DX253" s="184"/>
      <c r="DY253" s="184"/>
      <c r="DZ253" s="184"/>
      <c r="EA253" s="184"/>
      <c r="EB253" s="184"/>
      <c r="EC253" s="184"/>
      <c r="ED253" s="184"/>
      <c r="EE253" s="184"/>
      <c r="EF253" s="184"/>
      <c r="EG253" s="184"/>
      <c r="EH253" s="184"/>
    </row>
    <row r="254" spans="1:138">
      <c r="A254" s="185"/>
      <c r="B254" s="179"/>
      <c r="C254" s="179"/>
      <c r="D254" s="192"/>
      <c r="E254" s="192"/>
      <c r="F254" s="28"/>
      <c r="G254" t="s">
        <v>507</v>
      </c>
      <c r="H254" s="157" t="s">
        <v>508</v>
      </c>
      <c r="I254" s="33"/>
      <c r="J254" s="33"/>
      <c r="K254" s="8" t="s">
        <v>65</v>
      </c>
      <c r="L254" s="35" t="s">
        <v>53</v>
      </c>
      <c r="M254" s="179"/>
      <c r="N254" s="179"/>
      <c r="O254" s="186"/>
      <c r="P254" s="182"/>
      <c r="Q254" s="182"/>
      <c r="R254" s="182"/>
      <c r="S254" s="183"/>
      <c r="T254" s="183"/>
      <c r="U254" s="183"/>
      <c r="V254" s="183"/>
      <c r="W254" s="183"/>
      <c r="X254" s="184"/>
      <c r="Y254" s="184"/>
      <c r="Z254" s="184"/>
      <c r="AA254" s="184"/>
      <c r="AB254" s="184"/>
      <c r="AC254" s="184"/>
      <c r="AD254" s="184"/>
      <c r="AE254" s="184"/>
      <c r="AF254" s="184"/>
      <c r="AG254" s="184"/>
      <c r="AH254" s="184"/>
      <c r="AI254" s="184"/>
      <c r="AJ254" s="184"/>
      <c r="AK254" s="184"/>
      <c r="AL254" s="184"/>
      <c r="AM254" s="184"/>
      <c r="AN254" s="184"/>
      <c r="AO254" s="184"/>
      <c r="AP254" s="184"/>
      <c r="AQ254" s="184"/>
      <c r="AR254" s="184"/>
      <c r="AS254" s="184"/>
      <c r="AT254" s="184"/>
      <c r="AU254" s="184"/>
      <c r="AV254" s="184"/>
      <c r="AW254" s="184"/>
      <c r="AX254" s="184"/>
      <c r="AY254" s="184"/>
      <c r="AZ254" s="184"/>
      <c r="BA254" s="184"/>
      <c r="BB254" s="184"/>
      <c r="BC254" s="184"/>
      <c r="BD254" s="184"/>
      <c r="BE254" s="184"/>
      <c r="BF254" s="184"/>
      <c r="BG254" s="184"/>
      <c r="BH254" s="184"/>
      <c r="BI254" s="184"/>
      <c r="BJ254" s="184"/>
      <c r="BK254" s="184"/>
      <c r="BL254" s="184"/>
      <c r="BM254" s="184"/>
      <c r="BN254" s="184"/>
      <c r="BO254" s="184"/>
      <c r="BP254" s="184"/>
      <c r="BQ254" s="184"/>
      <c r="BR254" s="184"/>
      <c r="BS254" s="184"/>
      <c r="BT254" s="184"/>
      <c r="BU254" s="184"/>
      <c r="BV254" s="184"/>
      <c r="BW254" s="184"/>
      <c r="BX254" s="184"/>
      <c r="BY254" s="184"/>
      <c r="BZ254" s="184"/>
      <c r="CA254" s="184"/>
      <c r="CB254" s="184"/>
      <c r="CC254" s="184"/>
      <c r="CD254" s="184"/>
      <c r="CE254" s="184"/>
      <c r="CF254" s="184"/>
      <c r="CG254" s="184"/>
      <c r="CH254" s="184"/>
      <c r="CI254" s="184"/>
      <c r="CJ254" s="184"/>
      <c r="CK254" s="184"/>
      <c r="CL254" s="184"/>
      <c r="CM254" s="184"/>
      <c r="CN254" s="184"/>
      <c r="CO254" s="184"/>
      <c r="CP254" s="184"/>
      <c r="CQ254" s="184"/>
      <c r="CR254" s="184"/>
      <c r="CS254" s="184"/>
      <c r="CT254" s="184"/>
      <c r="CU254" s="184"/>
      <c r="CV254" s="184"/>
      <c r="CW254" s="184"/>
      <c r="CX254" s="184"/>
      <c r="CY254" s="184"/>
      <c r="CZ254" s="184"/>
      <c r="DA254" s="184"/>
      <c r="DB254" s="184"/>
      <c r="DC254" s="184"/>
      <c r="DD254" s="184"/>
      <c r="DE254" s="184"/>
      <c r="DF254" s="184"/>
      <c r="DG254" s="184"/>
      <c r="DH254" s="184"/>
      <c r="DI254" s="184"/>
      <c r="DJ254" s="184"/>
      <c r="DK254" s="184"/>
      <c r="DL254" s="184"/>
      <c r="DM254" s="184"/>
      <c r="DN254" s="184"/>
      <c r="DO254" s="184"/>
      <c r="DP254" s="184"/>
      <c r="DQ254" s="184"/>
      <c r="DR254" s="184"/>
      <c r="DS254" s="184"/>
      <c r="DT254" s="184"/>
      <c r="DU254" s="184"/>
      <c r="DV254" s="184"/>
      <c r="DW254" s="184"/>
      <c r="DX254" s="184"/>
      <c r="DY254" s="184"/>
      <c r="DZ254" s="184"/>
      <c r="EA254" s="184"/>
      <c r="EB254" s="184"/>
      <c r="EC254" s="184"/>
      <c r="ED254" s="184"/>
      <c r="EE254" s="184"/>
      <c r="EF254" s="184"/>
      <c r="EG254" s="184"/>
      <c r="EH254" s="184"/>
    </row>
    <row r="255" spans="1:138">
      <c r="A255" s="185"/>
      <c r="B255" s="179"/>
      <c r="C255" s="179"/>
      <c r="D255" s="192"/>
      <c r="E255" s="192"/>
      <c r="F255" s="28"/>
      <c r="G255" s="18" t="s">
        <v>516</v>
      </c>
      <c r="H255" s="159" t="s">
        <v>488</v>
      </c>
      <c r="I255" s="33"/>
      <c r="J255" s="33"/>
      <c r="K255" s="8" t="s">
        <v>78</v>
      </c>
      <c r="L255" s="35" t="s">
        <v>53</v>
      </c>
      <c r="M255" s="179"/>
      <c r="N255" s="179"/>
      <c r="O255" s="186"/>
      <c r="P255" s="182"/>
      <c r="Q255" s="182"/>
      <c r="R255" s="182"/>
      <c r="S255" s="183"/>
      <c r="T255" s="183"/>
      <c r="U255" s="183"/>
      <c r="V255" s="183"/>
      <c r="W255" s="183"/>
      <c r="X255" s="184"/>
      <c r="Y255" s="184"/>
      <c r="Z255" s="184"/>
      <c r="AA255" s="184"/>
      <c r="AB255" s="184"/>
      <c r="AC255" s="184"/>
      <c r="AD255" s="184"/>
      <c r="AE255" s="184"/>
      <c r="AF255" s="184"/>
      <c r="AG255" s="184"/>
      <c r="AH255" s="184"/>
      <c r="AI255" s="184"/>
      <c r="AJ255" s="184"/>
      <c r="AK255" s="184"/>
      <c r="AL255" s="184"/>
      <c r="AM255" s="184"/>
      <c r="AN255" s="184"/>
      <c r="AO255" s="184"/>
      <c r="AP255" s="184"/>
      <c r="AQ255" s="184"/>
      <c r="AR255" s="184"/>
      <c r="AS255" s="184"/>
      <c r="AT255" s="184"/>
      <c r="AU255" s="184"/>
      <c r="AV255" s="184"/>
      <c r="AW255" s="184"/>
      <c r="AX255" s="184"/>
      <c r="AY255" s="184"/>
      <c r="AZ255" s="184"/>
      <c r="BA255" s="184"/>
      <c r="BB255" s="184"/>
      <c r="BC255" s="184"/>
      <c r="BD255" s="184"/>
      <c r="BE255" s="184"/>
      <c r="BF255" s="184"/>
      <c r="BG255" s="184"/>
      <c r="BH255" s="184"/>
      <c r="BI255" s="184"/>
      <c r="BJ255" s="184"/>
      <c r="BK255" s="184"/>
      <c r="BL255" s="184"/>
      <c r="BM255" s="184"/>
      <c r="BN255" s="184"/>
      <c r="BO255" s="184"/>
      <c r="BP255" s="184"/>
      <c r="BQ255" s="184"/>
      <c r="BR255" s="184"/>
      <c r="BS255" s="184"/>
      <c r="BT255" s="184"/>
      <c r="BU255" s="184"/>
      <c r="BV255" s="184"/>
      <c r="BW255" s="184"/>
      <c r="BX255" s="184"/>
      <c r="BY255" s="184"/>
      <c r="BZ255" s="184"/>
      <c r="CA255" s="184"/>
      <c r="CB255" s="184"/>
      <c r="CC255" s="184"/>
      <c r="CD255" s="184"/>
      <c r="CE255" s="184"/>
      <c r="CF255" s="184"/>
      <c r="CG255" s="184"/>
      <c r="CH255" s="184"/>
      <c r="CI255" s="184"/>
      <c r="CJ255" s="184"/>
      <c r="CK255" s="184"/>
      <c r="CL255" s="184"/>
      <c r="CM255" s="184"/>
      <c r="CN255" s="184"/>
      <c r="CO255" s="184"/>
      <c r="CP255" s="184"/>
      <c r="CQ255" s="184"/>
      <c r="CR255" s="184"/>
      <c r="CS255" s="184"/>
      <c r="CT255" s="184"/>
      <c r="CU255" s="184"/>
      <c r="CV255" s="184"/>
      <c r="CW255" s="184"/>
      <c r="CX255" s="184"/>
      <c r="CY255" s="184"/>
      <c r="CZ255" s="184"/>
      <c r="DA255" s="184"/>
      <c r="DB255" s="184"/>
      <c r="DC255" s="184"/>
      <c r="DD255" s="184"/>
      <c r="DE255" s="184"/>
      <c r="DF255" s="184"/>
      <c r="DG255" s="184"/>
      <c r="DH255" s="184"/>
      <c r="DI255" s="184"/>
      <c r="DJ255" s="184"/>
      <c r="DK255" s="184"/>
      <c r="DL255" s="184"/>
      <c r="DM255" s="184"/>
      <c r="DN255" s="184"/>
      <c r="DO255" s="184"/>
      <c r="DP255" s="184"/>
      <c r="DQ255" s="184"/>
      <c r="DR255" s="184"/>
      <c r="DS255" s="184"/>
      <c r="DT255" s="184"/>
      <c r="DU255" s="184"/>
      <c r="DV255" s="184"/>
      <c r="DW255" s="184"/>
      <c r="DX255" s="184"/>
      <c r="DY255" s="184"/>
      <c r="DZ255" s="184"/>
      <c r="EA255" s="184"/>
      <c r="EB255" s="184"/>
      <c r="EC255" s="184"/>
      <c r="ED255" s="184"/>
      <c r="EE255" s="184"/>
      <c r="EF255" s="184"/>
      <c r="EG255" s="184"/>
      <c r="EH255" s="184"/>
    </row>
    <row r="256" spans="1:138" ht="29.25">
      <c r="A256" s="185"/>
      <c r="B256" s="179"/>
      <c r="C256" s="179"/>
      <c r="D256" s="192"/>
      <c r="E256" s="193"/>
      <c r="F256" s="28"/>
      <c r="G256" s="46" t="s">
        <v>510</v>
      </c>
      <c r="H256" s="157" t="s">
        <v>508</v>
      </c>
      <c r="I256" s="15"/>
      <c r="J256" s="43"/>
      <c r="K256" s="8" t="s">
        <v>68</v>
      </c>
      <c r="L256" s="35" t="s">
        <v>53</v>
      </c>
      <c r="M256" s="179"/>
      <c r="N256" s="179"/>
      <c r="O256" s="186"/>
      <c r="P256" s="182"/>
      <c r="Q256" s="182"/>
      <c r="R256" s="182"/>
      <c r="S256" s="183"/>
      <c r="T256" s="183"/>
      <c r="U256" s="183"/>
      <c r="V256" s="183"/>
      <c r="W256" s="183"/>
      <c r="X256" s="184"/>
      <c r="Y256" s="184"/>
      <c r="Z256" s="184"/>
      <c r="AA256" s="184"/>
      <c r="AB256" s="184"/>
      <c r="AC256" s="184"/>
      <c r="AD256" s="184"/>
      <c r="AE256" s="184"/>
      <c r="AF256" s="184"/>
      <c r="AG256" s="184"/>
      <c r="AH256" s="184"/>
      <c r="AI256" s="184"/>
      <c r="AJ256" s="184"/>
      <c r="AK256" s="184"/>
      <c r="AL256" s="184"/>
      <c r="AM256" s="184"/>
      <c r="AN256" s="184"/>
      <c r="AO256" s="184"/>
      <c r="AP256" s="184"/>
      <c r="AQ256" s="184"/>
      <c r="AR256" s="184"/>
      <c r="AS256" s="184"/>
      <c r="AT256" s="184"/>
      <c r="AU256" s="184"/>
      <c r="AV256" s="184"/>
      <c r="AW256" s="184"/>
      <c r="AX256" s="184"/>
      <c r="AY256" s="184"/>
      <c r="AZ256" s="184"/>
      <c r="BA256" s="184"/>
      <c r="BB256" s="184"/>
      <c r="BC256" s="184"/>
      <c r="BD256" s="184"/>
      <c r="BE256" s="184"/>
      <c r="BF256" s="184"/>
      <c r="BG256" s="184"/>
      <c r="BH256" s="184"/>
      <c r="BI256" s="184"/>
      <c r="BJ256" s="184"/>
      <c r="BK256" s="184"/>
      <c r="BL256" s="184"/>
      <c r="BM256" s="184"/>
      <c r="BN256" s="184"/>
      <c r="BO256" s="184"/>
      <c r="BP256" s="184"/>
      <c r="BQ256" s="184"/>
      <c r="BR256" s="184"/>
      <c r="BS256" s="184"/>
      <c r="BT256" s="184"/>
      <c r="BU256" s="184"/>
      <c r="BV256" s="184"/>
      <c r="BW256" s="184"/>
      <c r="BX256" s="184"/>
      <c r="BY256" s="184"/>
      <c r="BZ256" s="184"/>
      <c r="CA256" s="184"/>
      <c r="CB256" s="184"/>
      <c r="CC256" s="184"/>
      <c r="CD256" s="184"/>
      <c r="CE256" s="184"/>
      <c r="CF256" s="184"/>
      <c r="CG256" s="184"/>
      <c r="CH256" s="184"/>
      <c r="CI256" s="184"/>
      <c r="CJ256" s="184"/>
      <c r="CK256" s="184"/>
      <c r="CL256" s="184"/>
      <c r="CM256" s="184"/>
      <c r="CN256" s="184"/>
      <c r="CO256" s="184"/>
      <c r="CP256" s="184"/>
      <c r="CQ256" s="184"/>
      <c r="CR256" s="184"/>
      <c r="CS256" s="184"/>
      <c r="CT256" s="184"/>
      <c r="CU256" s="184"/>
      <c r="CV256" s="184"/>
      <c r="CW256" s="184"/>
      <c r="CX256" s="184"/>
      <c r="CY256" s="184"/>
      <c r="CZ256" s="184"/>
      <c r="DA256" s="184"/>
      <c r="DB256" s="184"/>
      <c r="DC256" s="184"/>
      <c r="DD256" s="184"/>
      <c r="DE256" s="184"/>
      <c r="DF256" s="184"/>
      <c r="DG256" s="184"/>
      <c r="DH256" s="184"/>
      <c r="DI256" s="184"/>
      <c r="DJ256" s="184"/>
      <c r="DK256" s="184"/>
      <c r="DL256" s="184"/>
      <c r="DM256" s="184"/>
      <c r="DN256" s="184"/>
      <c r="DO256" s="184"/>
      <c r="DP256" s="184"/>
      <c r="DQ256" s="184"/>
      <c r="DR256" s="184"/>
      <c r="DS256" s="184"/>
      <c r="DT256" s="184"/>
      <c r="DU256" s="184"/>
      <c r="DV256" s="184"/>
      <c r="DW256" s="184"/>
      <c r="DX256" s="184"/>
      <c r="DY256" s="184"/>
      <c r="DZ256" s="184"/>
      <c r="EA256" s="184"/>
      <c r="EB256" s="184"/>
      <c r="EC256" s="184"/>
      <c r="ED256" s="184"/>
      <c r="EE256" s="184"/>
      <c r="EF256" s="184"/>
      <c r="EG256" s="184"/>
      <c r="EH256" s="184"/>
    </row>
    <row r="257" spans="1:138" ht="43.5">
      <c r="A257" s="185"/>
      <c r="B257" s="179"/>
      <c r="C257" s="179"/>
      <c r="D257" s="192"/>
      <c r="E257" s="191" t="s">
        <v>519</v>
      </c>
      <c r="F257" s="39"/>
      <c r="G257" s="47" t="s">
        <v>71</v>
      </c>
      <c r="H257" s="158" t="s">
        <v>488</v>
      </c>
      <c r="I257" s="15"/>
      <c r="J257" s="43"/>
      <c r="K257" s="10" t="s">
        <v>57</v>
      </c>
      <c r="L257" s="35" t="s">
        <v>53</v>
      </c>
      <c r="M257" s="179"/>
      <c r="N257" s="179"/>
      <c r="O257" s="186"/>
      <c r="P257" s="182"/>
      <c r="Q257" s="182"/>
      <c r="R257" s="182"/>
      <c r="S257" s="183"/>
      <c r="T257" s="183"/>
      <c r="U257" s="183"/>
      <c r="V257" s="183"/>
      <c r="W257" s="183"/>
      <c r="X257" s="184"/>
      <c r="Y257" s="184"/>
      <c r="Z257" s="184"/>
      <c r="AA257" s="184"/>
      <c r="AB257" s="184"/>
      <c r="AC257" s="184"/>
      <c r="AD257" s="184"/>
      <c r="AE257" s="184"/>
      <c r="AF257" s="184"/>
      <c r="AG257" s="184"/>
      <c r="AH257" s="184"/>
      <c r="AI257" s="184"/>
      <c r="AJ257" s="184"/>
      <c r="AK257" s="184"/>
      <c r="AL257" s="184"/>
      <c r="AM257" s="184"/>
      <c r="AN257" s="184"/>
      <c r="AO257" s="184"/>
      <c r="AP257" s="184"/>
      <c r="AQ257" s="184"/>
      <c r="AR257" s="184"/>
      <c r="AS257" s="184"/>
      <c r="AT257" s="184"/>
      <c r="AU257" s="184"/>
      <c r="AV257" s="184"/>
      <c r="AW257" s="184"/>
      <c r="AX257" s="184"/>
      <c r="AY257" s="184"/>
      <c r="AZ257" s="184"/>
      <c r="BA257" s="184"/>
      <c r="BB257" s="184"/>
      <c r="BC257" s="184"/>
      <c r="BD257" s="184"/>
      <c r="BE257" s="184"/>
      <c r="BF257" s="184"/>
      <c r="BG257" s="184"/>
      <c r="BH257" s="184"/>
      <c r="BI257" s="184"/>
      <c r="BJ257" s="184"/>
      <c r="BK257" s="184"/>
      <c r="BL257" s="184"/>
      <c r="BM257" s="184"/>
      <c r="BN257" s="184"/>
      <c r="BO257" s="184"/>
      <c r="BP257" s="184"/>
      <c r="BQ257" s="184"/>
      <c r="BR257" s="184"/>
      <c r="BS257" s="184"/>
      <c r="BT257" s="184"/>
      <c r="BU257" s="184"/>
      <c r="BV257" s="184"/>
      <c r="BW257" s="184"/>
      <c r="BX257" s="184"/>
      <c r="BY257" s="184"/>
      <c r="BZ257" s="184"/>
      <c r="CA257" s="184"/>
      <c r="CB257" s="184"/>
      <c r="CC257" s="184"/>
      <c r="CD257" s="184"/>
      <c r="CE257" s="184"/>
      <c r="CF257" s="184"/>
      <c r="CG257" s="184"/>
      <c r="CH257" s="184"/>
      <c r="CI257" s="184"/>
      <c r="CJ257" s="184"/>
      <c r="CK257" s="184"/>
      <c r="CL257" s="184"/>
      <c r="CM257" s="184"/>
      <c r="CN257" s="184"/>
      <c r="CO257" s="184"/>
      <c r="CP257" s="184"/>
      <c r="CQ257" s="184"/>
      <c r="CR257" s="184"/>
      <c r="CS257" s="184"/>
      <c r="CT257" s="184"/>
      <c r="CU257" s="184"/>
      <c r="CV257" s="184"/>
      <c r="CW257" s="184"/>
      <c r="CX257" s="184"/>
      <c r="CY257" s="184"/>
      <c r="CZ257" s="184"/>
      <c r="DA257" s="184"/>
      <c r="DB257" s="184"/>
      <c r="DC257" s="184"/>
      <c r="DD257" s="184"/>
      <c r="DE257" s="184"/>
      <c r="DF257" s="184"/>
      <c r="DG257" s="184"/>
      <c r="DH257" s="184"/>
      <c r="DI257" s="184"/>
      <c r="DJ257" s="184"/>
      <c r="DK257" s="184"/>
      <c r="DL257" s="184"/>
      <c r="DM257" s="184"/>
      <c r="DN257" s="184"/>
      <c r="DO257" s="184"/>
      <c r="DP257" s="184"/>
      <c r="DQ257" s="184"/>
      <c r="DR257" s="184"/>
      <c r="DS257" s="184"/>
      <c r="DT257" s="184"/>
      <c r="DU257" s="184"/>
      <c r="DV257" s="184"/>
      <c r="DW257" s="184"/>
      <c r="DX257" s="184"/>
      <c r="DY257" s="184"/>
      <c r="DZ257" s="184"/>
      <c r="EA257" s="184"/>
      <c r="EB257" s="184"/>
      <c r="EC257" s="184"/>
      <c r="ED257" s="184"/>
      <c r="EE257" s="184"/>
      <c r="EF257" s="184"/>
      <c r="EG257" s="184"/>
      <c r="EH257" s="184"/>
    </row>
    <row r="258" spans="1:138" ht="29.25">
      <c r="A258" s="185"/>
      <c r="B258" s="179"/>
      <c r="C258" s="179"/>
      <c r="D258" s="192"/>
      <c r="E258" s="192"/>
      <c r="F258" s="39"/>
      <c r="G258" s="27" t="s">
        <v>498</v>
      </c>
      <c r="H258" s="169" t="s">
        <v>472</v>
      </c>
      <c r="I258" s="33"/>
      <c r="J258" s="33"/>
      <c r="K258" s="4" t="s">
        <v>52</v>
      </c>
      <c r="L258" s="35" t="s">
        <v>53</v>
      </c>
      <c r="M258" s="179"/>
      <c r="N258" s="179"/>
      <c r="O258" s="186"/>
      <c r="P258" s="182"/>
      <c r="Q258" s="182"/>
      <c r="R258" s="182"/>
      <c r="S258" s="183"/>
      <c r="T258" s="183"/>
      <c r="U258" s="183"/>
      <c r="V258" s="183"/>
      <c r="W258" s="183"/>
      <c r="X258" s="184"/>
      <c r="Y258" s="184"/>
      <c r="Z258" s="184"/>
      <c r="AA258" s="184"/>
      <c r="AB258" s="184"/>
      <c r="AC258" s="184"/>
      <c r="AD258" s="184"/>
      <c r="AE258" s="184"/>
      <c r="AF258" s="184"/>
      <c r="AG258" s="184"/>
      <c r="AH258" s="184"/>
      <c r="AI258" s="184"/>
      <c r="AJ258" s="184"/>
      <c r="AK258" s="184"/>
      <c r="AL258" s="184"/>
      <c r="AM258" s="184"/>
      <c r="AN258" s="184"/>
      <c r="AO258" s="184"/>
      <c r="AP258" s="184"/>
      <c r="AQ258" s="184"/>
      <c r="AR258" s="184"/>
      <c r="AS258" s="184"/>
      <c r="AT258" s="184"/>
      <c r="AU258" s="184"/>
      <c r="AV258" s="184"/>
      <c r="AW258" s="184"/>
      <c r="AX258" s="184"/>
      <c r="AY258" s="184"/>
      <c r="AZ258" s="184"/>
      <c r="BA258" s="184"/>
      <c r="BB258" s="184"/>
      <c r="BC258" s="184"/>
      <c r="BD258" s="184"/>
      <c r="BE258" s="184"/>
      <c r="BF258" s="184"/>
      <c r="BG258" s="184"/>
      <c r="BH258" s="184"/>
      <c r="BI258" s="184"/>
      <c r="BJ258" s="184"/>
      <c r="BK258" s="184"/>
      <c r="BL258" s="184"/>
      <c r="BM258" s="184"/>
      <c r="BN258" s="184"/>
      <c r="BO258" s="184"/>
      <c r="BP258" s="184"/>
      <c r="BQ258" s="184"/>
      <c r="BR258" s="184"/>
      <c r="BS258" s="184"/>
      <c r="BT258" s="184"/>
      <c r="BU258" s="184"/>
      <c r="BV258" s="184"/>
      <c r="BW258" s="184"/>
      <c r="BX258" s="184"/>
      <c r="BY258" s="184"/>
      <c r="BZ258" s="184"/>
      <c r="CA258" s="184"/>
      <c r="CB258" s="184"/>
      <c r="CC258" s="184"/>
      <c r="CD258" s="184"/>
      <c r="CE258" s="184"/>
      <c r="CF258" s="184"/>
      <c r="CG258" s="184"/>
      <c r="CH258" s="184"/>
      <c r="CI258" s="184"/>
      <c r="CJ258" s="184"/>
      <c r="CK258" s="184"/>
      <c r="CL258" s="184"/>
      <c r="CM258" s="184"/>
      <c r="CN258" s="184"/>
      <c r="CO258" s="184"/>
      <c r="CP258" s="184"/>
      <c r="CQ258" s="184"/>
      <c r="CR258" s="184"/>
      <c r="CS258" s="184"/>
      <c r="CT258" s="184"/>
      <c r="CU258" s="184"/>
      <c r="CV258" s="184"/>
      <c r="CW258" s="184"/>
      <c r="CX258" s="184"/>
      <c r="CY258" s="184"/>
      <c r="CZ258" s="184"/>
      <c r="DA258" s="184"/>
      <c r="DB258" s="184"/>
      <c r="DC258" s="184"/>
      <c r="DD258" s="184"/>
      <c r="DE258" s="184"/>
      <c r="DF258" s="184"/>
      <c r="DG258" s="184"/>
      <c r="DH258" s="184"/>
      <c r="DI258" s="184"/>
      <c r="DJ258" s="184"/>
      <c r="DK258" s="184"/>
      <c r="DL258" s="184"/>
      <c r="DM258" s="184"/>
      <c r="DN258" s="184"/>
      <c r="DO258" s="184"/>
      <c r="DP258" s="184"/>
      <c r="DQ258" s="184"/>
      <c r="DR258" s="184"/>
      <c r="DS258" s="184"/>
      <c r="DT258" s="184"/>
      <c r="DU258" s="184"/>
      <c r="DV258" s="184"/>
      <c r="DW258" s="184"/>
      <c r="DX258" s="184"/>
      <c r="DY258" s="184"/>
      <c r="DZ258" s="184"/>
      <c r="EA258" s="184"/>
      <c r="EB258" s="184"/>
      <c r="EC258" s="184"/>
      <c r="ED258" s="184"/>
      <c r="EE258" s="184"/>
      <c r="EF258" s="184"/>
      <c r="EG258" s="184"/>
      <c r="EH258" s="184"/>
    </row>
    <row r="259" spans="1:138">
      <c r="A259" s="185"/>
      <c r="B259" s="179"/>
      <c r="C259" s="179"/>
      <c r="D259" s="192"/>
      <c r="E259" s="192"/>
      <c r="F259" s="39"/>
      <c r="G259" s="21" t="s">
        <v>522</v>
      </c>
      <c r="H259" s="157" t="s">
        <v>508</v>
      </c>
      <c r="I259" s="33"/>
      <c r="J259" s="43"/>
      <c r="K259" s="8" t="s">
        <v>65</v>
      </c>
      <c r="L259" s="35" t="s">
        <v>53</v>
      </c>
      <c r="M259" s="179"/>
      <c r="N259" s="179"/>
      <c r="O259" s="186"/>
      <c r="P259" s="182"/>
      <c r="Q259" s="182"/>
      <c r="R259" s="182"/>
      <c r="S259" s="183"/>
      <c r="T259" s="183"/>
      <c r="U259" s="183"/>
      <c r="V259" s="183"/>
      <c r="W259" s="183"/>
      <c r="X259" s="184"/>
      <c r="Y259" s="184"/>
      <c r="Z259" s="184"/>
      <c r="AA259" s="184"/>
      <c r="AB259" s="184"/>
      <c r="AC259" s="184"/>
      <c r="AD259" s="184"/>
      <c r="AE259" s="184"/>
      <c r="AF259" s="184"/>
      <c r="AG259" s="184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4"/>
      <c r="AR259" s="184"/>
      <c r="AS259" s="184"/>
      <c r="AT259" s="184"/>
      <c r="AU259" s="184"/>
      <c r="AV259" s="184"/>
      <c r="AW259" s="184"/>
      <c r="AX259" s="184"/>
      <c r="AY259" s="184"/>
      <c r="AZ259" s="184"/>
      <c r="BA259" s="184"/>
      <c r="BB259" s="184"/>
      <c r="BC259" s="184"/>
      <c r="BD259" s="184"/>
      <c r="BE259" s="184"/>
      <c r="BF259" s="184"/>
      <c r="BG259" s="184"/>
      <c r="BH259" s="184"/>
      <c r="BI259" s="184"/>
      <c r="BJ259" s="184"/>
      <c r="BK259" s="184"/>
      <c r="BL259" s="184"/>
      <c r="BM259" s="184"/>
      <c r="BN259" s="184"/>
      <c r="BO259" s="184"/>
      <c r="BP259" s="184"/>
      <c r="BQ259" s="184"/>
      <c r="BR259" s="184"/>
      <c r="BS259" s="184"/>
      <c r="BT259" s="184"/>
      <c r="BU259" s="184"/>
      <c r="BV259" s="184"/>
      <c r="BW259" s="184"/>
      <c r="BX259" s="184"/>
      <c r="BY259" s="184"/>
      <c r="BZ259" s="184"/>
      <c r="CA259" s="184"/>
      <c r="CB259" s="184"/>
      <c r="CC259" s="184"/>
      <c r="CD259" s="184"/>
      <c r="CE259" s="184"/>
      <c r="CF259" s="184"/>
      <c r="CG259" s="184"/>
      <c r="CH259" s="184"/>
      <c r="CI259" s="184"/>
      <c r="CJ259" s="184"/>
      <c r="CK259" s="184"/>
      <c r="CL259" s="184"/>
      <c r="CM259" s="184"/>
      <c r="CN259" s="184"/>
      <c r="CO259" s="184"/>
      <c r="CP259" s="184"/>
      <c r="CQ259" s="184"/>
      <c r="CR259" s="184"/>
      <c r="CS259" s="184"/>
      <c r="CT259" s="184"/>
      <c r="CU259" s="184"/>
      <c r="CV259" s="184"/>
      <c r="CW259" s="184"/>
      <c r="CX259" s="184"/>
      <c r="CY259" s="184"/>
      <c r="CZ259" s="184"/>
      <c r="DA259" s="184"/>
      <c r="DB259" s="184"/>
      <c r="DC259" s="184"/>
      <c r="DD259" s="184"/>
      <c r="DE259" s="184"/>
      <c r="DF259" s="184"/>
      <c r="DG259" s="184"/>
      <c r="DH259" s="184"/>
      <c r="DI259" s="184"/>
      <c r="DJ259" s="184"/>
      <c r="DK259" s="184"/>
      <c r="DL259" s="184"/>
      <c r="DM259" s="184"/>
      <c r="DN259" s="184"/>
      <c r="DO259" s="184"/>
      <c r="DP259" s="184"/>
      <c r="DQ259" s="184"/>
      <c r="DR259" s="184"/>
      <c r="DS259" s="184"/>
      <c r="DT259" s="184"/>
      <c r="DU259" s="184"/>
      <c r="DV259" s="184"/>
      <c r="DW259" s="184"/>
      <c r="DX259" s="184"/>
      <c r="DY259" s="184"/>
      <c r="DZ259" s="184"/>
      <c r="EA259" s="184"/>
      <c r="EB259" s="184"/>
      <c r="EC259" s="184"/>
      <c r="ED259" s="184"/>
      <c r="EE259" s="184"/>
      <c r="EF259" s="184"/>
      <c r="EG259" s="184"/>
      <c r="EH259" s="184"/>
    </row>
    <row r="260" spans="1:138">
      <c r="A260" s="185"/>
      <c r="B260" s="179"/>
      <c r="C260" s="179"/>
      <c r="D260" s="192"/>
      <c r="E260" s="192"/>
      <c r="F260" s="39"/>
      <c r="G260" s="45" t="s">
        <v>516</v>
      </c>
      <c r="H260" s="159" t="s">
        <v>488</v>
      </c>
      <c r="I260" s="33"/>
      <c r="J260" s="33"/>
      <c r="K260" s="8" t="s">
        <v>78</v>
      </c>
      <c r="L260" s="35" t="s">
        <v>53</v>
      </c>
      <c r="M260" s="179"/>
      <c r="N260" s="179"/>
      <c r="O260" s="186"/>
      <c r="P260" s="182"/>
      <c r="Q260" s="182"/>
      <c r="R260" s="182"/>
      <c r="S260" s="183"/>
      <c r="T260" s="183"/>
      <c r="U260" s="183"/>
      <c r="V260" s="183"/>
      <c r="W260" s="183"/>
      <c r="X260" s="184"/>
      <c r="Y260" s="184"/>
      <c r="Z260" s="184"/>
      <c r="AA260" s="184"/>
      <c r="AB260" s="184"/>
      <c r="AC260" s="184"/>
      <c r="AD260" s="184"/>
      <c r="AE260" s="184"/>
      <c r="AF260" s="184"/>
      <c r="AG260" s="184"/>
      <c r="AH260" s="184"/>
      <c r="AI260" s="184"/>
      <c r="AJ260" s="184"/>
      <c r="AK260" s="184"/>
      <c r="AL260" s="184"/>
      <c r="AM260" s="184"/>
      <c r="AN260" s="184"/>
      <c r="AO260" s="184"/>
      <c r="AP260" s="184"/>
      <c r="AQ260" s="184"/>
      <c r="AR260" s="184"/>
      <c r="AS260" s="184"/>
      <c r="AT260" s="184"/>
      <c r="AU260" s="184"/>
      <c r="AV260" s="184"/>
      <c r="AW260" s="184"/>
      <c r="AX260" s="184"/>
      <c r="AY260" s="184"/>
      <c r="AZ260" s="184"/>
      <c r="BA260" s="184"/>
      <c r="BB260" s="184"/>
      <c r="BC260" s="184"/>
      <c r="BD260" s="184"/>
      <c r="BE260" s="184"/>
      <c r="BF260" s="184"/>
      <c r="BG260" s="184"/>
      <c r="BH260" s="184"/>
      <c r="BI260" s="184"/>
      <c r="BJ260" s="184"/>
      <c r="BK260" s="184"/>
      <c r="BL260" s="184"/>
      <c r="BM260" s="184"/>
      <c r="BN260" s="184"/>
      <c r="BO260" s="184"/>
      <c r="BP260" s="184"/>
      <c r="BQ260" s="184"/>
      <c r="BR260" s="184"/>
      <c r="BS260" s="184"/>
      <c r="BT260" s="184"/>
      <c r="BU260" s="184"/>
      <c r="BV260" s="184"/>
      <c r="BW260" s="184"/>
      <c r="BX260" s="184"/>
      <c r="BY260" s="184"/>
      <c r="BZ260" s="184"/>
      <c r="CA260" s="184"/>
      <c r="CB260" s="184"/>
      <c r="CC260" s="184"/>
      <c r="CD260" s="184"/>
      <c r="CE260" s="184"/>
      <c r="CF260" s="184"/>
      <c r="CG260" s="184"/>
      <c r="CH260" s="184"/>
      <c r="CI260" s="184"/>
      <c r="CJ260" s="184"/>
      <c r="CK260" s="184"/>
      <c r="CL260" s="184"/>
      <c r="CM260" s="184"/>
      <c r="CN260" s="184"/>
      <c r="CO260" s="184"/>
      <c r="CP260" s="184"/>
      <c r="CQ260" s="184"/>
      <c r="CR260" s="184"/>
      <c r="CS260" s="184"/>
      <c r="CT260" s="184"/>
      <c r="CU260" s="184"/>
      <c r="CV260" s="184"/>
      <c r="CW260" s="184"/>
      <c r="CX260" s="184"/>
      <c r="CY260" s="184"/>
      <c r="CZ260" s="184"/>
      <c r="DA260" s="184"/>
      <c r="DB260" s="184"/>
      <c r="DC260" s="184"/>
      <c r="DD260" s="184"/>
      <c r="DE260" s="184"/>
      <c r="DF260" s="184"/>
      <c r="DG260" s="184"/>
      <c r="DH260" s="184"/>
      <c r="DI260" s="184"/>
      <c r="DJ260" s="184"/>
      <c r="DK260" s="184"/>
      <c r="DL260" s="184"/>
      <c r="DM260" s="184"/>
      <c r="DN260" s="184"/>
      <c r="DO260" s="184"/>
      <c r="DP260" s="184"/>
      <c r="DQ260" s="184"/>
      <c r="DR260" s="184"/>
      <c r="DS260" s="184"/>
      <c r="DT260" s="184"/>
      <c r="DU260" s="184"/>
      <c r="DV260" s="184"/>
      <c r="DW260" s="184"/>
      <c r="DX260" s="184"/>
      <c r="DY260" s="184"/>
      <c r="DZ260" s="184"/>
      <c r="EA260" s="184"/>
      <c r="EB260" s="184"/>
      <c r="EC260" s="184"/>
      <c r="ED260" s="184"/>
      <c r="EE260" s="184"/>
      <c r="EF260" s="184"/>
      <c r="EG260" s="184"/>
      <c r="EH260" s="184"/>
    </row>
    <row r="261" spans="1:138" ht="29.25">
      <c r="A261" s="185"/>
      <c r="B261" s="179"/>
      <c r="C261" s="179"/>
      <c r="D261" s="192"/>
      <c r="E261" s="193"/>
      <c r="F261" s="39"/>
      <c r="G261" s="18" t="s">
        <v>510</v>
      </c>
      <c r="H261" s="157" t="s">
        <v>508</v>
      </c>
      <c r="I261" s="33"/>
      <c r="J261" s="33"/>
      <c r="K261" s="30" t="s">
        <v>68</v>
      </c>
      <c r="L261" s="35" t="s">
        <v>53</v>
      </c>
      <c r="M261" s="179"/>
      <c r="N261" s="179"/>
      <c r="O261" s="186"/>
      <c r="P261" s="182"/>
      <c r="Q261" s="182"/>
      <c r="R261" s="182"/>
      <c r="S261" s="183"/>
      <c r="T261" s="183"/>
      <c r="U261" s="183"/>
      <c r="V261" s="183"/>
      <c r="W261" s="183"/>
      <c r="X261" s="184"/>
      <c r="Y261" s="184"/>
      <c r="Z261" s="184"/>
      <c r="AA261" s="184"/>
      <c r="AB261" s="184"/>
      <c r="AC261" s="184"/>
      <c r="AD261" s="184"/>
      <c r="AE261" s="184"/>
      <c r="AF261" s="184"/>
      <c r="AG261" s="184"/>
      <c r="AH261" s="184"/>
      <c r="AI261" s="184"/>
      <c r="AJ261" s="184"/>
      <c r="AK261" s="184"/>
      <c r="AL261" s="184"/>
      <c r="AM261" s="184"/>
      <c r="AN261" s="184"/>
      <c r="AO261" s="184"/>
      <c r="AP261" s="184"/>
      <c r="AQ261" s="184"/>
      <c r="AR261" s="184"/>
      <c r="AS261" s="184"/>
      <c r="AT261" s="184"/>
      <c r="AU261" s="184"/>
      <c r="AV261" s="184"/>
      <c r="AW261" s="184"/>
      <c r="AX261" s="184"/>
      <c r="AY261" s="184"/>
      <c r="AZ261" s="184"/>
      <c r="BA261" s="184"/>
      <c r="BB261" s="184"/>
      <c r="BC261" s="184"/>
      <c r="BD261" s="184"/>
      <c r="BE261" s="184"/>
      <c r="BF261" s="184"/>
      <c r="BG261" s="184"/>
      <c r="BH261" s="184"/>
      <c r="BI261" s="184"/>
      <c r="BJ261" s="184"/>
      <c r="BK261" s="184"/>
      <c r="BL261" s="184"/>
      <c r="BM261" s="184"/>
      <c r="BN261" s="184"/>
      <c r="BO261" s="184"/>
      <c r="BP261" s="184"/>
      <c r="BQ261" s="184"/>
      <c r="BR261" s="184"/>
      <c r="BS261" s="184"/>
      <c r="BT261" s="184"/>
      <c r="BU261" s="184"/>
      <c r="BV261" s="184"/>
      <c r="BW261" s="184"/>
      <c r="BX261" s="184"/>
      <c r="BY261" s="184"/>
      <c r="BZ261" s="184"/>
      <c r="CA261" s="184"/>
      <c r="CB261" s="184"/>
      <c r="CC261" s="184"/>
      <c r="CD261" s="184"/>
      <c r="CE261" s="184"/>
      <c r="CF261" s="184"/>
      <c r="CG261" s="184"/>
      <c r="CH261" s="184"/>
      <c r="CI261" s="184"/>
      <c r="CJ261" s="184"/>
      <c r="CK261" s="184"/>
      <c r="CL261" s="184"/>
      <c r="CM261" s="184"/>
      <c r="CN261" s="184"/>
      <c r="CO261" s="184"/>
      <c r="CP261" s="184"/>
      <c r="CQ261" s="184"/>
      <c r="CR261" s="184"/>
      <c r="CS261" s="184"/>
      <c r="CT261" s="184"/>
      <c r="CU261" s="184"/>
      <c r="CV261" s="184"/>
      <c r="CW261" s="184"/>
      <c r="CX261" s="184"/>
      <c r="CY261" s="184"/>
      <c r="CZ261" s="184"/>
      <c r="DA261" s="184"/>
      <c r="DB261" s="184"/>
      <c r="DC261" s="184"/>
      <c r="DD261" s="184"/>
      <c r="DE261" s="184"/>
      <c r="DF261" s="184"/>
      <c r="DG261" s="184"/>
      <c r="DH261" s="184"/>
      <c r="DI261" s="184"/>
      <c r="DJ261" s="184"/>
      <c r="DK261" s="184"/>
      <c r="DL261" s="184"/>
      <c r="DM261" s="184"/>
      <c r="DN261" s="184"/>
      <c r="DO261" s="184"/>
      <c r="DP261" s="184"/>
      <c r="DQ261" s="184"/>
      <c r="DR261" s="184"/>
      <c r="DS261" s="184"/>
      <c r="DT261" s="184"/>
      <c r="DU261" s="184"/>
      <c r="DV261" s="184"/>
      <c r="DW261" s="184"/>
      <c r="DX261" s="184"/>
      <c r="DY261" s="184"/>
      <c r="DZ261" s="184"/>
      <c r="EA261" s="184"/>
      <c r="EB261" s="184"/>
      <c r="EC261" s="184"/>
      <c r="ED261" s="184"/>
      <c r="EE261" s="184"/>
      <c r="EF261" s="184"/>
      <c r="EG261" s="184"/>
      <c r="EH261" s="184"/>
    </row>
    <row r="262" spans="1:138" ht="29.25">
      <c r="A262" s="185"/>
      <c r="B262" s="179"/>
      <c r="C262" s="179"/>
      <c r="D262" s="192"/>
      <c r="E262" s="191" t="s">
        <v>527</v>
      </c>
      <c r="F262" s="83"/>
      <c r="G262" s="39" t="s">
        <v>528</v>
      </c>
      <c r="H262" s="169" t="s">
        <v>472</v>
      </c>
      <c r="I262" s="33"/>
      <c r="J262" s="33"/>
      <c r="K262" s="68" t="s">
        <v>52</v>
      </c>
      <c r="L262" s="35" t="s">
        <v>53</v>
      </c>
      <c r="M262" s="179"/>
      <c r="N262" s="179"/>
      <c r="O262" s="186"/>
      <c r="P262" s="182"/>
      <c r="Q262" s="182"/>
      <c r="R262" s="182"/>
      <c r="S262" s="183"/>
      <c r="T262" s="183"/>
      <c r="U262" s="183"/>
      <c r="V262" s="183"/>
      <c r="W262" s="183"/>
      <c r="X262" s="184"/>
      <c r="Y262" s="184"/>
      <c r="Z262" s="184"/>
      <c r="AA262" s="184"/>
      <c r="AB262" s="184"/>
      <c r="AC262" s="184"/>
      <c r="AD262" s="184"/>
      <c r="AE262" s="184"/>
      <c r="AF262" s="184"/>
      <c r="AG262" s="184"/>
      <c r="AH262" s="184"/>
      <c r="AI262" s="184"/>
      <c r="AJ262" s="184"/>
      <c r="AK262" s="184"/>
      <c r="AL262" s="184"/>
      <c r="AM262" s="184"/>
      <c r="AN262" s="184"/>
      <c r="AO262" s="184"/>
      <c r="AP262" s="184"/>
      <c r="AQ262" s="184"/>
      <c r="AR262" s="184"/>
      <c r="AS262" s="184"/>
      <c r="AT262" s="184"/>
      <c r="AU262" s="184"/>
      <c r="AV262" s="184"/>
      <c r="AW262" s="184"/>
      <c r="AX262" s="184"/>
      <c r="AY262" s="184"/>
      <c r="AZ262" s="184"/>
      <c r="BA262" s="184"/>
      <c r="BB262" s="184"/>
      <c r="BC262" s="184"/>
      <c r="BD262" s="184"/>
      <c r="BE262" s="184"/>
      <c r="BF262" s="184"/>
      <c r="BG262" s="184"/>
      <c r="BH262" s="184"/>
      <c r="BI262" s="184"/>
      <c r="BJ262" s="184"/>
      <c r="BK262" s="184"/>
      <c r="BL262" s="184"/>
      <c r="BM262" s="184"/>
      <c r="BN262" s="184"/>
      <c r="BO262" s="184"/>
      <c r="BP262" s="184"/>
      <c r="BQ262" s="184"/>
      <c r="BR262" s="184"/>
      <c r="BS262" s="184"/>
      <c r="BT262" s="184"/>
      <c r="BU262" s="184"/>
      <c r="BV262" s="184"/>
      <c r="BW262" s="184"/>
      <c r="BX262" s="184"/>
      <c r="BY262" s="184"/>
      <c r="BZ262" s="184"/>
      <c r="CA262" s="184"/>
      <c r="CB262" s="184"/>
      <c r="CC262" s="184"/>
      <c r="CD262" s="184"/>
      <c r="CE262" s="184"/>
      <c r="CF262" s="184"/>
      <c r="CG262" s="184"/>
      <c r="CH262" s="184"/>
      <c r="CI262" s="184"/>
      <c r="CJ262" s="184"/>
      <c r="CK262" s="184"/>
      <c r="CL262" s="184"/>
      <c r="CM262" s="184"/>
      <c r="CN262" s="184"/>
      <c r="CO262" s="184"/>
      <c r="CP262" s="184"/>
      <c r="CQ262" s="184"/>
      <c r="CR262" s="184"/>
      <c r="CS262" s="184"/>
      <c r="CT262" s="184"/>
      <c r="CU262" s="184"/>
      <c r="CV262" s="184"/>
      <c r="CW262" s="184"/>
      <c r="CX262" s="184"/>
      <c r="CY262" s="184"/>
      <c r="CZ262" s="184"/>
      <c r="DA262" s="184"/>
      <c r="DB262" s="184"/>
      <c r="DC262" s="184"/>
      <c r="DD262" s="184"/>
      <c r="DE262" s="184"/>
      <c r="DF262" s="184"/>
      <c r="DG262" s="184"/>
      <c r="DH262" s="184"/>
      <c r="DI262" s="184"/>
      <c r="DJ262" s="184"/>
      <c r="DK262" s="184"/>
      <c r="DL262" s="184"/>
      <c r="DM262" s="184"/>
      <c r="DN262" s="184"/>
      <c r="DO262" s="184"/>
      <c r="DP262" s="184"/>
      <c r="DQ262" s="184"/>
      <c r="DR262" s="184"/>
      <c r="DS262" s="184"/>
      <c r="DT262" s="184"/>
      <c r="DU262" s="184"/>
      <c r="DV262" s="184"/>
      <c r="DW262" s="184"/>
      <c r="DX262" s="184"/>
      <c r="DY262" s="184"/>
      <c r="DZ262" s="184"/>
      <c r="EA262" s="184"/>
      <c r="EB262" s="184"/>
      <c r="EC262" s="184"/>
      <c r="ED262" s="184"/>
      <c r="EE262" s="184"/>
      <c r="EF262" s="184"/>
      <c r="EG262" s="184"/>
      <c r="EH262" s="184"/>
    </row>
    <row r="263" spans="1:138" ht="29.25">
      <c r="A263" s="185"/>
      <c r="B263" s="179"/>
      <c r="C263" s="179"/>
      <c r="D263" s="192"/>
      <c r="E263" s="192"/>
      <c r="F263" s="83"/>
      <c r="G263" s="39" t="s">
        <v>113</v>
      </c>
      <c r="H263" s="169" t="s">
        <v>472</v>
      </c>
      <c r="I263" s="33"/>
      <c r="J263" s="33"/>
      <c r="K263" s="4" t="s">
        <v>52</v>
      </c>
      <c r="L263" s="35" t="s">
        <v>53</v>
      </c>
      <c r="M263" s="179"/>
      <c r="N263" s="179"/>
      <c r="O263" s="186"/>
      <c r="P263" s="182"/>
      <c r="Q263" s="182"/>
      <c r="R263" s="182"/>
      <c r="S263" s="183"/>
      <c r="T263" s="183"/>
      <c r="U263" s="183"/>
      <c r="V263" s="183"/>
      <c r="W263" s="183"/>
      <c r="X263" s="184"/>
      <c r="Y263" s="184"/>
      <c r="Z263" s="184"/>
      <c r="AA263" s="184"/>
      <c r="AB263" s="184"/>
      <c r="AC263" s="184"/>
      <c r="AD263" s="184"/>
      <c r="AE263" s="184"/>
      <c r="AF263" s="184"/>
      <c r="AG263" s="184"/>
      <c r="AH263" s="184"/>
      <c r="AI263" s="184"/>
      <c r="AJ263" s="184"/>
      <c r="AK263" s="184"/>
      <c r="AL263" s="184"/>
      <c r="AM263" s="184"/>
      <c r="AN263" s="184"/>
      <c r="AO263" s="184"/>
      <c r="AP263" s="184"/>
      <c r="AQ263" s="184"/>
      <c r="AR263" s="184"/>
      <c r="AS263" s="184"/>
      <c r="AT263" s="184"/>
      <c r="AU263" s="184"/>
      <c r="AV263" s="184"/>
      <c r="AW263" s="184"/>
      <c r="AX263" s="184"/>
      <c r="AY263" s="184"/>
      <c r="AZ263" s="184"/>
      <c r="BA263" s="184"/>
      <c r="BB263" s="184"/>
      <c r="BC263" s="184"/>
      <c r="BD263" s="184"/>
      <c r="BE263" s="184"/>
      <c r="BF263" s="184"/>
      <c r="BG263" s="184"/>
      <c r="BH263" s="184"/>
      <c r="BI263" s="184"/>
      <c r="BJ263" s="184"/>
      <c r="BK263" s="184"/>
      <c r="BL263" s="184"/>
      <c r="BM263" s="184"/>
      <c r="BN263" s="184"/>
      <c r="BO263" s="184"/>
      <c r="BP263" s="184"/>
      <c r="BQ263" s="184"/>
      <c r="BR263" s="184"/>
      <c r="BS263" s="184"/>
      <c r="BT263" s="184"/>
      <c r="BU263" s="184"/>
      <c r="BV263" s="184"/>
      <c r="BW263" s="184"/>
      <c r="BX263" s="184"/>
      <c r="BY263" s="184"/>
      <c r="BZ263" s="184"/>
      <c r="CA263" s="184"/>
      <c r="CB263" s="184"/>
      <c r="CC263" s="184"/>
      <c r="CD263" s="184"/>
      <c r="CE263" s="184"/>
      <c r="CF263" s="184"/>
      <c r="CG263" s="184"/>
      <c r="CH263" s="184"/>
      <c r="CI263" s="184"/>
      <c r="CJ263" s="184"/>
      <c r="CK263" s="184"/>
      <c r="CL263" s="184"/>
      <c r="CM263" s="184"/>
      <c r="CN263" s="184"/>
      <c r="CO263" s="184"/>
      <c r="CP263" s="184"/>
      <c r="CQ263" s="184"/>
      <c r="CR263" s="184"/>
      <c r="CS263" s="184"/>
      <c r="CT263" s="184"/>
      <c r="CU263" s="184"/>
      <c r="CV263" s="184"/>
      <c r="CW263" s="184"/>
      <c r="CX263" s="184"/>
      <c r="CY263" s="184"/>
      <c r="CZ263" s="184"/>
      <c r="DA263" s="184"/>
      <c r="DB263" s="184"/>
      <c r="DC263" s="184"/>
      <c r="DD263" s="184"/>
      <c r="DE263" s="184"/>
      <c r="DF263" s="184"/>
      <c r="DG263" s="184"/>
      <c r="DH263" s="184"/>
      <c r="DI263" s="184"/>
      <c r="DJ263" s="184"/>
      <c r="DK263" s="184"/>
      <c r="DL263" s="184"/>
      <c r="DM263" s="184"/>
      <c r="DN263" s="184"/>
      <c r="DO263" s="184"/>
      <c r="DP263" s="184"/>
      <c r="DQ263" s="184"/>
      <c r="DR263" s="184"/>
      <c r="DS263" s="184"/>
      <c r="DT263" s="184"/>
      <c r="DU263" s="184"/>
      <c r="DV263" s="184"/>
      <c r="DW263" s="184"/>
      <c r="DX263" s="184"/>
      <c r="DY263" s="184"/>
      <c r="DZ263" s="184"/>
      <c r="EA263" s="184"/>
      <c r="EB263" s="184"/>
      <c r="EC263" s="184"/>
      <c r="ED263" s="184"/>
      <c r="EE263" s="184"/>
      <c r="EF263" s="184"/>
      <c r="EG263" s="184"/>
      <c r="EH263" s="184"/>
    </row>
    <row r="264" spans="1:138">
      <c r="A264" s="185"/>
      <c r="B264" s="179"/>
      <c r="C264" s="179"/>
      <c r="D264" s="192"/>
      <c r="E264" s="192"/>
      <c r="F264" s="84"/>
      <c r="G264" s="20" t="s">
        <v>59</v>
      </c>
      <c r="H264" s="169" t="s">
        <v>472</v>
      </c>
      <c r="I264" s="33"/>
      <c r="J264" s="33"/>
      <c r="K264" s="4" t="s">
        <v>60</v>
      </c>
      <c r="L264" s="35" t="s">
        <v>53</v>
      </c>
      <c r="M264" s="179"/>
      <c r="N264" s="179"/>
      <c r="O264" s="186"/>
      <c r="P264" s="182"/>
      <c r="Q264" s="182"/>
      <c r="R264" s="182"/>
      <c r="S264" s="183"/>
      <c r="T264" s="183"/>
      <c r="U264" s="183"/>
      <c r="V264" s="183"/>
      <c r="W264" s="183"/>
      <c r="X264" s="184"/>
      <c r="Y264" s="184"/>
      <c r="Z264" s="184"/>
      <c r="AA264" s="184"/>
      <c r="AB264" s="184"/>
      <c r="AC264" s="184"/>
      <c r="AD264" s="184"/>
      <c r="AE264" s="184"/>
      <c r="AF264" s="184"/>
      <c r="AG264" s="184"/>
      <c r="AH264" s="184"/>
      <c r="AI264" s="184"/>
      <c r="AJ264" s="184"/>
      <c r="AK264" s="184"/>
      <c r="AL264" s="184"/>
      <c r="AM264" s="184"/>
      <c r="AN264" s="184"/>
      <c r="AO264" s="184"/>
      <c r="AP264" s="184"/>
      <c r="AQ264" s="184"/>
      <c r="AR264" s="184"/>
      <c r="AS264" s="184"/>
      <c r="AT264" s="184"/>
      <c r="AU264" s="184"/>
      <c r="AV264" s="184"/>
      <c r="AW264" s="184"/>
      <c r="AX264" s="184"/>
      <c r="AY264" s="184"/>
      <c r="AZ264" s="184"/>
      <c r="BA264" s="184"/>
      <c r="BB264" s="184"/>
      <c r="BC264" s="184"/>
      <c r="BD264" s="184"/>
      <c r="BE264" s="184"/>
      <c r="BF264" s="184"/>
      <c r="BG264" s="184"/>
      <c r="BH264" s="184"/>
      <c r="BI264" s="184"/>
      <c r="BJ264" s="184"/>
      <c r="BK264" s="184"/>
      <c r="BL264" s="184"/>
      <c r="BM264" s="184"/>
      <c r="BN264" s="184"/>
      <c r="BO264" s="184"/>
      <c r="BP264" s="184"/>
      <c r="BQ264" s="184"/>
      <c r="BR264" s="184"/>
      <c r="BS264" s="184"/>
      <c r="BT264" s="184"/>
      <c r="BU264" s="184"/>
      <c r="BV264" s="184"/>
      <c r="BW264" s="184"/>
      <c r="BX264" s="184"/>
      <c r="BY264" s="184"/>
      <c r="BZ264" s="184"/>
      <c r="CA264" s="184"/>
      <c r="CB264" s="184"/>
      <c r="CC264" s="184"/>
      <c r="CD264" s="184"/>
      <c r="CE264" s="184"/>
      <c r="CF264" s="184"/>
      <c r="CG264" s="184"/>
      <c r="CH264" s="184"/>
      <c r="CI264" s="184"/>
      <c r="CJ264" s="184"/>
      <c r="CK264" s="184"/>
      <c r="CL264" s="184"/>
      <c r="CM264" s="184"/>
      <c r="CN264" s="184"/>
      <c r="CO264" s="184"/>
      <c r="CP264" s="184"/>
      <c r="CQ264" s="184"/>
      <c r="CR264" s="184"/>
      <c r="CS264" s="184"/>
      <c r="CT264" s="184"/>
      <c r="CU264" s="184"/>
      <c r="CV264" s="184"/>
      <c r="CW264" s="184"/>
      <c r="CX264" s="184"/>
      <c r="CY264" s="184"/>
      <c r="CZ264" s="184"/>
      <c r="DA264" s="184"/>
      <c r="DB264" s="184"/>
      <c r="DC264" s="184"/>
      <c r="DD264" s="184"/>
      <c r="DE264" s="184"/>
      <c r="DF264" s="184"/>
      <c r="DG264" s="184"/>
      <c r="DH264" s="184"/>
      <c r="DI264" s="184"/>
      <c r="DJ264" s="184"/>
      <c r="DK264" s="184"/>
      <c r="DL264" s="184"/>
      <c r="DM264" s="184"/>
      <c r="DN264" s="184"/>
      <c r="DO264" s="184"/>
      <c r="DP264" s="184"/>
      <c r="DQ264" s="184"/>
      <c r="DR264" s="184"/>
      <c r="DS264" s="184"/>
      <c r="DT264" s="184"/>
      <c r="DU264" s="184"/>
      <c r="DV264" s="184"/>
      <c r="DW264" s="184"/>
      <c r="DX264" s="184"/>
      <c r="DY264" s="184"/>
      <c r="DZ264" s="184"/>
      <c r="EA264" s="184"/>
      <c r="EB264" s="184"/>
      <c r="EC264" s="184"/>
      <c r="ED264" s="184"/>
      <c r="EE264" s="184"/>
      <c r="EF264" s="184"/>
      <c r="EG264" s="184"/>
      <c r="EH264" s="184"/>
    </row>
    <row r="265" spans="1:138">
      <c r="A265" s="185"/>
      <c r="B265" s="179"/>
      <c r="C265" s="179"/>
      <c r="D265" s="192"/>
      <c r="E265" s="192"/>
      <c r="F265" s="83"/>
      <c r="G265" s="39" t="s">
        <v>505</v>
      </c>
      <c r="H265" s="169" t="s">
        <v>472</v>
      </c>
      <c r="I265" s="33"/>
      <c r="J265" s="33"/>
      <c r="K265" s="4" t="s">
        <v>60</v>
      </c>
      <c r="L265" s="35" t="s">
        <v>53</v>
      </c>
      <c r="M265" s="179"/>
      <c r="N265" s="179"/>
      <c r="O265" s="186"/>
      <c r="P265" s="182"/>
      <c r="Q265" s="182"/>
      <c r="R265" s="182"/>
      <c r="S265" s="183"/>
      <c r="T265" s="183"/>
      <c r="U265" s="183"/>
      <c r="V265" s="183"/>
      <c r="W265" s="183"/>
      <c r="X265" s="184"/>
      <c r="Y265" s="184"/>
      <c r="Z265" s="184"/>
      <c r="AA265" s="184"/>
      <c r="AB265" s="184"/>
      <c r="AC265" s="184"/>
      <c r="AD265" s="184"/>
      <c r="AE265" s="184"/>
      <c r="AF265" s="184"/>
      <c r="AG265" s="184"/>
      <c r="AH265" s="184"/>
      <c r="AI265" s="184"/>
      <c r="AJ265" s="184"/>
      <c r="AK265" s="184"/>
      <c r="AL265" s="184"/>
      <c r="AM265" s="184"/>
      <c r="AN265" s="184"/>
      <c r="AO265" s="184"/>
      <c r="AP265" s="184"/>
      <c r="AQ265" s="184"/>
      <c r="AR265" s="184"/>
      <c r="AS265" s="184"/>
      <c r="AT265" s="184"/>
      <c r="AU265" s="184"/>
      <c r="AV265" s="184"/>
      <c r="AW265" s="184"/>
      <c r="AX265" s="184"/>
      <c r="AY265" s="184"/>
      <c r="AZ265" s="184"/>
      <c r="BA265" s="184"/>
      <c r="BB265" s="184"/>
      <c r="BC265" s="184"/>
      <c r="BD265" s="184"/>
      <c r="BE265" s="184"/>
      <c r="BF265" s="184"/>
      <c r="BG265" s="184"/>
      <c r="BH265" s="184"/>
      <c r="BI265" s="184"/>
      <c r="BJ265" s="184"/>
      <c r="BK265" s="184"/>
      <c r="BL265" s="184"/>
      <c r="BM265" s="184"/>
      <c r="BN265" s="184"/>
      <c r="BO265" s="184"/>
      <c r="BP265" s="184"/>
      <c r="BQ265" s="184"/>
      <c r="BR265" s="184"/>
      <c r="BS265" s="184"/>
      <c r="BT265" s="184"/>
      <c r="BU265" s="184"/>
      <c r="BV265" s="184"/>
      <c r="BW265" s="184"/>
      <c r="BX265" s="184"/>
      <c r="BY265" s="184"/>
      <c r="BZ265" s="184"/>
      <c r="CA265" s="184"/>
      <c r="CB265" s="184"/>
      <c r="CC265" s="184"/>
      <c r="CD265" s="184"/>
      <c r="CE265" s="184"/>
      <c r="CF265" s="184"/>
      <c r="CG265" s="184"/>
      <c r="CH265" s="184"/>
      <c r="CI265" s="184"/>
      <c r="CJ265" s="184"/>
      <c r="CK265" s="184"/>
      <c r="CL265" s="184"/>
      <c r="CM265" s="184"/>
      <c r="CN265" s="184"/>
      <c r="CO265" s="184"/>
      <c r="CP265" s="184"/>
      <c r="CQ265" s="184"/>
      <c r="CR265" s="184"/>
      <c r="CS265" s="184"/>
      <c r="CT265" s="184"/>
      <c r="CU265" s="184"/>
      <c r="CV265" s="184"/>
      <c r="CW265" s="184"/>
      <c r="CX265" s="184"/>
      <c r="CY265" s="184"/>
      <c r="CZ265" s="184"/>
      <c r="DA265" s="184"/>
      <c r="DB265" s="184"/>
      <c r="DC265" s="184"/>
      <c r="DD265" s="184"/>
      <c r="DE265" s="184"/>
      <c r="DF265" s="184"/>
      <c r="DG265" s="184"/>
      <c r="DH265" s="184"/>
      <c r="DI265" s="184"/>
      <c r="DJ265" s="184"/>
      <c r="DK265" s="184"/>
      <c r="DL265" s="184"/>
      <c r="DM265" s="184"/>
      <c r="DN265" s="184"/>
      <c r="DO265" s="184"/>
      <c r="DP265" s="184"/>
      <c r="DQ265" s="184"/>
      <c r="DR265" s="184"/>
      <c r="DS265" s="184"/>
      <c r="DT265" s="184"/>
      <c r="DU265" s="184"/>
      <c r="DV265" s="184"/>
      <c r="DW265" s="184"/>
      <c r="DX265" s="184"/>
      <c r="DY265" s="184"/>
      <c r="DZ265" s="184"/>
      <c r="EA265" s="184"/>
      <c r="EB265" s="184"/>
      <c r="EC265" s="184"/>
      <c r="ED265" s="184"/>
      <c r="EE265" s="184"/>
      <c r="EF265" s="184"/>
      <c r="EG265" s="184"/>
      <c r="EH265" s="184"/>
    </row>
    <row r="266" spans="1:138">
      <c r="A266" s="185"/>
      <c r="B266" s="179"/>
      <c r="C266" s="179"/>
      <c r="D266" s="192"/>
      <c r="E266" s="192"/>
      <c r="F266" s="83"/>
      <c r="G266" s="39" t="s">
        <v>533</v>
      </c>
      <c r="H266" s="159" t="s">
        <v>488</v>
      </c>
      <c r="I266" s="33"/>
      <c r="J266" s="33"/>
      <c r="K266" s="8" t="s">
        <v>152</v>
      </c>
      <c r="L266" s="35" t="s">
        <v>53</v>
      </c>
      <c r="M266" s="179"/>
      <c r="N266" s="179"/>
      <c r="O266" s="186"/>
      <c r="P266" s="182"/>
      <c r="Q266" s="182"/>
      <c r="R266" s="182"/>
      <c r="S266" s="183"/>
      <c r="T266" s="183"/>
      <c r="U266" s="183"/>
      <c r="V266" s="183"/>
      <c r="W266" s="183"/>
      <c r="X266" s="184"/>
      <c r="Y266" s="184"/>
      <c r="Z266" s="184"/>
      <c r="AA266" s="184"/>
      <c r="AB266" s="184"/>
      <c r="AC266" s="184"/>
      <c r="AD266" s="184"/>
      <c r="AE266" s="184"/>
      <c r="AF266" s="184"/>
      <c r="AG266" s="184"/>
      <c r="AH266" s="184"/>
      <c r="AI266" s="184"/>
      <c r="AJ266" s="184"/>
      <c r="AK266" s="184"/>
      <c r="AL266" s="184"/>
      <c r="AM266" s="184"/>
      <c r="AN266" s="184"/>
      <c r="AO266" s="184"/>
      <c r="AP266" s="184"/>
      <c r="AQ266" s="184"/>
      <c r="AR266" s="184"/>
      <c r="AS266" s="184"/>
      <c r="AT266" s="184"/>
      <c r="AU266" s="184"/>
      <c r="AV266" s="184"/>
      <c r="AW266" s="184"/>
      <c r="AX266" s="184"/>
      <c r="AY266" s="184"/>
      <c r="AZ266" s="184"/>
      <c r="BA266" s="184"/>
      <c r="BB266" s="184"/>
      <c r="BC266" s="184"/>
      <c r="BD266" s="184"/>
      <c r="BE266" s="184"/>
      <c r="BF266" s="184"/>
      <c r="BG266" s="184"/>
      <c r="BH266" s="184"/>
      <c r="BI266" s="184"/>
      <c r="BJ266" s="184"/>
      <c r="BK266" s="184"/>
      <c r="BL266" s="184"/>
      <c r="BM266" s="184"/>
      <c r="BN266" s="184"/>
      <c r="BO266" s="184"/>
      <c r="BP266" s="184"/>
      <c r="BQ266" s="184"/>
      <c r="BR266" s="184"/>
      <c r="BS266" s="184"/>
      <c r="BT266" s="184"/>
      <c r="BU266" s="184"/>
      <c r="BV266" s="184"/>
      <c r="BW266" s="184"/>
      <c r="BX266" s="184"/>
      <c r="BY266" s="184"/>
      <c r="BZ266" s="184"/>
      <c r="CA266" s="184"/>
      <c r="CB266" s="184"/>
      <c r="CC266" s="184"/>
      <c r="CD266" s="184"/>
      <c r="CE266" s="184"/>
      <c r="CF266" s="184"/>
      <c r="CG266" s="184"/>
      <c r="CH266" s="184"/>
      <c r="CI266" s="184"/>
      <c r="CJ266" s="184"/>
      <c r="CK266" s="184"/>
      <c r="CL266" s="184"/>
      <c r="CM266" s="184"/>
      <c r="CN266" s="184"/>
      <c r="CO266" s="184"/>
      <c r="CP266" s="184"/>
      <c r="CQ266" s="184"/>
      <c r="CR266" s="184"/>
      <c r="CS266" s="184"/>
      <c r="CT266" s="184"/>
      <c r="CU266" s="184"/>
      <c r="CV266" s="184"/>
      <c r="CW266" s="184"/>
      <c r="CX266" s="184"/>
      <c r="CY266" s="184"/>
      <c r="CZ266" s="184"/>
      <c r="DA266" s="184"/>
      <c r="DB266" s="184"/>
      <c r="DC266" s="184"/>
      <c r="DD266" s="184"/>
      <c r="DE266" s="184"/>
      <c r="DF266" s="184"/>
      <c r="DG266" s="184"/>
      <c r="DH266" s="184"/>
      <c r="DI266" s="184"/>
      <c r="DJ266" s="184"/>
      <c r="DK266" s="184"/>
      <c r="DL266" s="184"/>
      <c r="DM266" s="184"/>
      <c r="DN266" s="184"/>
      <c r="DO266" s="184"/>
      <c r="DP266" s="184"/>
      <c r="DQ266" s="184"/>
      <c r="DR266" s="184"/>
      <c r="DS266" s="184"/>
      <c r="DT266" s="184"/>
      <c r="DU266" s="184"/>
      <c r="DV266" s="184"/>
      <c r="DW266" s="184"/>
      <c r="DX266" s="184"/>
      <c r="DY266" s="184"/>
      <c r="DZ266" s="184"/>
      <c r="EA266" s="184"/>
      <c r="EB266" s="184"/>
      <c r="EC266" s="184"/>
      <c r="ED266" s="184"/>
      <c r="EE266" s="184"/>
      <c r="EF266" s="184"/>
      <c r="EG266" s="184"/>
      <c r="EH266" s="184"/>
    </row>
    <row r="267" spans="1:138">
      <c r="A267" s="185"/>
      <c r="B267" s="179"/>
      <c r="C267" s="179"/>
      <c r="D267" s="192"/>
      <c r="E267" s="193"/>
      <c r="F267" s="39"/>
      <c r="G267" s="39" t="s">
        <v>536</v>
      </c>
      <c r="H267" s="159" t="s">
        <v>488</v>
      </c>
      <c r="I267" s="33"/>
      <c r="J267" s="33"/>
      <c r="K267" s="8" t="s">
        <v>537</v>
      </c>
      <c r="L267" s="35" t="s">
        <v>53</v>
      </c>
      <c r="M267" s="179"/>
      <c r="N267" s="179"/>
      <c r="O267" s="186"/>
      <c r="P267" s="182"/>
      <c r="Q267" s="182"/>
      <c r="R267" s="182"/>
      <c r="S267" s="183"/>
      <c r="T267" s="183"/>
      <c r="U267" s="183"/>
      <c r="V267" s="183"/>
      <c r="W267" s="183"/>
      <c r="X267" s="184"/>
      <c r="Y267" s="184"/>
      <c r="Z267" s="184"/>
      <c r="AA267" s="184"/>
      <c r="AB267" s="184"/>
      <c r="AC267" s="184"/>
      <c r="AD267" s="184"/>
      <c r="AE267" s="184"/>
      <c r="AF267" s="184"/>
      <c r="AG267" s="184"/>
      <c r="AH267" s="184"/>
      <c r="AI267" s="184"/>
      <c r="AJ267" s="184"/>
      <c r="AK267" s="184"/>
      <c r="AL267" s="184"/>
      <c r="AM267" s="184"/>
      <c r="AN267" s="184"/>
      <c r="AO267" s="184"/>
      <c r="AP267" s="184"/>
      <c r="AQ267" s="184"/>
      <c r="AR267" s="184"/>
      <c r="AS267" s="184"/>
      <c r="AT267" s="184"/>
      <c r="AU267" s="184"/>
      <c r="AV267" s="184"/>
      <c r="AW267" s="184"/>
      <c r="AX267" s="184"/>
      <c r="AY267" s="184"/>
      <c r="AZ267" s="184"/>
      <c r="BA267" s="184"/>
      <c r="BB267" s="184"/>
      <c r="BC267" s="184"/>
      <c r="BD267" s="184"/>
      <c r="BE267" s="184"/>
      <c r="BF267" s="184"/>
      <c r="BG267" s="184"/>
      <c r="BH267" s="184"/>
      <c r="BI267" s="184"/>
      <c r="BJ267" s="184"/>
      <c r="BK267" s="184"/>
      <c r="BL267" s="184"/>
      <c r="BM267" s="184"/>
      <c r="BN267" s="184"/>
      <c r="BO267" s="184"/>
      <c r="BP267" s="184"/>
      <c r="BQ267" s="184"/>
      <c r="BR267" s="184"/>
      <c r="BS267" s="184"/>
      <c r="BT267" s="184"/>
      <c r="BU267" s="184"/>
      <c r="BV267" s="184"/>
      <c r="BW267" s="184"/>
      <c r="BX267" s="184"/>
      <c r="BY267" s="184"/>
      <c r="BZ267" s="184"/>
      <c r="CA267" s="184"/>
      <c r="CB267" s="184"/>
      <c r="CC267" s="184"/>
      <c r="CD267" s="184"/>
      <c r="CE267" s="184"/>
      <c r="CF267" s="184"/>
      <c r="CG267" s="184"/>
      <c r="CH267" s="184"/>
      <c r="CI267" s="184"/>
      <c r="CJ267" s="184"/>
      <c r="CK267" s="184"/>
      <c r="CL267" s="184"/>
      <c r="CM267" s="184"/>
      <c r="CN267" s="184"/>
      <c r="CO267" s="184"/>
      <c r="CP267" s="184"/>
      <c r="CQ267" s="184"/>
      <c r="CR267" s="184"/>
      <c r="CS267" s="184"/>
      <c r="CT267" s="184"/>
      <c r="CU267" s="184"/>
      <c r="CV267" s="184"/>
      <c r="CW267" s="184"/>
      <c r="CX267" s="184"/>
      <c r="CY267" s="184"/>
      <c r="CZ267" s="184"/>
      <c r="DA267" s="184"/>
      <c r="DB267" s="184"/>
      <c r="DC267" s="184"/>
      <c r="DD267" s="184"/>
      <c r="DE267" s="184"/>
      <c r="DF267" s="184"/>
      <c r="DG267" s="184"/>
      <c r="DH267" s="184"/>
      <c r="DI267" s="184"/>
      <c r="DJ267" s="184"/>
      <c r="DK267" s="184"/>
      <c r="DL267" s="184"/>
      <c r="DM267" s="184"/>
      <c r="DN267" s="184"/>
      <c r="DO267" s="184"/>
      <c r="DP267" s="184"/>
      <c r="DQ267" s="184"/>
      <c r="DR267" s="184"/>
      <c r="DS267" s="184"/>
      <c r="DT267" s="184"/>
      <c r="DU267" s="184"/>
      <c r="DV267" s="184"/>
      <c r="DW267" s="184"/>
      <c r="DX267" s="184"/>
      <c r="DY267" s="184"/>
      <c r="DZ267" s="184"/>
      <c r="EA267" s="184"/>
      <c r="EB267" s="184"/>
      <c r="EC267" s="184"/>
      <c r="ED267" s="184"/>
      <c r="EE267" s="184"/>
      <c r="EF267" s="184"/>
      <c r="EG267" s="184"/>
      <c r="EH267" s="184"/>
    </row>
    <row r="268" spans="1:138" ht="15" customHeight="1">
      <c r="A268" s="185"/>
      <c r="B268" s="179"/>
      <c r="C268" s="179"/>
      <c r="D268" s="192"/>
      <c r="E268" s="191" t="s">
        <v>539</v>
      </c>
      <c r="F268" s="39"/>
      <c r="G268" s="160" t="s">
        <v>533</v>
      </c>
      <c r="H268" s="157" t="s">
        <v>488</v>
      </c>
      <c r="I268" s="43"/>
      <c r="J268" s="33"/>
      <c r="K268" s="8" t="s">
        <v>152</v>
      </c>
      <c r="L268" s="35" t="s">
        <v>53</v>
      </c>
      <c r="M268" s="179"/>
      <c r="N268" s="179"/>
      <c r="O268" s="186"/>
      <c r="P268" s="182"/>
      <c r="Q268" s="182"/>
      <c r="R268" s="182"/>
      <c r="S268" s="183"/>
      <c r="T268" s="183"/>
      <c r="U268" s="183"/>
      <c r="V268" s="183"/>
      <c r="W268" s="183"/>
      <c r="X268" s="184"/>
      <c r="Y268" s="184"/>
      <c r="Z268" s="184"/>
      <c r="AA268" s="184"/>
      <c r="AB268" s="184"/>
      <c r="AC268" s="184"/>
      <c r="AD268" s="184"/>
      <c r="AE268" s="184"/>
      <c r="AF268" s="184"/>
      <c r="AG268" s="184"/>
      <c r="AH268" s="184"/>
      <c r="AI268" s="184"/>
      <c r="AJ268" s="184"/>
      <c r="AK268" s="184"/>
      <c r="AL268" s="184"/>
      <c r="AM268" s="184"/>
      <c r="AN268" s="184"/>
      <c r="AO268" s="184"/>
      <c r="AP268" s="184"/>
      <c r="AQ268" s="184"/>
      <c r="AR268" s="184"/>
      <c r="AS268" s="184"/>
      <c r="AT268" s="184"/>
      <c r="AU268" s="184"/>
      <c r="AV268" s="184"/>
      <c r="AW268" s="184"/>
      <c r="AX268" s="184"/>
      <c r="AY268" s="184"/>
      <c r="AZ268" s="184"/>
      <c r="BA268" s="184"/>
      <c r="BB268" s="184"/>
      <c r="BC268" s="184"/>
      <c r="BD268" s="184"/>
      <c r="BE268" s="184"/>
      <c r="BF268" s="184"/>
      <c r="BG268" s="184"/>
      <c r="BH268" s="184"/>
      <c r="BI268" s="184"/>
      <c r="BJ268" s="184"/>
      <c r="BK268" s="184"/>
      <c r="BL268" s="184"/>
      <c r="BM268" s="184"/>
      <c r="BN268" s="184"/>
      <c r="BO268" s="184"/>
      <c r="BP268" s="184"/>
      <c r="BQ268" s="184"/>
      <c r="BR268" s="184"/>
      <c r="BS268" s="184"/>
      <c r="BT268" s="184"/>
      <c r="BU268" s="184"/>
      <c r="BV268" s="184"/>
      <c r="BW268" s="184"/>
      <c r="BX268" s="184"/>
      <c r="BY268" s="184"/>
      <c r="BZ268" s="184"/>
      <c r="CA268" s="184"/>
      <c r="CB268" s="184"/>
      <c r="CC268" s="184"/>
      <c r="CD268" s="184"/>
      <c r="CE268" s="184"/>
      <c r="CF268" s="184"/>
      <c r="CG268" s="184"/>
      <c r="CH268" s="184"/>
      <c r="CI268" s="184"/>
      <c r="CJ268" s="184"/>
      <c r="CK268" s="184"/>
      <c r="CL268" s="184"/>
      <c r="CM268" s="184"/>
      <c r="CN268" s="184"/>
      <c r="CO268" s="184"/>
      <c r="CP268" s="184"/>
      <c r="CQ268" s="184"/>
      <c r="CR268" s="184"/>
      <c r="CS268" s="184"/>
      <c r="CT268" s="184"/>
      <c r="CU268" s="184"/>
      <c r="CV268" s="184"/>
      <c r="CW268" s="184"/>
      <c r="CX268" s="184"/>
      <c r="CY268" s="184"/>
      <c r="CZ268" s="184"/>
      <c r="DA268" s="184"/>
      <c r="DB268" s="184"/>
      <c r="DC268" s="184"/>
      <c r="DD268" s="184"/>
      <c r="DE268" s="184"/>
      <c r="DF268" s="184"/>
      <c r="DG268" s="184"/>
      <c r="DH268" s="184"/>
      <c r="DI268" s="184"/>
      <c r="DJ268" s="184"/>
      <c r="DK268" s="184"/>
      <c r="DL268" s="184"/>
      <c r="DM268" s="184"/>
      <c r="DN268" s="184"/>
      <c r="DO268" s="184"/>
      <c r="DP268" s="184"/>
      <c r="DQ268" s="184"/>
      <c r="DR268" s="184"/>
      <c r="DS268" s="184"/>
      <c r="DT268" s="184"/>
      <c r="DU268" s="184"/>
      <c r="DV268" s="184"/>
      <c r="DW268" s="184"/>
      <c r="DX268" s="184"/>
      <c r="DY268" s="184"/>
      <c r="DZ268" s="184"/>
      <c r="EA268" s="184"/>
      <c r="EB268" s="184"/>
      <c r="EC268" s="184"/>
      <c r="ED268" s="184"/>
      <c r="EE268" s="184"/>
      <c r="EF268" s="184"/>
      <c r="EG268" s="184"/>
      <c r="EH268" s="184"/>
    </row>
    <row r="269" spans="1:138">
      <c r="A269" s="185"/>
      <c r="B269" s="179"/>
      <c r="C269" s="179"/>
      <c r="D269" s="193"/>
      <c r="E269" s="193"/>
      <c r="F269" s="39"/>
      <c r="G269" s="160" t="s">
        <v>536</v>
      </c>
      <c r="H269" s="157" t="s">
        <v>488</v>
      </c>
      <c r="I269" s="43"/>
      <c r="J269" s="33"/>
      <c r="K269" s="8" t="s">
        <v>537</v>
      </c>
      <c r="L269" s="35" t="s">
        <v>53</v>
      </c>
      <c r="M269" s="179"/>
      <c r="N269" s="179"/>
      <c r="O269" s="186"/>
      <c r="P269" s="182"/>
      <c r="Q269" s="182"/>
      <c r="R269" s="182"/>
      <c r="S269" s="183"/>
      <c r="T269" s="183"/>
      <c r="U269" s="183"/>
      <c r="V269" s="183"/>
      <c r="W269" s="183"/>
      <c r="X269" s="184"/>
      <c r="Y269" s="184"/>
      <c r="Z269" s="184"/>
      <c r="AA269" s="184"/>
      <c r="AB269" s="184"/>
      <c r="AC269" s="184"/>
      <c r="AD269" s="184"/>
      <c r="AE269" s="184"/>
      <c r="AF269" s="184"/>
      <c r="AG269" s="184"/>
      <c r="AH269" s="184"/>
      <c r="AI269" s="184"/>
      <c r="AJ269" s="184"/>
      <c r="AK269" s="184"/>
      <c r="AL269" s="184"/>
      <c r="AM269" s="184"/>
      <c r="AN269" s="184"/>
      <c r="AO269" s="184"/>
      <c r="AP269" s="184"/>
      <c r="AQ269" s="184"/>
      <c r="AR269" s="184"/>
      <c r="AS269" s="184"/>
      <c r="AT269" s="184"/>
      <c r="AU269" s="184"/>
      <c r="AV269" s="184"/>
      <c r="AW269" s="184"/>
      <c r="AX269" s="184"/>
      <c r="AY269" s="184"/>
      <c r="AZ269" s="184"/>
      <c r="BA269" s="184"/>
      <c r="BB269" s="184"/>
      <c r="BC269" s="184"/>
      <c r="BD269" s="184"/>
      <c r="BE269" s="184"/>
      <c r="BF269" s="184"/>
      <c r="BG269" s="184"/>
      <c r="BH269" s="184"/>
      <c r="BI269" s="184"/>
      <c r="BJ269" s="184"/>
      <c r="BK269" s="184"/>
      <c r="BL269" s="184"/>
      <c r="BM269" s="184"/>
      <c r="BN269" s="184"/>
      <c r="BO269" s="184"/>
      <c r="BP269" s="184"/>
      <c r="BQ269" s="184"/>
      <c r="BR269" s="184"/>
      <c r="BS269" s="184"/>
      <c r="BT269" s="184"/>
      <c r="BU269" s="184"/>
      <c r="BV269" s="184"/>
      <c r="BW269" s="184"/>
      <c r="BX269" s="184"/>
      <c r="BY269" s="184"/>
      <c r="BZ269" s="184"/>
      <c r="CA269" s="184"/>
      <c r="CB269" s="184"/>
      <c r="CC269" s="184"/>
      <c r="CD269" s="184"/>
      <c r="CE269" s="184"/>
      <c r="CF269" s="184"/>
      <c r="CG269" s="184"/>
      <c r="CH269" s="184"/>
      <c r="CI269" s="184"/>
      <c r="CJ269" s="184"/>
      <c r="CK269" s="184"/>
      <c r="CL269" s="184"/>
      <c r="CM269" s="184"/>
      <c r="CN269" s="184"/>
      <c r="CO269" s="184"/>
      <c r="CP269" s="184"/>
      <c r="CQ269" s="184"/>
      <c r="CR269" s="184"/>
      <c r="CS269" s="184"/>
      <c r="CT269" s="184"/>
      <c r="CU269" s="184"/>
      <c r="CV269" s="184"/>
      <c r="CW269" s="184"/>
      <c r="CX269" s="184"/>
      <c r="CY269" s="184"/>
      <c r="CZ269" s="184"/>
      <c r="DA269" s="184"/>
      <c r="DB269" s="184"/>
      <c r="DC269" s="184"/>
      <c r="DD269" s="184"/>
      <c r="DE269" s="184"/>
      <c r="DF269" s="184"/>
      <c r="DG269" s="184"/>
      <c r="DH269" s="184"/>
      <c r="DI269" s="184"/>
      <c r="DJ269" s="184"/>
      <c r="DK269" s="184"/>
      <c r="DL269" s="184"/>
      <c r="DM269" s="184"/>
      <c r="DN269" s="184"/>
      <c r="DO269" s="184"/>
      <c r="DP269" s="184"/>
      <c r="DQ269" s="184"/>
      <c r="DR269" s="184"/>
      <c r="DS269" s="184"/>
      <c r="DT269" s="184"/>
      <c r="DU269" s="184"/>
      <c r="DV269" s="184"/>
      <c r="DW269" s="184"/>
      <c r="DX269" s="184"/>
      <c r="DY269" s="184"/>
      <c r="DZ269" s="184"/>
      <c r="EA269" s="184"/>
      <c r="EB269" s="184"/>
      <c r="EC269" s="184"/>
      <c r="ED269" s="184"/>
      <c r="EE269" s="184"/>
      <c r="EF269" s="184"/>
      <c r="EG269" s="184"/>
      <c r="EH269" s="184"/>
    </row>
    <row r="270" spans="1:138" ht="43.5">
      <c r="A270" s="185"/>
      <c r="B270" s="179"/>
      <c r="C270" s="179"/>
      <c r="D270" s="191" t="s">
        <v>543</v>
      </c>
      <c r="E270" s="191" t="s">
        <v>544</v>
      </c>
      <c r="F270" s="27"/>
      <c r="G270" s="47" t="s">
        <v>71</v>
      </c>
      <c r="H270" s="157" t="s">
        <v>488</v>
      </c>
      <c r="I270" s="43"/>
      <c r="J270" s="33"/>
      <c r="K270" s="10" t="s">
        <v>57</v>
      </c>
      <c r="L270" s="35" t="s">
        <v>53</v>
      </c>
      <c r="M270" s="179"/>
      <c r="N270" s="179"/>
      <c r="O270" s="186"/>
      <c r="P270" s="182"/>
      <c r="Q270" s="182"/>
      <c r="R270" s="182"/>
      <c r="S270" s="183"/>
      <c r="T270" s="183"/>
      <c r="U270" s="183"/>
      <c r="V270" s="183"/>
      <c r="W270" s="183"/>
      <c r="X270" s="184"/>
      <c r="Y270" s="184"/>
      <c r="Z270" s="184"/>
      <c r="AA270" s="184"/>
      <c r="AB270" s="184"/>
      <c r="AC270" s="184"/>
      <c r="AD270" s="184"/>
      <c r="AE270" s="184"/>
      <c r="AF270" s="184"/>
      <c r="AG270" s="184"/>
      <c r="AH270" s="184"/>
      <c r="AI270" s="184"/>
      <c r="AJ270" s="184"/>
      <c r="AK270" s="184"/>
      <c r="AL270" s="184"/>
      <c r="AM270" s="184"/>
      <c r="AN270" s="184"/>
      <c r="AO270" s="184"/>
      <c r="AP270" s="184"/>
      <c r="AQ270" s="184"/>
      <c r="AR270" s="184"/>
      <c r="AS270" s="184"/>
      <c r="AT270" s="184"/>
      <c r="AU270" s="184"/>
      <c r="AV270" s="184"/>
      <c r="AW270" s="184"/>
      <c r="AX270" s="184"/>
      <c r="AY270" s="184"/>
      <c r="AZ270" s="184"/>
      <c r="BA270" s="184"/>
      <c r="BB270" s="184"/>
      <c r="BC270" s="184"/>
      <c r="BD270" s="184"/>
      <c r="BE270" s="184"/>
      <c r="BF270" s="184"/>
      <c r="BG270" s="184"/>
      <c r="BH270" s="184"/>
      <c r="BI270" s="184"/>
      <c r="BJ270" s="184"/>
      <c r="BK270" s="184"/>
      <c r="BL270" s="184"/>
      <c r="BM270" s="184"/>
      <c r="BN270" s="184"/>
      <c r="BO270" s="184"/>
      <c r="BP270" s="184"/>
      <c r="BQ270" s="184"/>
      <c r="BR270" s="184"/>
      <c r="BS270" s="184"/>
      <c r="BT270" s="184"/>
      <c r="BU270" s="184"/>
      <c r="BV270" s="184"/>
      <c r="BW270" s="184"/>
      <c r="BX270" s="184"/>
      <c r="BY270" s="184"/>
      <c r="BZ270" s="184"/>
      <c r="CA270" s="184"/>
      <c r="CB270" s="184"/>
      <c r="CC270" s="184"/>
      <c r="CD270" s="184"/>
      <c r="CE270" s="184"/>
      <c r="CF270" s="184"/>
      <c r="CG270" s="184"/>
      <c r="CH270" s="184"/>
      <c r="CI270" s="184"/>
      <c r="CJ270" s="184"/>
      <c r="CK270" s="184"/>
      <c r="CL270" s="184"/>
      <c r="CM270" s="184"/>
      <c r="CN270" s="184"/>
      <c r="CO270" s="184"/>
      <c r="CP270" s="184"/>
      <c r="CQ270" s="184"/>
      <c r="CR270" s="184"/>
      <c r="CS270" s="184"/>
      <c r="CT270" s="184"/>
      <c r="CU270" s="184"/>
      <c r="CV270" s="184"/>
      <c r="CW270" s="184"/>
      <c r="CX270" s="184"/>
      <c r="CY270" s="184"/>
      <c r="CZ270" s="184"/>
      <c r="DA270" s="184"/>
      <c r="DB270" s="184"/>
      <c r="DC270" s="184"/>
      <c r="DD270" s="184"/>
      <c r="DE270" s="184"/>
      <c r="DF270" s="184"/>
      <c r="DG270" s="184"/>
      <c r="DH270" s="184"/>
      <c r="DI270" s="184"/>
      <c r="DJ270" s="184"/>
      <c r="DK270" s="184"/>
      <c r="DL270" s="184"/>
      <c r="DM270" s="184"/>
      <c r="DN270" s="184"/>
      <c r="DO270" s="184"/>
      <c r="DP270" s="184"/>
      <c r="DQ270" s="184"/>
      <c r="DR270" s="184"/>
      <c r="DS270" s="184"/>
      <c r="DT270" s="184"/>
      <c r="DU270" s="184"/>
      <c r="DV270" s="184"/>
      <c r="DW270" s="184"/>
      <c r="DX270" s="184"/>
      <c r="DY270" s="184"/>
      <c r="DZ270" s="184"/>
      <c r="EA270" s="184"/>
      <c r="EB270" s="184"/>
      <c r="EC270" s="184"/>
      <c r="ED270" s="184"/>
      <c r="EE270" s="184"/>
      <c r="EF270" s="184"/>
      <c r="EG270" s="184"/>
      <c r="EH270" s="184"/>
    </row>
    <row r="271" spans="1:138" ht="29.25">
      <c r="A271" s="185"/>
      <c r="B271" s="179"/>
      <c r="C271" s="179"/>
      <c r="D271" s="192"/>
      <c r="E271" s="192"/>
      <c r="F271" s="27"/>
      <c r="G271" s="112" t="s">
        <v>113</v>
      </c>
      <c r="H271" s="171" t="s">
        <v>472</v>
      </c>
      <c r="I271" s="43"/>
      <c r="J271" s="33"/>
      <c r="K271" s="4" t="s">
        <v>52</v>
      </c>
      <c r="L271" s="35" t="s">
        <v>53</v>
      </c>
      <c r="M271" s="179"/>
      <c r="N271" s="179"/>
      <c r="O271" s="186"/>
      <c r="P271" s="182"/>
      <c r="Q271" s="182"/>
      <c r="R271" s="182"/>
      <c r="S271" s="183"/>
      <c r="T271" s="183"/>
      <c r="U271" s="183"/>
      <c r="V271" s="183"/>
      <c r="W271" s="183"/>
      <c r="X271" s="184"/>
      <c r="Y271" s="184"/>
      <c r="Z271" s="184"/>
      <c r="AA271" s="184"/>
      <c r="AB271" s="184"/>
      <c r="AC271" s="184"/>
      <c r="AD271" s="184"/>
      <c r="AE271" s="184"/>
      <c r="AF271" s="184"/>
      <c r="AG271" s="184"/>
      <c r="AH271" s="184"/>
      <c r="AI271" s="184"/>
      <c r="AJ271" s="184"/>
      <c r="AK271" s="184"/>
      <c r="AL271" s="184"/>
      <c r="AM271" s="184"/>
      <c r="AN271" s="184"/>
      <c r="AO271" s="184"/>
      <c r="AP271" s="184"/>
      <c r="AQ271" s="184"/>
      <c r="AR271" s="184"/>
      <c r="AS271" s="184"/>
      <c r="AT271" s="184"/>
      <c r="AU271" s="184"/>
      <c r="AV271" s="184"/>
      <c r="AW271" s="184"/>
      <c r="AX271" s="184"/>
      <c r="AY271" s="184"/>
      <c r="AZ271" s="184"/>
      <c r="BA271" s="184"/>
      <c r="BB271" s="184"/>
      <c r="BC271" s="184"/>
      <c r="BD271" s="184"/>
      <c r="BE271" s="184"/>
      <c r="BF271" s="184"/>
      <c r="BG271" s="184"/>
      <c r="BH271" s="184"/>
      <c r="BI271" s="184"/>
      <c r="BJ271" s="184"/>
      <c r="BK271" s="184"/>
      <c r="BL271" s="184"/>
      <c r="BM271" s="184"/>
      <c r="BN271" s="184"/>
      <c r="BO271" s="184"/>
      <c r="BP271" s="184"/>
      <c r="BQ271" s="184"/>
      <c r="BR271" s="184"/>
      <c r="BS271" s="184"/>
      <c r="BT271" s="184"/>
      <c r="BU271" s="184"/>
      <c r="BV271" s="184"/>
      <c r="BW271" s="184"/>
      <c r="BX271" s="184"/>
      <c r="BY271" s="184"/>
      <c r="BZ271" s="184"/>
      <c r="CA271" s="184"/>
      <c r="CB271" s="184"/>
      <c r="CC271" s="184"/>
      <c r="CD271" s="184"/>
      <c r="CE271" s="184"/>
      <c r="CF271" s="184"/>
      <c r="CG271" s="184"/>
      <c r="CH271" s="184"/>
      <c r="CI271" s="184"/>
      <c r="CJ271" s="184"/>
      <c r="CK271" s="184"/>
      <c r="CL271" s="184"/>
      <c r="CM271" s="184"/>
      <c r="CN271" s="184"/>
      <c r="CO271" s="184"/>
      <c r="CP271" s="184"/>
      <c r="CQ271" s="184"/>
      <c r="CR271" s="184"/>
      <c r="CS271" s="184"/>
      <c r="CT271" s="184"/>
      <c r="CU271" s="184"/>
      <c r="CV271" s="184"/>
      <c r="CW271" s="184"/>
      <c r="CX271" s="184"/>
      <c r="CY271" s="184"/>
      <c r="CZ271" s="184"/>
      <c r="DA271" s="184"/>
      <c r="DB271" s="184"/>
      <c r="DC271" s="184"/>
      <c r="DD271" s="184"/>
      <c r="DE271" s="184"/>
      <c r="DF271" s="184"/>
      <c r="DG271" s="184"/>
      <c r="DH271" s="184"/>
      <c r="DI271" s="184"/>
      <c r="DJ271" s="184"/>
      <c r="DK271" s="184"/>
      <c r="DL271" s="184"/>
      <c r="DM271" s="184"/>
      <c r="DN271" s="184"/>
      <c r="DO271" s="184"/>
      <c r="DP271" s="184"/>
      <c r="DQ271" s="184"/>
      <c r="DR271" s="184"/>
      <c r="DS271" s="184"/>
      <c r="DT271" s="184"/>
      <c r="DU271" s="184"/>
      <c r="DV271" s="184"/>
      <c r="DW271" s="184"/>
      <c r="DX271" s="184"/>
      <c r="DY271" s="184"/>
      <c r="DZ271" s="184"/>
      <c r="EA271" s="184"/>
      <c r="EB271" s="184"/>
      <c r="EC271" s="184"/>
      <c r="ED271" s="184"/>
      <c r="EE271" s="184"/>
      <c r="EF271" s="184"/>
      <c r="EG271" s="184"/>
      <c r="EH271" s="184"/>
    </row>
    <row r="272" spans="1:138">
      <c r="A272" s="185"/>
      <c r="B272" s="179"/>
      <c r="C272" s="179"/>
      <c r="D272" s="192"/>
      <c r="E272" s="193"/>
      <c r="F272" s="27"/>
      <c r="G272" s="161" t="s">
        <v>547</v>
      </c>
      <c r="H272" s="157" t="s">
        <v>488</v>
      </c>
      <c r="I272" s="85"/>
      <c r="J272" s="33"/>
      <c r="K272" s="8" t="s">
        <v>116</v>
      </c>
      <c r="L272" s="35" t="s">
        <v>53</v>
      </c>
      <c r="M272" s="179"/>
      <c r="N272" s="179"/>
      <c r="O272" s="186"/>
      <c r="P272" s="182"/>
      <c r="Q272" s="182"/>
      <c r="R272" s="182"/>
      <c r="S272" s="183"/>
      <c r="T272" s="183"/>
      <c r="U272" s="183"/>
      <c r="V272" s="183"/>
      <c r="W272" s="183"/>
      <c r="X272" s="184"/>
      <c r="Y272" s="184"/>
      <c r="Z272" s="184"/>
      <c r="AA272" s="184"/>
      <c r="AB272" s="184"/>
      <c r="AC272" s="184"/>
      <c r="AD272" s="184"/>
      <c r="AE272" s="184"/>
      <c r="AF272" s="184"/>
      <c r="AG272" s="184"/>
      <c r="AH272" s="184"/>
      <c r="AI272" s="184"/>
      <c r="AJ272" s="184"/>
      <c r="AK272" s="184"/>
      <c r="AL272" s="184"/>
      <c r="AM272" s="184"/>
      <c r="AN272" s="184"/>
      <c r="AO272" s="184"/>
      <c r="AP272" s="184"/>
      <c r="AQ272" s="184"/>
      <c r="AR272" s="184"/>
      <c r="AS272" s="184"/>
      <c r="AT272" s="184"/>
      <c r="AU272" s="184"/>
      <c r="AV272" s="184"/>
      <c r="AW272" s="184"/>
      <c r="AX272" s="184"/>
      <c r="AY272" s="184"/>
      <c r="AZ272" s="184"/>
      <c r="BA272" s="184"/>
      <c r="BB272" s="184"/>
      <c r="BC272" s="184"/>
      <c r="BD272" s="184"/>
      <c r="BE272" s="184"/>
      <c r="BF272" s="184"/>
      <c r="BG272" s="184"/>
      <c r="BH272" s="184"/>
      <c r="BI272" s="184"/>
      <c r="BJ272" s="184"/>
      <c r="BK272" s="184"/>
      <c r="BL272" s="184"/>
      <c r="BM272" s="184"/>
      <c r="BN272" s="184"/>
      <c r="BO272" s="184"/>
      <c r="BP272" s="184"/>
      <c r="BQ272" s="184"/>
      <c r="BR272" s="184"/>
      <c r="BS272" s="184"/>
      <c r="BT272" s="184"/>
      <c r="BU272" s="184"/>
      <c r="BV272" s="184"/>
      <c r="BW272" s="184"/>
      <c r="BX272" s="184"/>
      <c r="BY272" s="184"/>
      <c r="BZ272" s="184"/>
      <c r="CA272" s="184"/>
      <c r="CB272" s="184"/>
      <c r="CC272" s="184"/>
      <c r="CD272" s="184"/>
      <c r="CE272" s="184"/>
      <c r="CF272" s="184"/>
      <c r="CG272" s="184"/>
      <c r="CH272" s="184"/>
      <c r="CI272" s="184"/>
      <c r="CJ272" s="184"/>
      <c r="CK272" s="184"/>
      <c r="CL272" s="184"/>
      <c r="CM272" s="184"/>
      <c r="CN272" s="184"/>
      <c r="CO272" s="184"/>
      <c r="CP272" s="184"/>
      <c r="CQ272" s="184"/>
      <c r="CR272" s="184"/>
      <c r="CS272" s="184"/>
      <c r="CT272" s="184"/>
      <c r="CU272" s="184"/>
      <c r="CV272" s="184"/>
      <c r="CW272" s="184"/>
      <c r="CX272" s="184"/>
      <c r="CY272" s="184"/>
      <c r="CZ272" s="184"/>
      <c r="DA272" s="184"/>
      <c r="DB272" s="184"/>
      <c r="DC272" s="184"/>
      <c r="DD272" s="184"/>
      <c r="DE272" s="184"/>
      <c r="DF272" s="184"/>
      <c r="DG272" s="184"/>
      <c r="DH272" s="184"/>
      <c r="DI272" s="184"/>
      <c r="DJ272" s="184"/>
      <c r="DK272" s="184"/>
      <c r="DL272" s="184"/>
      <c r="DM272" s="184"/>
      <c r="DN272" s="184"/>
      <c r="DO272" s="184"/>
      <c r="DP272" s="184"/>
      <c r="DQ272" s="184"/>
      <c r="DR272" s="184"/>
      <c r="DS272" s="184"/>
      <c r="DT272" s="184"/>
      <c r="DU272" s="184"/>
      <c r="DV272" s="184"/>
      <c r="DW272" s="184"/>
      <c r="DX272" s="184"/>
      <c r="DY272" s="184"/>
      <c r="DZ272" s="184"/>
      <c r="EA272" s="184"/>
      <c r="EB272" s="184"/>
      <c r="EC272" s="184"/>
      <c r="ED272" s="184"/>
      <c r="EE272" s="184"/>
      <c r="EF272" s="184"/>
      <c r="EG272" s="184"/>
      <c r="EH272" s="184"/>
    </row>
    <row r="273" spans="1:138" ht="43.5">
      <c r="A273" s="185"/>
      <c r="B273" s="179"/>
      <c r="C273" s="179"/>
      <c r="D273" s="192"/>
      <c r="E273" s="191" t="s">
        <v>549</v>
      </c>
      <c r="F273" s="27"/>
      <c r="G273" s="47" t="s">
        <v>71</v>
      </c>
      <c r="H273" s="157" t="s">
        <v>488</v>
      </c>
      <c r="I273" s="86"/>
      <c r="J273" s="33"/>
      <c r="K273" s="10" t="s">
        <v>57</v>
      </c>
      <c r="L273" s="35" t="s">
        <v>53</v>
      </c>
      <c r="M273" s="179"/>
      <c r="N273" s="179"/>
      <c r="O273" s="186"/>
      <c r="P273" s="182"/>
      <c r="Q273" s="182"/>
      <c r="R273" s="182"/>
      <c r="S273" s="183"/>
      <c r="T273" s="183"/>
      <c r="U273" s="183"/>
      <c r="V273" s="183"/>
      <c r="W273" s="183"/>
      <c r="X273" s="184"/>
      <c r="Y273" s="184"/>
      <c r="Z273" s="184"/>
      <c r="AA273" s="184"/>
      <c r="AB273" s="184"/>
      <c r="AC273" s="184"/>
      <c r="AD273" s="184"/>
      <c r="AE273" s="184"/>
      <c r="AF273" s="184"/>
      <c r="AG273" s="184"/>
      <c r="AH273" s="184"/>
      <c r="AI273" s="184"/>
      <c r="AJ273" s="184"/>
      <c r="AK273" s="184"/>
      <c r="AL273" s="184"/>
      <c r="AM273" s="184"/>
      <c r="AN273" s="184"/>
      <c r="AO273" s="184"/>
      <c r="AP273" s="184"/>
      <c r="AQ273" s="184"/>
      <c r="AR273" s="184"/>
      <c r="AS273" s="184"/>
      <c r="AT273" s="184"/>
      <c r="AU273" s="184"/>
      <c r="AV273" s="184"/>
      <c r="AW273" s="184"/>
      <c r="AX273" s="184"/>
      <c r="AY273" s="184"/>
      <c r="AZ273" s="184"/>
      <c r="BA273" s="184"/>
      <c r="BB273" s="184"/>
      <c r="BC273" s="184"/>
      <c r="BD273" s="184"/>
      <c r="BE273" s="184"/>
      <c r="BF273" s="184"/>
      <c r="BG273" s="184"/>
      <c r="BH273" s="184"/>
      <c r="BI273" s="184"/>
      <c r="BJ273" s="184"/>
      <c r="BK273" s="184"/>
      <c r="BL273" s="184"/>
      <c r="BM273" s="184"/>
      <c r="BN273" s="184"/>
      <c r="BO273" s="184"/>
      <c r="BP273" s="184"/>
      <c r="BQ273" s="184"/>
      <c r="BR273" s="184"/>
      <c r="BS273" s="184"/>
      <c r="BT273" s="184"/>
      <c r="BU273" s="184"/>
      <c r="BV273" s="184"/>
      <c r="BW273" s="184"/>
      <c r="BX273" s="184"/>
      <c r="BY273" s="184"/>
      <c r="BZ273" s="184"/>
      <c r="CA273" s="184"/>
      <c r="CB273" s="184"/>
      <c r="CC273" s="184"/>
      <c r="CD273" s="184"/>
      <c r="CE273" s="184"/>
      <c r="CF273" s="184"/>
      <c r="CG273" s="184"/>
      <c r="CH273" s="184"/>
      <c r="CI273" s="184"/>
      <c r="CJ273" s="184"/>
      <c r="CK273" s="184"/>
      <c r="CL273" s="184"/>
      <c r="CM273" s="184"/>
      <c r="CN273" s="184"/>
      <c r="CO273" s="184"/>
      <c r="CP273" s="184"/>
      <c r="CQ273" s="184"/>
      <c r="CR273" s="184"/>
      <c r="CS273" s="184"/>
      <c r="CT273" s="184"/>
      <c r="CU273" s="184"/>
      <c r="CV273" s="184"/>
      <c r="CW273" s="184"/>
      <c r="CX273" s="184"/>
      <c r="CY273" s="184"/>
      <c r="CZ273" s="184"/>
      <c r="DA273" s="184"/>
      <c r="DB273" s="184"/>
      <c r="DC273" s="184"/>
      <c r="DD273" s="184"/>
      <c r="DE273" s="184"/>
      <c r="DF273" s="184"/>
      <c r="DG273" s="184"/>
      <c r="DH273" s="184"/>
      <c r="DI273" s="184"/>
      <c r="DJ273" s="184"/>
      <c r="DK273" s="184"/>
      <c r="DL273" s="184"/>
      <c r="DM273" s="184"/>
      <c r="DN273" s="184"/>
      <c r="DO273" s="184"/>
      <c r="DP273" s="184"/>
      <c r="DQ273" s="184"/>
      <c r="DR273" s="184"/>
      <c r="DS273" s="184"/>
      <c r="DT273" s="184"/>
      <c r="DU273" s="184"/>
      <c r="DV273" s="184"/>
      <c r="DW273" s="184"/>
      <c r="DX273" s="184"/>
      <c r="DY273" s="184"/>
      <c r="DZ273" s="184"/>
      <c r="EA273" s="184"/>
      <c r="EB273" s="184"/>
      <c r="EC273" s="184"/>
      <c r="ED273" s="184"/>
      <c r="EE273" s="184"/>
      <c r="EF273" s="184"/>
      <c r="EG273" s="184"/>
      <c r="EH273" s="184"/>
    </row>
    <row r="274" spans="1:138" ht="29.25">
      <c r="A274" s="185"/>
      <c r="B274" s="179"/>
      <c r="C274" s="179"/>
      <c r="D274" s="192"/>
      <c r="E274" s="192"/>
      <c r="F274" s="27"/>
      <c r="G274" s="112" t="s">
        <v>113</v>
      </c>
      <c r="H274" s="171" t="s">
        <v>472</v>
      </c>
      <c r="I274" s="86"/>
      <c r="J274" s="33"/>
      <c r="K274" s="4" t="s">
        <v>52</v>
      </c>
      <c r="L274" s="35" t="s">
        <v>53</v>
      </c>
      <c r="M274" s="179"/>
      <c r="N274" s="179"/>
      <c r="O274" s="186"/>
      <c r="P274" s="182"/>
      <c r="Q274" s="182"/>
      <c r="R274" s="182"/>
      <c r="S274" s="183"/>
      <c r="T274" s="183"/>
      <c r="U274" s="183"/>
      <c r="V274" s="183"/>
      <c r="W274" s="183"/>
      <c r="X274" s="184"/>
      <c r="Y274" s="184"/>
      <c r="Z274" s="184"/>
      <c r="AA274" s="184"/>
      <c r="AB274" s="184"/>
      <c r="AC274" s="184"/>
      <c r="AD274" s="184"/>
      <c r="AE274" s="184"/>
      <c r="AF274" s="184"/>
      <c r="AG274" s="184"/>
      <c r="AH274" s="184"/>
      <c r="AI274" s="184"/>
      <c r="AJ274" s="184"/>
      <c r="AK274" s="184"/>
      <c r="AL274" s="184"/>
      <c r="AM274" s="184"/>
      <c r="AN274" s="184"/>
      <c r="AO274" s="184"/>
      <c r="AP274" s="184"/>
      <c r="AQ274" s="184"/>
      <c r="AR274" s="184"/>
      <c r="AS274" s="184"/>
      <c r="AT274" s="184"/>
      <c r="AU274" s="184"/>
      <c r="AV274" s="184"/>
      <c r="AW274" s="184"/>
      <c r="AX274" s="184"/>
      <c r="AY274" s="184"/>
      <c r="AZ274" s="184"/>
      <c r="BA274" s="184"/>
      <c r="BB274" s="184"/>
      <c r="BC274" s="184"/>
      <c r="BD274" s="184"/>
      <c r="BE274" s="184"/>
      <c r="BF274" s="184"/>
      <c r="BG274" s="184"/>
      <c r="BH274" s="184"/>
      <c r="BI274" s="184"/>
      <c r="BJ274" s="184"/>
      <c r="BK274" s="184"/>
      <c r="BL274" s="184"/>
      <c r="BM274" s="184"/>
      <c r="BN274" s="184"/>
      <c r="BO274" s="184"/>
      <c r="BP274" s="184"/>
      <c r="BQ274" s="184"/>
      <c r="BR274" s="184"/>
      <c r="BS274" s="184"/>
      <c r="BT274" s="184"/>
      <c r="BU274" s="184"/>
      <c r="BV274" s="184"/>
      <c r="BW274" s="184"/>
      <c r="BX274" s="184"/>
      <c r="BY274" s="184"/>
      <c r="BZ274" s="184"/>
      <c r="CA274" s="184"/>
      <c r="CB274" s="184"/>
      <c r="CC274" s="184"/>
      <c r="CD274" s="184"/>
      <c r="CE274" s="184"/>
      <c r="CF274" s="184"/>
      <c r="CG274" s="184"/>
      <c r="CH274" s="184"/>
      <c r="CI274" s="184"/>
      <c r="CJ274" s="184"/>
      <c r="CK274" s="184"/>
      <c r="CL274" s="184"/>
      <c r="CM274" s="184"/>
      <c r="CN274" s="184"/>
      <c r="CO274" s="184"/>
      <c r="CP274" s="184"/>
      <c r="CQ274" s="184"/>
      <c r="CR274" s="184"/>
      <c r="CS274" s="184"/>
      <c r="CT274" s="184"/>
      <c r="CU274" s="184"/>
      <c r="CV274" s="184"/>
      <c r="CW274" s="184"/>
      <c r="CX274" s="184"/>
      <c r="CY274" s="184"/>
      <c r="CZ274" s="184"/>
      <c r="DA274" s="184"/>
      <c r="DB274" s="184"/>
      <c r="DC274" s="184"/>
      <c r="DD274" s="184"/>
      <c r="DE274" s="184"/>
      <c r="DF274" s="184"/>
      <c r="DG274" s="184"/>
      <c r="DH274" s="184"/>
      <c r="DI274" s="184"/>
      <c r="DJ274" s="184"/>
      <c r="DK274" s="184"/>
      <c r="DL274" s="184"/>
      <c r="DM274" s="184"/>
      <c r="DN274" s="184"/>
      <c r="DO274" s="184"/>
      <c r="DP274" s="184"/>
      <c r="DQ274" s="184"/>
      <c r="DR274" s="184"/>
      <c r="DS274" s="184"/>
      <c r="DT274" s="184"/>
      <c r="DU274" s="184"/>
      <c r="DV274" s="184"/>
      <c r="DW274" s="184"/>
      <c r="DX274" s="184"/>
      <c r="DY274" s="184"/>
      <c r="DZ274" s="184"/>
      <c r="EA274" s="184"/>
      <c r="EB274" s="184"/>
      <c r="EC274" s="184"/>
      <c r="ED274" s="184"/>
      <c r="EE274" s="184"/>
      <c r="EF274" s="184"/>
      <c r="EG274" s="184"/>
      <c r="EH274" s="184"/>
    </row>
    <row r="275" spans="1:138">
      <c r="A275" s="185"/>
      <c r="B275" s="179"/>
      <c r="C275" s="179"/>
      <c r="D275" s="192"/>
      <c r="E275" s="193"/>
      <c r="F275" s="27"/>
      <c r="G275" s="161" t="s">
        <v>547</v>
      </c>
      <c r="H275" s="157" t="s">
        <v>488</v>
      </c>
      <c r="I275" s="86"/>
      <c r="J275" s="33"/>
      <c r="K275" s="8" t="s">
        <v>116</v>
      </c>
      <c r="L275" s="35" t="s">
        <v>53</v>
      </c>
      <c r="M275" s="179"/>
      <c r="N275" s="179"/>
      <c r="O275" s="186"/>
      <c r="P275" s="182"/>
      <c r="Q275" s="182"/>
      <c r="R275" s="182"/>
      <c r="S275" s="183"/>
      <c r="T275" s="183"/>
      <c r="U275" s="183"/>
      <c r="V275" s="183"/>
      <c r="W275" s="183"/>
      <c r="X275" s="184"/>
      <c r="Y275" s="184"/>
      <c r="Z275" s="184"/>
      <c r="AA275" s="184"/>
      <c r="AB275" s="184"/>
      <c r="AC275" s="184"/>
      <c r="AD275" s="184"/>
      <c r="AE275" s="184"/>
      <c r="AF275" s="184"/>
      <c r="AG275" s="184"/>
      <c r="AH275" s="184"/>
      <c r="AI275" s="184"/>
      <c r="AJ275" s="184"/>
      <c r="AK275" s="184"/>
      <c r="AL275" s="184"/>
      <c r="AM275" s="184"/>
      <c r="AN275" s="184"/>
      <c r="AO275" s="184"/>
      <c r="AP275" s="184"/>
      <c r="AQ275" s="184"/>
      <c r="AR275" s="184"/>
      <c r="AS275" s="184"/>
      <c r="AT275" s="184"/>
      <c r="AU275" s="184"/>
      <c r="AV275" s="184"/>
      <c r="AW275" s="184"/>
      <c r="AX275" s="184"/>
      <c r="AY275" s="184"/>
      <c r="AZ275" s="184"/>
      <c r="BA275" s="184"/>
      <c r="BB275" s="184"/>
      <c r="BC275" s="184"/>
      <c r="BD275" s="184"/>
      <c r="BE275" s="184"/>
      <c r="BF275" s="184"/>
      <c r="BG275" s="184"/>
      <c r="BH275" s="184"/>
      <c r="BI275" s="184"/>
      <c r="BJ275" s="184"/>
      <c r="BK275" s="184"/>
      <c r="BL275" s="184"/>
      <c r="BM275" s="184"/>
      <c r="BN275" s="184"/>
      <c r="BO275" s="184"/>
      <c r="BP275" s="184"/>
      <c r="BQ275" s="184"/>
      <c r="BR275" s="184"/>
      <c r="BS275" s="184"/>
      <c r="BT275" s="184"/>
      <c r="BU275" s="184"/>
      <c r="BV275" s="184"/>
      <c r="BW275" s="184"/>
      <c r="BX275" s="184"/>
      <c r="BY275" s="184"/>
      <c r="BZ275" s="184"/>
      <c r="CA275" s="184"/>
      <c r="CB275" s="184"/>
      <c r="CC275" s="184"/>
      <c r="CD275" s="184"/>
      <c r="CE275" s="184"/>
      <c r="CF275" s="184"/>
      <c r="CG275" s="184"/>
      <c r="CH275" s="184"/>
      <c r="CI275" s="184"/>
      <c r="CJ275" s="184"/>
      <c r="CK275" s="184"/>
      <c r="CL275" s="184"/>
      <c r="CM275" s="184"/>
      <c r="CN275" s="184"/>
      <c r="CO275" s="184"/>
      <c r="CP275" s="184"/>
      <c r="CQ275" s="184"/>
      <c r="CR275" s="184"/>
      <c r="CS275" s="184"/>
      <c r="CT275" s="184"/>
      <c r="CU275" s="184"/>
      <c r="CV275" s="184"/>
      <c r="CW275" s="184"/>
      <c r="CX275" s="184"/>
      <c r="CY275" s="184"/>
      <c r="CZ275" s="184"/>
      <c r="DA275" s="184"/>
      <c r="DB275" s="184"/>
      <c r="DC275" s="184"/>
      <c r="DD275" s="184"/>
      <c r="DE275" s="184"/>
      <c r="DF275" s="184"/>
      <c r="DG275" s="184"/>
      <c r="DH275" s="184"/>
      <c r="DI275" s="184"/>
      <c r="DJ275" s="184"/>
      <c r="DK275" s="184"/>
      <c r="DL275" s="184"/>
      <c r="DM275" s="184"/>
      <c r="DN275" s="184"/>
      <c r="DO275" s="184"/>
      <c r="DP275" s="184"/>
      <c r="DQ275" s="184"/>
      <c r="DR275" s="184"/>
      <c r="DS275" s="184"/>
      <c r="DT275" s="184"/>
      <c r="DU275" s="184"/>
      <c r="DV275" s="184"/>
      <c r="DW275" s="184"/>
      <c r="DX275" s="184"/>
      <c r="DY275" s="184"/>
      <c r="DZ275" s="184"/>
      <c r="EA275" s="184"/>
      <c r="EB275" s="184"/>
      <c r="EC275" s="184"/>
      <c r="ED275" s="184"/>
      <c r="EE275" s="184"/>
      <c r="EF275" s="184"/>
      <c r="EG275" s="184"/>
      <c r="EH275" s="184"/>
    </row>
    <row r="276" spans="1:138" ht="43.5">
      <c r="A276" s="185"/>
      <c r="B276" s="179"/>
      <c r="C276" s="179"/>
      <c r="D276" s="192"/>
      <c r="E276" s="191" t="s">
        <v>553</v>
      </c>
      <c r="F276" s="27"/>
      <c r="G276" s="47" t="s">
        <v>71</v>
      </c>
      <c r="H276" s="157" t="s">
        <v>488</v>
      </c>
      <c r="I276" s="86"/>
      <c r="J276" s="33"/>
      <c r="K276" s="10" t="s">
        <v>57</v>
      </c>
      <c r="L276" s="35" t="s">
        <v>53</v>
      </c>
      <c r="M276" s="179"/>
      <c r="N276" s="179"/>
      <c r="O276" s="186"/>
      <c r="P276" s="182"/>
      <c r="Q276" s="182"/>
      <c r="R276" s="182"/>
      <c r="S276" s="183"/>
      <c r="T276" s="183"/>
      <c r="U276" s="183"/>
      <c r="V276" s="183"/>
      <c r="W276" s="183"/>
      <c r="X276" s="184"/>
      <c r="Y276" s="184"/>
      <c r="Z276" s="184"/>
      <c r="AA276" s="184"/>
      <c r="AB276" s="184"/>
      <c r="AC276" s="184"/>
      <c r="AD276" s="184"/>
      <c r="AE276" s="184"/>
      <c r="AF276" s="184"/>
      <c r="AG276" s="184"/>
      <c r="AH276" s="184"/>
      <c r="AI276" s="184"/>
      <c r="AJ276" s="184"/>
      <c r="AK276" s="184"/>
      <c r="AL276" s="184"/>
      <c r="AM276" s="184"/>
      <c r="AN276" s="184"/>
      <c r="AO276" s="184"/>
      <c r="AP276" s="184"/>
      <c r="AQ276" s="184"/>
      <c r="AR276" s="184"/>
      <c r="AS276" s="184"/>
      <c r="AT276" s="184"/>
      <c r="AU276" s="184"/>
      <c r="AV276" s="184"/>
      <c r="AW276" s="184"/>
      <c r="AX276" s="184"/>
      <c r="AY276" s="184"/>
      <c r="AZ276" s="184"/>
      <c r="BA276" s="184"/>
      <c r="BB276" s="184"/>
      <c r="BC276" s="184"/>
      <c r="BD276" s="184"/>
      <c r="BE276" s="184"/>
      <c r="BF276" s="184"/>
      <c r="BG276" s="184"/>
      <c r="BH276" s="184"/>
      <c r="BI276" s="184"/>
      <c r="BJ276" s="184"/>
      <c r="BK276" s="184"/>
      <c r="BL276" s="184"/>
      <c r="BM276" s="184"/>
      <c r="BN276" s="184"/>
      <c r="BO276" s="184"/>
      <c r="BP276" s="184"/>
      <c r="BQ276" s="184"/>
      <c r="BR276" s="184"/>
      <c r="BS276" s="184"/>
      <c r="BT276" s="184"/>
      <c r="BU276" s="184"/>
      <c r="BV276" s="184"/>
      <c r="BW276" s="184"/>
      <c r="BX276" s="184"/>
      <c r="BY276" s="184"/>
      <c r="BZ276" s="184"/>
      <c r="CA276" s="184"/>
      <c r="CB276" s="184"/>
      <c r="CC276" s="184"/>
      <c r="CD276" s="184"/>
      <c r="CE276" s="184"/>
      <c r="CF276" s="184"/>
      <c r="CG276" s="184"/>
      <c r="CH276" s="184"/>
      <c r="CI276" s="184"/>
      <c r="CJ276" s="184"/>
      <c r="CK276" s="184"/>
      <c r="CL276" s="184"/>
      <c r="CM276" s="184"/>
      <c r="CN276" s="184"/>
      <c r="CO276" s="184"/>
      <c r="CP276" s="184"/>
      <c r="CQ276" s="184"/>
      <c r="CR276" s="184"/>
      <c r="CS276" s="184"/>
      <c r="CT276" s="184"/>
      <c r="CU276" s="184"/>
      <c r="CV276" s="184"/>
      <c r="CW276" s="184"/>
      <c r="CX276" s="184"/>
      <c r="CY276" s="184"/>
      <c r="CZ276" s="184"/>
      <c r="DA276" s="184"/>
      <c r="DB276" s="184"/>
      <c r="DC276" s="184"/>
      <c r="DD276" s="184"/>
      <c r="DE276" s="184"/>
      <c r="DF276" s="184"/>
      <c r="DG276" s="184"/>
      <c r="DH276" s="184"/>
      <c r="DI276" s="184"/>
      <c r="DJ276" s="184"/>
      <c r="DK276" s="184"/>
      <c r="DL276" s="184"/>
      <c r="DM276" s="184"/>
      <c r="DN276" s="184"/>
      <c r="DO276" s="184"/>
      <c r="DP276" s="184"/>
      <c r="DQ276" s="184"/>
      <c r="DR276" s="184"/>
      <c r="DS276" s="184"/>
      <c r="DT276" s="184"/>
      <c r="DU276" s="184"/>
      <c r="DV276" s="184"/>
      <c r="DW276" s="184"/>
      <c r="DX276" s="184"/>
      <c r="DY276" s="184"/>
      <c r="DZ276" s="184"/>
      <c r="EA276" s="184"/>
      <c r="EB276" s="184"/>
      <c r="EC276" s="184"/>
      <c r="ED276" s="184"/>
      <c r="EE276" s="184"/>
      <c r="EF276" s="184"/>
      <c r="EG276" s="184"/>
      <c r="EH276" s="184"/>
    </row>
    <row r="277" spans="1:138" ht="29.25">
      <c r="A277" s="185"/>
      <c r="B277" s="179"/>
      <c r="C277" s="179"/>
      <c r="D277" s="192"/>
      <c r="E277" s="192"/>
      <c r="F277" s="27"/>
      <c r="G277" s="112" t="s">
        <v>113</v>
      </c>
      <c r="H277" s="171" t="s">
        <v>472</v>
      </c>
      <c r="I277" s="86"/>
      <c r="J277" s="33"/>
      <c r="K277" s="4" t="s">
        <v>52</v>
      </c>
      <c r="L277" s="35" t="s">
        <v>53</v>
      </c>
      <c r="M277" s="179"/>
      <c r="N277" s="179"/>
      <c r="O277" s="186"/>
      <c r="P277" s="182"/>
      <c r="Q277" s="182"/>
      <c r="R277" s="182"/>
      <c r="S277" s="183"/>
      <c r="T277" s="183"/>
      <c r="U277" s="183"/>
      <c r="V277" s="183"/>
      <c r="W277" s="183"/>
      <c r="X277" s="184"/>
      <c r="Y277" s="184"/>
      <c r="Z277" s="184"/>
      <c r="AA277" s="184"/>
      <c r="AB277" s="184"/>
      <c r="AC277" s="184"/>
      <c r="AD277" s="184"/>
      <c r="AE277" s="184"/>
      <c r="AF277" s="184"/>
      <c r="AG277" s="184"/>
      <c r="AH277" s="184"/>
      <c r="AI277" s="184"/>
      <c r="AJ277" s="184"/>
      <c r="AK277" s="184"/>
      <c r="AL277" s="184"/>
      <c r="AM277" s="184"/>
      <c r="AN277" s="184"/>
      <c r="AO277" s="184"/>
      <c r="AP277" s="184"/>
      <c r="AQ277" s="184"/>
      <c r="AR277" s="184"/>
      <c r="AS277" s="184"/>
      <c r="AT277" s="184"/>
      <c r="AU277" s="184"/>
      <c r="AV277" s="184"/>
      <c r="AW277" s="184"/>
      <c r="AX277" s="184"/>
      <c r="AY277" s="184"/>
      <c r="AZ277" s="184"/>
      <c r="BA277" s="184"/>
      <c r="BB277" s="184"/>
      <c r="BC277" s="184"/>
      <c r="BD277" s="184"/>
      <c r="BE277" s="184"/>
      <c r="BF277" s="184"/>
      <c r="BG277" s="184"/>
      <c r="BH277" s="184"/>
      <c r="BI277" s="184"/>
      <c r="BJ277" s="184"/>
      <c r="BK277" s="184"/>
      <c r="BL277" s="184"/>
      <c r="BM277" s="184"/>
      <c r="BN277" s="184"/>
      <c r="BO277" s="184"/>
      <c r="BP277" s="184"/>
      <c r="BQ277" s="184"/>
      <c r="BR277" s="184"/>
      <c r="BS277" s="184"/>
      <c r="BT277" s="184"/>
      <c r="BU277" s="184"/>
      <c r="BV277" s="184"/>
      <c r="BW277" s="184"/>
      <c r="BX277" s="184"/>
      <c r="BY277" s="184"/>
      <c r="BZ277" s="184"/>
      <c r="CA277" s="184"/>
      <c r="CB277" s="184"/>
      <c r="CC277" s="184"/>
      <c r="CD277" s="184"/>
      <c r="CE277" s="184"/>
      <c r="CF277" s="184"/>
      <c r="CG277" s="184"/>
      <c r="CH277" s="184"/>
      <c r="CI277" s="184"/>
      <c r="CJ277" s="184"/>
      <c r="CK277" s="184"/>
      <c r="CL277" s="184"/>
      <c r="CM277" s="184"/>
      <c r="CN277" s="184"/>
      <c r="CO277" s="184"/>
      <c r="CP277" s="184"/>
      <c r="CQ277" s="184"/>
      <c r="CR277" s="184"/>
      <c r="CS277" s="184"/>
      <c r="CT277" s="184"/>
      <c r="CU277" s="184"/>
      <c r="CV277" s="184"/>
      <c r="CW277" s="184"/>
      <c r="CX277" s="184"/>
      <c r="CY277" s="184"/>
      <c r="CZ277" s="184"/>
      <c r="DA277" s="184"/>
      <c r="DB277" s="184"/>
      <c r="DC277" s="184"/>
      <c r="DD277" s="184"/>
      <c r="DE277" s="184"/>
      <c r="DF277" s="184"/>
      <c r="DG277" s="184"/>
      <c r="DH277" s="184"/>
      <c r="DI277" s="184"/>
      <c r="DJ277" s="184"/>
      <c r="DK277" s="184"/>
      <c r="DL277" s="184"/>
      <c r="DM277" s="184"/>
      <c r="DN277" s="184"/>
      <c r="DO277" s="184"/>
      <c r="DP277" s="184"/>
      <c r="DQ277" s="184"/>
      <c r="DR277" s="184"/>
      <c r="DS277" s="184"/>
      <c r="DT277" s="184"/>
      <c r="DU277" s="184"/>
      <c r="DV277" s="184"/>
      <c r="DW277" s="184"/>
      <c r="DX277" s="184"/>
      <c r="DY277" s="184"/>
      <c r="DZ277" s="184"/>
      <c r="EA277" s="184"/>
      <c r="EB277" s="184"/>
      <c r="EC277" s="184"/>
      <c r="ED277" s="184"/>
      <c r="EE277" s="184"/>
      <c r="EF277" s="184"/>
      <c r="EG277" s="184"/>
      <c r="EH277" s="184"/>
    </row>
    <row r="278" spans="1:138">
      <c r="A278" s="185"/>
      <c r="B278" s="179"/>
      <c r="C278" s="179"/>
      <c r="D278" s="192"/>
      <c r="E278" s="193"/>
      <c r="F278" s="27"/>
      <c r="G278" s="161" t="s">
        <v>547</v>
      </c>
      <c r="H278" s="157" t="s">
        <v>488</v>
      </c>
      <c r="I278" s="86"/>
      <c r="J278" s="33"/>
      <c r="K278" s="30" t="s">
        <v>116</v>
      </c>
      <c r="L278" s="35" t="s">
        <v>53</v>
      </c>
      <c r="M278" s="179"/>
      <c r="N278" s="179"/>
      <c r="O278" s="186"/>
      <c r="P278" s="182"/>
      <c r="Q278" s="182"/>
      <c r="R278" s="182"/>
      <c r="S278" s="183"/>
      <c r="T278" s="183"/>
      <c r="U278" s="183"/>
      <c r="V278" s="183"/>
      <c r="W278" s="183"/>
      <c r="X278" s="184"/>
      <c r="Y278" s="184"/>
      <c r="Z278" s="184"/>
      <c r="AA278" s="184"/>
      <c r="AB278" s="184"/>
      <c r="AC278" s="184"/>
      <c r="AD278" s="184"/>
      <c r="AE278" s="184"/>
      <c r="AF278" s="184"/>
      <c r="AG278" s="184"/>
      <c r="AH278" s="184"/>
      <c r="AI278" s="184"/>
      <c r="AJ278" s="184"/>
      <c r="AK278" s="184"/>
      <c r="AL278" s="184"/>
      <c r="AM278" s="184"/>
      <c r="AN278" s="184"/>
      <c r="AO278" s="184"/>
      <c r="AP278" s="184"/>
      <c r="AQ278" s="184"/>
      <c r="AR278" s="184"/>
      <c r="AS278" s="184"/>
      <c r="AT278" s="184"/>
      <c r="AU278" s="184"/>
      <c r="AV278" s="184"/>
      <c r="AW278" s="184"/>
      <c r="AX278" s="184"/>
      <c r="AY278" s="184"/>
      <c r="AZ278" s="184"/>
      <c r="BA278" s="184"/>
      <c r="BB278" s="184"/>
      <c r="BC278" s="184"/>
      <c r="BD278" s="184"/>
      <c r="BE278" s="184"/>
      <c r="BF278" s="184"/>
      <c r="BG278" s="184"/>
      <c r="BH278" s="184"/>
      <c r="BI278" s="184"/>
      <c r="BJ278" s="184"/>
      <c r="BK278" s="184"/>
      <c r="BL278" s="184"/>
      <c r="BM278" s="184"/>
      <c r="BN278" s="184"/>
      <c r="BO278" s="184"/>
      <c r="BP278" s="184"/>
      <c r="BQ278" s="184"/>
      <c r="BR278" s="184"/>
      <c r="BS278" s="184"/>
      <c r="BT278" s="184"/>
      <c r="BU278" s="184"/>
      <c r="BV278" s="184"/>
      <c r="BW278" s="184"/>
      <c r="BX278" s="184"/>
      <c r="BY278" s="184"/>
      <c r="BZ278" s="184"/>
      <c r="CA278" s="184"/>
      <c r="CB278" s="184"/>
      <c r="CC278" s="184"/>
      <c r="CD278" s="184"/>
      <c r="CE278" s="184"/>
      <c r="CF278" s="184"/>
      <c r="CG278" s="184"/>
      <c r="CH278" s="184"/>
      <c r="CI278" s="184"/>
      <c r="CJ278" s="184"/>
      <c r="CK278" s="184"/>
      <c r="CL278" s="184"/>
      <c r="CM278" s="184"/>
      <c r="CN278" s="184"/>
      <c r="CO278" s="184"/>
      <c r="CP278" s="184"/>
      <c r="CQ278" s="184"/>
      <c r="CR278" s="184"/>
      <c r="CS278" s="184"/>
      <c r="CT278" s="184"/>
      <c r="CU278" s="184"/>
      <c r="CV278" s="184"/>
      <c r="CW278" s="184"/>
      <c r="CX278" s="184"/>
      <c r="CY278" s="184"/>
      <c r="CZ278" s="184"/>
      <c r="DA278" s="184"/>
      <c r="DB278" s="184"/>
      <c r="DC278" s="184"/>
      <c r="DD278" s="184"/>
      <c r="DE278" s="184"/>
      <c r="DF278" s="184"/>
      <c r="DG278" s="184"/>
      <c r="DH278" s="184"/>
      <c r="DI278" s="184"/>
      <c r="DJ278" s="184"/>
      <c r="DK278" s="184"/>
      <c r="DL278" s="184"/>
      <c r="DM278" s="184"/>
      <c r="DN278" s="184"/>
      <c r="DO278" s="184"/>
      <c r="DP278" s="184"/>
      <c r="DQ278" s="184"/>
      <c r="DR278" s="184"/>
      <c r="DS278" s="184"/>
      <c r="DT278" s="184"/>
      <c r="DU278" s="184"/>
      <c r="DV278" s="184"/>
      <c r="DW278" s="184"/>
      <c r="DX278" s="184"/>
      <c r="DY278" s="184"/>
      <c r="DZ278" s="184"/>
      <c r="EA278" s="184"/>
      <c r="EB278" s="184"/>
      <c r="EC278" s="184"/>
      <c r="ED278" s="184"/>
      <c r="EE278" s="184"/>
      <c r="EF278" s="184"/>
      <c r="EG278" s="184"/>
      <c r="EH278" s="184"/>
    </row>
    <row r="279" spans="1:138">
      <c r="A279" s="185"/>
      <c r="B279" s="179"/>
      <c r="C279" s="179"/>
      <c r="D279" s="192"/>
      <c r="E279" s="191" t="s">
        <v>557</v>
      </c>
      <c r="F279" s="27"/>
      <c r="G279" s="47" t="s">
        <v>71</v>
      </c>
      <c r="H279" s="157" t="s">
        <v>488</v>
      </c>
      <c r="I279" s="86"/>
      <c r="J279" s="33"/>
      <c r="K279" s="8" t="s">
        <v>150</v>
      </c>
      <c r="L279" s="35" t="s">
        <v>53</v>
      </c>
      <c r="M279" s="179"/>
      <c r="N279" s="179"/>
      <c r="O279" s="186"/>
      <c r="P279" s="182"/>
      <c r="Q279" s="182"/>
      <c r="R279" s="182"/>
      <c r="S279" s="183"/>
      <c r="T279" s="183"/>
      <c r="U279" s="183"/>
      <c r="V279" s="183"/>
      <c r="W279" s="183"/>
      <c r="X279" s="184"/>
      <c r="Y279" s="184"/>
      <c r="Z279" s="184"/>
      <c r="AA279" s="184"/>
      <c r="AB279" s="184"/>
      <c r="AC279" s="184"/>
      <c r="AD279" s="184"/>
      <c r="AE279" s="184"/>
      <c r="AF279" s="184"/>
      <c r="AG279" s="184"/>
      <c r="AH279" s="184"/>
      <c r="AI279" s="184"/>
      <c r="AJ279" s="184"/>
      <c r="AK279" s="184"/>
      <c r="AL279" s="184"/>
      <c r="AM279" s="184"/>
      <c r="AN279" s="184"/>
      <c r="AO279" s="184"/>
      <c r="AP279" s="184"/>
      <c r="AQ279" s="184"/>
      <c r="AR279" s="184"/>
      <c r="AS279" s="184"/>
      <c r="AT279" s="184"/>
      <c r="AU279" s="184"/>
      <c r="AV279" s="184"/>
      <c r="AW279" s="184"/>
      <c r="AX279" s="184"/>
      <c r="AY279" s="184"/>
      <c r="AZ279" s="184"/>
      <c r="BA279" s="184"/>
      <c r="BB279" s="184"/>
      <c r="BC279" s="184"/>
      <c r="BD279" s="184"/>
      <c r="BE279" s="184"/>
      <c r="BF279" s="184"/>
      <c r="BG279" s="184"/>
      <c r="BH279" s="184"/>
      <c r="BI279" s="184"/>
      <c r="BJ279" s="184"/>
      <c r="BK279" s="184"/>
      <c r="BL279" s="184"/>
      <c r="BM279" s="184"/>
      <c r="BN279" s="184"/>
      <c r="BO279" s="184"/>
      <c r="BP279" s="184"/>
      <c r="BQ279" s="184"/>
      <c r="BR279" s="184"/>
      <c r="BS279" s="184"/>
      <c r="BT279" s="184"/>
      <c r="BU279" s="184"/>
      <c r="BV279" s="184"/>
      <c r="BW279" s="184"/>
      <c r="BX279" s="184"/>
      <c r="BY279" s="184"/>
      <c r="BZ279" s="184"/>
      <c r="CA279" s="184"/>
      <c r="CB279" s="184"/>
      <c r="CC279" s="184"/>
      <c r="CD279" s="184"/>
      <c r="CE279" s="184"/>
      <c r="CF279" s="184"/>
      <c r="CG279" s="184"/>
      <c r="CH279" s="184"/>
      <c r="CI279" s="184"/>
      <c r="CJ279" s="184"/>
      <c r="CK279" s="184"/>
      <c r="CL279" s="184"/>
      <c r="CM279" s="184"/>
      <c r="CN279" s="184"/>
      <c r="CO279" s="184"/>
      <c r="CP279" s="184"/>
      <c r="CQ279" s="184"/>
      <c r="CR279" s="184"/>
      <c r="CS279" s="184"/>
      <c r="CT279" s="184"/>
      <c r="CU279" s="184"/>
      <c r="CV279" s="184"/>
      <c r="CW279" s="184"/>
      <c r="CX279" s="184"/>
      <c r="CY279" s="184"/>
      <c r="CZ279" s="184"/>
      <c r="DA279" s="184"/>
      <c r="DB279" s="184"/>
      <c r="DC279" s="184"/>
      <c r="DD279" s="184"/>
      <c r="DE279" s="184"/>
      <c r="DF279" s="184"/>
      <c r="DG279" s="184"/>
      <c r="DH279" s="184"/>
      <c r="DI279" s="184"/>
      <c r="DJ279" s="184"/>
      <c r="DK279" s="184"/>
      <c r="DL279" s="184"/>
      <c r="DM279" s="184"/>
      <c r="DN279" s="184"/>
      <c r="DO279" s="184"/>
      <c r="DP279" s="184"/>
      <c r="DQ279" s="184"/>
      <c r="DR279" s="184"/>
      <c r="DS279" s="184"/>
      <c r="DT279" s="184"/>
      <c r="DU279" s="184"/>
      <c r="DV279" s="184"/>
      <c r="DW279" s="184"/>
      <c r="DX279" s="184"/>
      <c r="DY279" s="184"/>
      <c r="DZ279" s="184"/>
      <c r="EA279" s="184"/>
      <c r="EB279" s="184"/>
      <c r="EC279" s="184"/>
      <c r="ED279" s="184"/>
      <c r="EE279" s="184"/>
      <c r="EF279" s="184"/>
      <c r="EG279" s="184"/>
      <c r="EH279" s="184"/>
    </row>
    <row r="280" spans="1:138" ht="29.25">
      <c r="A280" s="185"/>
      <c r="B280" s="179"/>
      <c r="C280" s="179"/>
      <c r="D280" s="192"/>
      <c r="E280" s="192"/>
      <c r="F280" s="27"/>
      <c r="G280" s="112" t="s">
        <v>113</v>
      </c>
      <c r="H280" s="171" t="s">
        <v>472</v>
      </c>
      <c r="I280" s="86"/>
      <c r="J280" s="33"/>
      <c r="K280" s="8" t="s">
        <v>559</v>
      </c>
      <c r="L280" s="35" t="s">
        <v>53</v>
      </c>
      <c r="M280" s="179"/>
      <c r="N280" s="179"/>
      <c r="O280" s="186"/>
      <c r="P280" s="182"/>
      <c r="Q280" s="182"/>
      <c r="R280" s="182"/>
      <c r="S280" s="183"/>
      <c r="T280" s="183"/>
      <c r="U280" s="183"/>
      <c r="V280" s="183"/>
      <c r="W280" s="183"/>
      <c r="X280" s="184"/>
      <c r="Y280" s="184"/>
      <c r="Z280" s="184"/>
      <c r="AA280" s="184"/>
      <c r="AB280" s="184"/>
      <c r="AC280" s="184"/>
      <c r="AD280" s="184"/>
      <c r="AE280" s="184"/>
      <c r="AF280" s="184"/>
      <c r="AG280" s="184"/>
      <c r="AH280" s="184"/>
      <c r="AI280" s="184"/>
      <c r="AJ280" s="184"/>
      <c r="AK280" s="184"/>
      <c r="AL280" s="184"/>
      <c r="AM280" s="184"/>
      <c r="AN280" s="184"/>
      <c r="AO280" s="184"/>
      <c r="AP280" s="184"/>
      <c r="AQ280" s="184"/>
      <c r="AR280" s="184"/>
      <c r="AS280" s="184"/>
      <c r="AT280" s="184"/>
      <c r="AU280" s="184"/>
      <c r="AV280" s="184"/>
      <c r="AW280" s="184"/>
      <c r="AX280" s="184"/>
      <c r="AY280" s="184"/>
      <c r="AZ280" s="184"/>
      <c r="BA280" s="184"/>
      <c r="BB280" s="184"/>
      <c r="BC280" s="184"/>
      <c r="BD280" s="184"/>
      <c r="BE280" s="184"/>
      <c r="BF280" s="184"/>
      <c r="BG280" s="184"/>
      <c r="BH280" s="184"/>
      <c r="BI280" s="184"/>
      <c r="BJ280" s="184"/>
      <c r="BK280" s="184"/>
      <c r="BL280" s="184"/>
      <c r="BM280" s="184"/>
      <c r="BN280" s="184"/>
      <c r="BO280" s="184"/>
      <c r="BP280" s="184"/>
      <c r="BQ280" s="184"/>
      <c r="BR280" s="184"/>
      <c r="BS280" s="184"/>
      <c r="BT280" s="184"/>
      <c r="BU280" s="184"/>
      <c r="BV280" s="184"/>
      <c r="BW280" s="184"/>
      <c r="BX280" s="184"/>
      <c r="BY280" s="184"/>
      <c r="BZ280" s="184"/>
      <c r="CA280" s="184"/>
      <c r="CB280" s="184"/>
      <c r="CC280" s="184"/>
      <c r="CD280" s="184"/>
      <c r="CE280" s="184"/>
      <c r="CF280" s="184"/>
      <c r="CG280" s="184"/>
      <c r="CH280" s="184"/>
      <c r="CI280" s="184"/>
      <c r="CJ280" s="184"/>
      <c r="CK280" s="184"/>
      <c r="CL280" s="184"/>
      <c r="CM280" s="184"/>
      <c r="CN280" s="184"/>
      <c r="CO280" s="184"/>
      <c r="CP280" s="184"/>
      <c r="CQ280" s="184"/>
      <c r="CR280" s="184"/>
      <c r="CS280" s="184"/>
      <c r="CT280" s="184"/>
      <c r="CU280" s="184"/>
      <c r="CV280" s="184"/>
      <c r="CW280" s="184"/>
      <c r="CX280" s="184"/>
      <c r="CY280" s="184"/>
      <c r="CZ280" s="184"/>
      <c r="DA280" s="184"/>
      <c r="DB280" s="184"/>
      <c r="DC280" s="184"/>
      <c r="DD280" s="184"/>
      <c r="DE280" s="184"/>
      <c r="DF280" s="184"/>
      <c r="DG280" s="184"/>
      <c r="DH280" s="184"/>
      <c r="DI280" s="184"/>
      <c r="DJ280" s="184"/>
      <c r="DK280" s="184"/>
      <c r="DL280" s="184"/>
      <c r="DM280" s="184"/>
      <c r="DN280" s="184"/>
      <c r="DO280" s="184"/>
      <c r="DP280" s="184"/>
      <c r="DQ280" s="184"/>
      <c r="DR280" s="184"/>
      <c r="DS280" s="184"/>
      <c r="DT280" s="184"/>
      <c r="DU280" s="184"/>
      <c r="DV280" s="184"/>
      <c r="DW280" s="184"/>
      <c r="DX280" s="184"/>
      <c r="DY280" s="184"/>
      <c r="DZ280" s="184"/>
      <c r="EA280" s="184"/>
      <c r="EB280" s="184"/>
      <c r="EC280" s="184"/>
      <c r="ED280" s="184"/>
      <c r="EE280" s="184"/>
      <c r="EF280" s="184"/>
      <c r="EG280" s="184"/>
      <c r="EH280" s="184"/>
    </row>
    <row r="281" spans="1:138" ht="29.25">
      <c r="A281" s="185"/>
      <c r="B281" s="179"/>
      <c r="C281" s="179"/>
      <c r="D281" s="193"/>
      <c r="E281" s="193"/>
      <c r="F281" s="27"/>
      <c r="G281" s="161" t="s">
        <v>547</v>
      </c>
      <c r="H281" s="157" t="s">
        <v>488</v>
      </c>
      <c r="I281" s="86"/>
      <c r="J281" s="33"/>
      <c r="K281" s="8" t="s">
        <v>561</v>
      </c>
      <c r="L281" s="35" t="s">
        <v>53</v>
      </c>
      <c r="M281" s="179"/>
      <c r="N281" s="179"/>
      <c r="O281" s="186"/>
      <c r="P281" s="182"/>
      <c r="Q281" s="182"/>
      <c r="R281" s="182"/>
      <c r="S281" s="183"/>
      <c r="T281" s="183"/>
      <c r="U281" s="183"/>
      <c r="V281" s="183"/>
      <c r="W281" s="183"/>
      <c r="X281" s="184"/>
      <c r="Y281" s="184"/>
      <c r="Z281" s="184"/>
      <c r="AA281" s="184"/>
      <c r="AB281" s="184"/>
      <c r="AC281" s="184"/>
      <c r="AD281" s="184"/>
      <c r="AE281" s="184"/>
      <c r="AF281" s="184"/>
      <c r="AG281" s="184"/>
      <c r="AH281" s="184"/>
      <c r="AI281" s="184"/>
      <c r="AJ281" s="184"/>
      <c r="AK281" s="184"/>
      <c r="AL281" s="184"/>
      <c r="AM281" s="184"/>
      <c r="AN281" s="184"/>
      <c r="AO281" s="184"/>
      <c r="AP281" s="184"/>
      <c r="AQ281" s="184"/>
      <c r="AR281" s="184"/>
      <c r="AS281" s="184"/>
      <c r="AT281" s="184"/>
      <c r="AU281" s="184"/>
      <c r="AV281" s="184"/>
      <c r="AW281" s="184"/>
      <c r="AX281" s="184"/>
      <c r="AY281" s="184"/>
      <c r="AZ281" s="184"/>
      <c r="BA281" s="184"/>
      <c r="BB281" s="184"/>
      <c r="BC281" s="184"/>
      <c r="BD281" s="184"/>
      <c r="BE281" s="184"/>
      <c r="BF281" s="184"/>
      <c r="BG281" s="184"/>
      <c r="BH281" s="184"/>
      <c r="BI281" s="184"/>
      <c r="BJ281" s="184"/>
      <c r="BK281" s="184"/>
      <c r="BL281" s="184"/>
      <c r="BM281" s="184"/>
      <c r="BN281" s="184"/>
      <c r="BO281" s="184"/>
      <c r="BP281" s="184"/>
      <c r="BQ281" s="184"/>
      <c r="BR281" s="184"/>
      <c r="BS281" s="184"/>
      <c r="BT281" s="184"/>
      <c r="BU281" s="184"/>
      <c r="BV281" s="184"/>
      <c r="BW281" s="184"/>
      <c r="BX281" s="184"/>
      <c r="BY281" s="184"/>
      <c r="BZ281" s="184"/>
      <c r="CA281" s="184"/>
      <c r="CB281" s="184"/>
      <c r="CC281" s="184"/>
      <c r="CD281" s="184"/>
      <c r="CE281" s="184"/>
      <c r="CF281" s="184"/>
      <c r="CG281" s="184"/>
      <c r="CH281" s="184"/>
      <c r="CI281" s="184"/>
      <c r="CJ281" s="184"/>
      <c r="CK281" s="184"/>
      <c r="CL281" s="184"/>
      <c r="CM281" s="184"/>
      <c r="CN281" s="184"/>
      <c r="CO281" s="184"/>
      <c r="CP281" s="184"/>
      <c r="CQ281" s="184"/>
      <c r="CR281" s="184"/>
      <c r="CS281" s="184"/>
      <c r="CT281" s="184"/>
      <c r="CU281" s="184"/>
      <c r="CV281" s="184"/>
      <c r="CW281" s="184"/>
      <c r="CX281" s="184"/>
      <c r="CY281" s="184"/>
      <c r="CZ281" s="184"/>
      <c r="DA281" s="184"/>
      <c r="DB281" s="184"/>
      <c r="DC281" s="184"/>
      <c r="DD281" s="184"/>
      <c r="DE281" s="184"/>
      <c r="DF281" s="184"/>
      <c r="DG281" s="184"/>
      <c r="DH281" s="184"/>
      <c r="DI281" s="184"/>
      <c r="DJ281" s="184"/>
      <c r="DK281" s="184"/>
      <c r="DL281" s="184"/>
      <c r="DM281" s="184"/>
      <c r="DN281" s="184"/>
      <c r="DO281" s="184"/>
      <c r="DP281" s="184"/>
      <c r="DQ281" s="184"/>
      <c r="DR281" s="184"/>
      <c r="DS281" s="184"/>
      <c r="DT281" s="184"/>
      <c r="DU281" s="184"/>
      <c r="DV281" s="184"/>
      <c r="DW281" s="184"/>
      <c r="DX281" s="184"/>
      <c r="DY281" s="184"/>
      <c r="DZ281" s="184"/>
      <c r="EA281" s="184"/>
      <c r="EB281" s="184"/>
      <c r="EC281" s="184"/>
      <c r="ED281" s="184"/>
      <c r="EE281" s="184"/>
      <c r="EF281" s="184"/>
      <c r="EG281" s="184"/>
      <c r="EH281" s="184"/>
    </row>
    <row r="282" spans="1:138" ht="29.25">
      <c r="A282" s="185"/>
      <c r="B282" s="179"/>
      <c r="C282" s="179"/>
      <c r="D282" s="191" t="s">
        <v>563</v>
      </c>
      <c r="E282" s="191" t="s">
        <v>564</v>
      </c>
      <c r="F282" s="44"/>
      <c r="G282" s="26" t="s">
        <v>113</v>
      </c>
      <c r="H282" s="174" t="s">
        <v>472</v>
      </c>
      <c r="I282" s="33"/>
      <c r="J282" s="33"/>
      <c r="K282" s="68" t="s">
        <v>52</v>
      </c>
      <c r="L282" s="35" t="s">
        <v>53</v>
      </c>
      <c r="M282" s="179"/>
      <c r="N282" s="179"/>
      <c r="O282" s="186"/>
      <c r="P282" s="182"/>
      <c r="Q282" s="182"/>
      <c r="R282" s="182"/>
      <c r="S282" s="183"/>
      <c r="T282" s="183"/>
      <c r="U282" s="183"/>
      <c r="V282" s="183"/>
      <c r="W282" s="183"/>
      <c r="X282" s="184"/>
      <c r="Y282" s="184"/>
      <c r="Z282" s="184"/>
      <c r="AA282" s="184"/>
      <c r="AB282" s="184"/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s="184"/>
      <c r="AV282" s="184"/>
      <c r="AW282" s="184"/>
      <c r="AX282" s="184"/>
      <c r="AY282" s="184"/>
      <c r="AZ282" s="184"/>
      <c r="BA282" s="184"/>
      <c r="BB282" s="184"/>
      <c r="BC282" s="184"/>
      <c r="BD282" s="184"/>
      <c r="BE282" s="184"/>
      <c r="BF282" s="184"/>
      <c r="BG282" s="184"/>
      <c r="BH282" s="184"/>
      <c r="BI282" s="184"/>
      <c r="BJ282" s="184"/>
      <c r="BK282" s="184"/>
      <c r="BL282" s="184"/>
      <c r="BM282" s="184"/>
      <c r="BN282" s="184"/>
      <c r="BO282" s="184"/>
      <c r="BP282" s="184"/>
      <c r="BQ282" s="184"/>
      <c r="BR282" s="184"/>
      <c r="BS282" s="184"/>
      <c r="BT282" s="184"/>
      <c r="BU282" s="184"/>
      <c r="BV282" s="184"/>
      <c r="BW282" s="184"/>
      <c r="BX282" s="184"/>
      <c r="BY282" s="184"/>
      <c r="BZ282" s="184"/>
      <c r="CA282" s="184"/>
      <c r="CB282" s="184"/>
      <c r="CC282" s="184"/>
      <c r="CD282" s="184"/>
      <c r="CE282" s="184"/>
      <c r="CF282" s="184"/>
      <c r="CG282" s="184"/>
      <c r="CH282" s="184"/>
      <c r="CI282" s="184"/>
      <c r="CJ282" s="184"/>
      <c r="CK282" s="184"/>
      <c r="CL282" s="184"/>
      <c r="CM282" s="184"/>
      <c r="CN282" s="184"/>
      <c r="CO282" s="184"/>
      <c r="CP282" s="184"/>
      <c r="CQ282" s="184"/>
      <c r="CR282" s="184"/>
      <c r="CS282" s="184"/>
      <c r="CT282" s="184"/>
      <c r="CU282" s="184"/>
      <c r="CV282" s="184"/>
      <c r="CW282" s="184"/>
      <c r="CX282" s="184"/>
      <c r="CY282" s="184"/>
      <c r="CZ282" s="184"/>
      <c r="DA282" s="184"/>
      <c r="DB282" s="184"/>
      <c r="DC282" s="184"/>
      <c r="DD282" s="184"/>
      <c r="DE282" s="184"/>
      <c r="DF282" s="184"/>
      <c r="DG282" s="184"/>
      <c r="DH282" s="184"/>
      <c r="DI282" s="184"/>
      <c r="DJ282" s="184"/>
      <c r="DK282" s="184"/>
      <c r="DL282" s="184"/>
      <c r="DM282" s="184"/>
      <c r="DN282" s="184"/>
      <c r="DO282" s="184"/>
      <c r="DP282" s="184"/>
      <c r="DQ282" s="184"/>
      <c r="DR282" s="184"/>
      <c r="DS282" s="184"/>
      <c r="DT282" s="184"/>
      <c r="DU282" s="184"/>
      <c r="DV282" s="184"/>
      <c r="DW282" s="184"/>
      <c r="DX282" s="184"/>
      <c r="DY282" s="184"/>
      <c r="DZ282" s="184"/>
      <c r="EA282" s="184"/>
      <c r="EB282" s="184"/>
      <c r="EC282" s="184"/>
      <c r="ED282" s="184"/>
      <c r="EE282" s="184"/>
      <c r="EF282" s="184"/>
      <c r="EG282" s="184"/>
      <c r="EH282" s="184"/>
    </row>
    <row r="283" spans="1:138">
      <c r="A283" s="185"/>
      <c r="B283" s="179"/>
      <c r="C283" s="179"/>
      <c r="D283" s="192"/>
      <c r="E283" s="192"/>
      <c r="F283" s="39"/>
      <c r="G283" s="32" t="s">
        <v>566</v>
      </c>
      <c r="H283" s="169" t="s">
        <v>472</v>
      </c>
      <c r="I283" s="18"/>
      <c r="J283" s="33"/>
      <c r="K283" s="8" t="s">
        <v>567</v>
      </c>
      <c r="L283" s="35" t="s">
        <v>53</v>
      </c>
      <c r="M283" s="179"/>
      <c r="N283" s="179"/>
      <c r="O283" s="186"/>
      <c r="P283" s="182"/>
      <c r="Q283" s="182"/>
      <c r="R283" s="182"/>
      <c r="S283" s="183"/>
      <c r="T283" s="183"/>
      <c r="U283" s="183"/>
      <c r="V283" s="183"/>
      <c r="W283" s="183"/>
      <c r="X283" s="184"/>
      <c r="Y283" s="184"/>
      <c r="Z283" s="184"/>
      <c r="AA283" s="184"/>
      <c r="AB283" s="184"/>
      <c r="AC283" s="184"/>
      <c r="AD283" s="184"/>
      <c r="AE283" s="184"/>
      <c r="AF283" s="184"/>
      <c r="AG283" s="184"/>
      <c r="AH283" s="184"/>
      <c r="AI283" s="184"/>
      <c r="AJ283" s="184"/>
      <c r="AK283" s="184"/>
      <c r="AL283" s="184"/>
      <c r="AM283" s="184"/>
      <c r="AN283" s="184"/>
      <c r="AO283" s="184"/>
      <c r="AP283" s="184"/>
      <c r="AQ283" s="184"/>
      <c r="AR283" s="184"/>
      <c r="AS283" s="184"/>
      <c r="AT283" s="184"/>
      <c r="AU283" s="184"/>
      <c r="AV283" s="184"/>
      <c r="AW283" s="184"/>
      <c r="AX283" s="184"/>
      <c r="AY283" s="184"/>
      <c r="AZ283" s="184"/>
      <c r="BA283" s="184"/>
      <c r="BB283" s="184"/>
      <c r="BC283" s="184"/>
      <c r="BD283" s="184"/>
      <c r="BE283" s="184"/>
      <c r="BF283" s="184"/>
      <c r="BG283" s="184"/>
      <c r="BH283" s="184"/>
      <c r="BI283" s="184"/>
      <c r="BJ283" s="184"/>
      <c r="BK283" s="184"/>
      <c r="BL283" s="184"/>
      <c r="BM283" s="184"/>
      <c r="BN283" s="184"/>
      <c r="BO283" s="184"/>
      <c r="BP283" s="184"/>
      <c r="BQ283" s="184"/>
      <c r="BR283" s="184"/>
      <c r="BS283" s="184"/>
      <c r="BT283" s="184"/>
      <c r="BU283" s="184"/>
      <c r="BV283" s="184"/>
      <c r="BW283" s="184"/>
      <c r="BX283" s="184"/>
      <c r="BY283" s="184"/>
      <c r="BZ283" s="184"/>
      <c r="CA283" s="184"/>
      <c r="CB283" s="184"/>
      <c r="CC283" s="184"/>
      <c r="CD283" s="184"/>
      <c r="CE283" s="184"/>
      <c r="CF283" s="184"/>
      <c r="CG283" s="184"/>
      <c r="CH283" s="184"/>
      <c r="CI283" s="184"/>
      <c r="CJ283" s="184"/>
      <c r="CK283" s="184"/>
      <c r="CL283" s="184"/>
      <c r="CM283" s="184"/>
      <c r="CN283" s="184"/>
      <c r="CO283" s="184"/>
      <c r="CP283" s="184"/>
      <c r="CQ283" s="184"/>
      <c r="CR283" s="184"/>
      <c r="CS283" s="184"/>
      <c r="CT283" s="184"/>
      <c r="CU283" s="184"/>
      <c r="CV283" s="184"/>
      <c r="CW283" s="184"/>
      <c r="CX283" s="184"/>
      <c r="CY283" s="184"/>
      <c r="CZ283" s="184"/>
      <c r="DA283" s="184"/>
      <c r="DB283" s="184"/>
      <c r="DC283" s="184"/>
      <c r="DD283" s="184"/>
      <c r="DE283" s="184"/>
      <c r="DF283" s="184"/>
      <c r="DG283" s="184"/>
      <c r="DH283" s="184"/>
      <c r="DI283" s="184"/>
      <c r="DJ283" s="184"/>
      <c r="DK283" s="184"/>
      <c r="DL283" s="184"/>
      <c r="DM283" s="184"/>
      <c r="DN283" s="184"/>
      <c r="DO283" s="184"/>
      <c r="DP283" s="184"/>
      <c r="DQ283" s="184"/>
      <c r="DR283" s="184"/>
      <c r="DS283" s="184"/>
      <c r="DT283" s="184"/>
      <c r="DU283" s="184"/>
      <c r="DV283" s="184"/>
      <c r="DW283" s="184"/>
      <c r="DX283" s="184"/>
      <c r="DY283" s="184"/>
      <c r="DZ283" s="184"/>
      <c r="EA283" s="184"/>
      <c r="EB283" s="184"/>
      <c r="EC283" s="184"/>
      <c r="ED283" s="184"/>
      <c r="EE283" s="184"/>
      <c r="EF283" s="184"/>
      <c r="EG283" s="184"/>
      <c r="EH283" s="184"/>
    </row>
    <row r="284" spans="1:138">
      <c r="A284" s="185"/>
      <c r="B284" s="179"/>
      <c r="C284" s="179"/>
      <c r="D284" s="192"/>
      <c r="E284" s="192"/>
      <c r="F284" s="39"/>
      <c r="G284" s="32" t="s">
        <v>569</v>
      </c>
      <c r="H284" s="170" t="s">
        <v>488</v>
      </c>
      <c r="I284" s="18"/>
      <c r="J284" s="33"/>
      <c r="K284" s="8" t="s">
        <v>570</v>
      </c>
      <c r="L284" s="35" t="s">
        <v>53</v>
      </c>
      <c r="M284" s="179"/>
      <c r="N284" s="179"/>
      <c r="O284" s="186"/>
      <c r="P284" s="182"/>
      <c r="Q284" s="182"/>
      <c r="R284" s="182"/>
      <c r="S284" s="183"/>
      <c r="T284" s="183"/>
      <c r="U284" s="183"/>
      <c r="V284" s="183"/>
      <c r="W284" s="183"/>
      <c r="X284" s="184"/>
      <c r="Y284" s="184"/>
      <c r="Z284" s="184"/>
      <c r="AA284" s="184"/>
      <c r="AB284" s="184"/>
      <c r="AC284" s="184"/>
      <c r="AD284" s="184"/>
      <c r="AE284" s="184"/>
      <c r="AF284" s="184"/>
      <c r="AG284" s="184"/>
      <c r="AH284" s="184"/>
      <c r="AI284" s="184"/>
      <c r="AJ284" s="184"/>
      <c r="AK284" s="184"/>
      <c r="AL284" s="184"/>
      <c r="AM284" s="184"/>
      <c r="AN284" s="184"/>
      <c r="AO284" s="184"/>
      <c r="AP284" s="184"/>
      <c r="AQ284" s="184"/>
      <c r="AR284" s="184"/>
      <c r="AS284" s="184"/>
      <c r="AT284" s="184"/>
      <c r="AU284" s="184"/>
      <c r="AV284" s="184"/>
      <c r="AW284" s="184"/>
      <c r="AX284" s="184"/>
      <c r="AY284" s="184"/>
      <c r="AZ284" s="184"/>
      <c r="BA284" s="184"/>
      <c r="BB284" s="184"/>
      <c r="BC284" s="184"/>
      <c r="BD284" s="184"/>
      <c r="BE284" s="184"/>
      <c r="BF284" s="184"/>
      <c r="BG284" s="184"/>
      <c r="BH284" s="184"/>
      <c r="BI284" s="184"/>
      <c r="BJ284" s="184"/>
      <c r="BK284" s="184"/>
      <c r="BL284" s="184"/>
      <c r="BM284" s="184"/>
      <c r="BN284" s="184"/>
      <c r="BO284" s="184"/>
      <c r="BP284" s="184"/>
      <c r="BQ284" s="184"/>
      <c r="BR284" s="184"/>
      <c r="BS284" s="184"/>
      <c r="BT284" s="184"/>
      <c r="BU284" s="184"/>
      <c r="BV284" s="184"/>
      <c r="BW284" s="184"/>
      <c r="BX284" s="184"/>
      <c r="BY284" s="184"/>
      <c r="BZ284" s="184"/>
      <c r="CA284" s="184"/>
      <c r="CB284" s="184"/>
      <c r="CC284" s="184"/>
      <c r="CD284" s="184"/>
      <c r="CE284" s="184"/>
      <c r="CF284" s="184"/>
      <c r="CG284" s="184"/>
      <c r="CH284" s="184"/>
      <c r="CI284" s="184"/>
      <c r="CJ284" s="184"/>
      <c r="CK284" s="184"/>
      <c r="CL284" s="184"/>
      <c r="CM284" s="184"/>
      <c r="CN284" s="184"/>
      <c r="CO284" s="184"/>
      <c r="CP284" s="184"/>
      <c r="CQ284" s="184"/>
      <c r="CR284" s="184"/>
      <c r="CS284" s="184"/>
      <c r="CT284" s="184"/>
      <c r="CU284" s="184"/>
      <c r="CV284" s="184"/>
      <c r="CW284" s="184"/>
      <c r="CX284" s="184"/>
      <c r="CY284" s="184"/>
      <c r="CZ284" s="184"/>
      <c r="DA284" s="184"/>
      <c r="DB284" s="184"/>
      <c r="DC284" s="184"/>
      <c r="DD284" s="184"/>
      <c r="DE284" s="184"/>
      <c r="DF284" s="184"/>
      <c r="DG284" s="184"/>
      <c r="DH284" s="184"/>
      <c r="DI284" s="184"/>
      <c r="DJ284" s="184"/>
      <c r="DK284" s="184"/>
      <c r="DL284" s="184"/>
      <c r="DM284" s="184"/>
      <c r="DN284" s="184"/>
      <c r="DO284" s="184"/>
      <c r="DP284" s="184"/>
      <c r="DQ284" s="184"/>
      <c r="DR284" s="184"/>
      <c r="DS284" s="184"/>
      <c r="DT284" s="184"/>
      <c r="DU284" s="184"/>
      <c r="DV284" s="184"/>
      <c r="DW284" s="184"/>
      <c r="DX284" s="184"/>
      <c r="DY284" s="184"/>
      <c r="DZ284" s="184"/>
      <c r="EA284" s="184"/>
      <c r="EB284" s="184"/>
      <c r="EC284" s="184"/>
      <c r="ED284" s="184"/>
      <c r="EE284" s="184"/>
      <c r="EF284" s="184"/>
      <c r="EG284" s="184"/>
      <c r="EH284" s="184"/>
    </row>
    <row r="285" spans="1:138" ht="29.25">
      <c r="A285" s="185"/>
      <c r="B285" s="179"/>
      <c r="C285" s="179"/>
      <c r="D285" s="192"/>
      <c r="E285" s="193"/>
      <c r="F285" s="39"/>
      <c r="G285" s="32" t="s">
        <v>572</v>
      </c>
      <c r="H285" s="170" t="s">
        <v>508</v>
      </c>
      <c r="I285" s="18"/>
      <c r="J285" s="33"/>
      <c r="K285" s="8" t="s">
        <v>573</v>
      </c>
      <c r="L285" s="35" t="s">
        <v>53</v>
      </c>
      <c r="M285" s="179"/>
      <c r="N285" s="179"/>
      <c r="O285" s="186"/>
      <c r="P285" s="182"/>
      <c r="Q285" s="182"/>
      <c r="R285" s="182"/>
      <c r="S285" s="183"/>
      <c r="T285" s="183"/>
      <c r="U285" s="183"/>
      <c r="V285" s="183"/>
      <c r="W285" s="183"/>
      <c r="X285" s="184"/>
      <c r="Y285" s="184"/>
      <c r="Z285" s="184"/>
      <c r="AA285" s="184"/>
      <c r="AB285" s="184"/>
      <c r="AC285" s="184"/>
      <c r="AD285" s="184"/>
      <c r="AE285" s="184"/>
      <c r="AF285" s="184"/>
      <c r="AG285" s="184"/>
      <c r="AH285" s="184"/>
      <c r="AI285" s="184"/>
      <c r="AJ285" s="184"/>
      <c r="AK285" s="184"/>
      <c r="AL285" s="184"/>
      <c r="AM285" s="184"/>
      <c r="AN285" s="184"/>
      <c r="AO285" s="184"/>
      <c r="AP285" s="184"/>
      <c r="AQ285" s="184"/>
      <c r="AR285" s="184"/>
      <c r="AS285" s="184"/>
      <c r="AT285" s="184"/>
      <c r="AU285" s="184"/>
      <c r="AV285" s="184"/>
      <c r="AW285" s="184"/>
      <c r="AX285" s="184"/>
      <c r="AY285" s="184"/>
      <c r="AZ285" s="184"/>
      <c r="BA285" s="184"/>
      <c r="BB285" s="184"/>
      <c r="BC285" s="184"/>
      <c r="BD285" s="184"/>
      <c r="BE285" s="184"/>
      <c r="BF285" s="184"/>
      <c r="BG285" s="184"/>
      <c r="BH285" s="184"/>
      <c r="BI285" s="184"/>
      <c r="BJ285" s="184"/>
      <c r="BK285" s="184"/>
      <c r="BL285" s="184"/>
      <c r="BM285" s="184"/>
      <c r="BN285" s="184"/>
      <c r="BO285" s="184"/>
      <c r="BP285" s="184"/>
      <c r="BQ285" s="184"/>
      <c r="BR285" s="184"/>
      <c r="BS285" s="184"/>
      <c r="BT285" s="184"/>
      <c r="BU285" s="184"/>
      <c r="BV285" s="184"/>
      <c r="BW285" s="184"/>
      <c r="BX285" s="184"/>
      <c r="BY285" s="184"/>
      <c r="BZ285" s="184"/>
      <c r="CA285" s="184"/>
      <c r="CB285" s="184"/>
      <c r="CC285" s="184"/>
      <c r="CD285" s="184"/>
      <c r="CE285" s="184"/>
      <c r="CF285" s="184"/>
      <c r="CG285" s="184"/>
      <c r="CH285" s="184"/>
      <c r="CI285" s="184"/>
      <c r="CJ285" s="184"/>
      <c r="CK285" s="184"/>
      <c r="CL285" s="184"/>
      <c r="CM285" s="184"/>
      <c r="CN285" s="184"/>
      <c r="CO285" s="184"/>
      <c r="CP285" s="184"/>
      <c r="CQ285" s="184"/>
      <c r="CR285" s="184"/>
      <c r="CS285" s="184"/>
      <c r="CT285" s="184"/>
      <c r="CU285" s="184"/>
      <c r="CV285" s="184"/>
      <c r="CW285" s="184"/>
      <c r="CX285" s="184"/>
      <c r="CY285" s="184"/>
      <c r="CZ285" s="184"/>
      <c r="DA285" s="184"/>
      <c r="DB285" s="184"/>
      <c r="DC285" s="184"/>
      <c r="DD285" s="184"/>
      <c r="DE285" s="184"/>
      <c r="DF285" s="184"/>
      <c r="DG285" s="184"/>
      <c r="DH285" s="184"/>
      <c r="DI285" s="184"/>
      <c r="DJ285" s="184"/>
      <c r="DK285" s="184"/>
      <c r="DL285" s="184"/>
      <c r="DM285" s="184"/>
      <c r="DN285" s="184"/>
      <c r="DO285" s="184"/>
      <c r="DP285" s="184"/>
      <c r="DQ285" s="184"/>
      <c r="DR285" s="184"/>
      <c r="DS285" s="184"/>
      <c r="DT285" s="184"/>
      <c r="DU285" s="184"/>
      <c r="DV285" s="184"/>
      <c r="DW285" s="184"/>
      <c r="DX285" s="184"/>
      <c r="DY285" s="184"/>
      <c r="DZ285" s="184"/>
      <c r="EA285" s="184"/>
      <c r="EB285" s="184"/>
      <c r="EC285" s="184"/>
      <c r="ED285" s="184"/>
      <c r="EE285" s="184"/>
      <c r="EF285" s="184"/>
      <c r="EG285" s="184"/>
      <c r="EH285" s="184"/>
    </row>
    <row r="286" spans="1:138" ht="29.25">
      <c r="A286" s="185"/>
      <c r="B286" s="179"/>
      <c r="C286" s="179"/>
      <c r="D286" s="192"/>
      <c r="E286" s="191" t="s">
        <v>575</v>
      </c>
      <c r="F286" s="39"/>
      <c r="G286" s="27" t="s">
        <v>113</v>
      </c>
      <c r="H286" s="169" t="s">
        <v>472</v>
      </c>
      <c r="I286" s="33"/>
      <c r="J286" s="33"/>
      <c r="K286" s="4" t="s">
        <v>52</v>
      </c>
      <c r="L286" s="35" t="s">
        <v>53</v>
      </c>
      <c r="M286" s="179"/>
      <c r="N286" s="179"/>
      <c r="O286" s="186"/>
      <c r="P286" s="182"/>
      <c r="Q286" s="182"/>
      <c r="R286" s="182"/>
      <c r="S286" s="183"/>
      <c r="T286" s="183"/>
      <c r="U286" s="183"/>
      <c r="V286" s="183"/>
      <c r="W286" s="183"/>
      <c r="X286" s="184"/>
      <c r="Y286" s="184"/>
      <c r="Z286" s="184"/>
      <c r="AA286" s="184"/>
      <c r="AB286" s="184"/>
      <c r="AC286" s="184"/>
      <c r="AD286" s="184"/>
      <c r="AE286" s="184"/>
      <c r="AF286" s="184"/>
      <c r="AG286" s="184"/>
      <c r="AH286" s="184"/>
      <c r="AI286" s="184"/>
      <c r="AJ286" s="184"/>
      <c r="AK286" s="184"/>
      <c r="AL286" s="184"/>
      <c r="AM286" s="184"/>
      <c r="AN286" s="184"/>
      <c r="AO286" s="184"/>
      <c r="AP286" s="184"/>
      <c r="AQ286" s="184"/>
      <c r="AR286" s="184"/>
      <c r="AS286" s="184"/>
      <c r="AT286" s="184"/>
      <c r="AU286" s="184"/>
      <c r="AV286" s="184"/>
      <c r="AW286" s="184"/>
      <c r="AX286" s="184"/>
      <c r="AY286" s="184"/>
      <c r="AZ286" s="184"/>
      <c r="BA286" s="184"/>
      <c r="BB286" s="184"/>
      <c r="BC286" s="184"/>
      <c r="BD286" s="184"/>
      <c r="BE286" s="184"/>
      <c r="BF286" s="184"/>
      <c r="BG286" s="184"/>
      <c r="BH286" s="184"/>
      <c r="BI286" s="184"/>
      <c r="BJ286" s="184"/>
      <c r="BK286" s="184"/>
      <c r="BL286" s="184"/>
      <c r="BM286" s="184"/>
      <c r="BN286" s="184"/>
      <c r="BO286" s="184"/>
      <c r="BP286" s="184"/>
      <c r="BQ286" s="184"/>
      <c r="BR286" s="184"/>
      <c r="BS286" s="184"/>
      <c r="BT286" s="184"/>
      <c r="BU286" s="184"/>
      <c r="BV286" s="184"/>
      <c r="BW286" s="184"/>
      <c r="BX286" s="184"/>
      <c r="BY286" s="184"/>
      <c r="BZ286" s="184"/>
      <c r="CA286" s="184"/>
      <c r="CB286" s="184"/>
      <c r="CC286" s="184"/>
      <c r="CD286" s="184"/>
      <c r="CE286" s="184"/>
      <c r="CF286" s="184"/>
      <c r="CG286" s="184"/>
      <c r="CH286" s="184"/>
      <c r="CI286" s="184"/>
      <c r="CJ286" s="184"/>
      <c r="CK286" s="184"/>
      <c r="CL286" s="184"/>
      <c r="CM286" s="184"/>
      <c r="CN286" s="184"/>
      <c r="CO286" s="184"/>
      <c r="CP286" s="184"/>
      <c r="CQ286" s="184"/>
      <c r="CR286" s="184"/>
      <c r="CS286" s="184"/>
      <c r="CT286" s="184"/>
      <c r="CU286" s="184"/>
      <c r="CV286" s="184"/>
      <c r="CW286" s="184"/>
      <c r="CX286" s="184"/>
      <c r="CY286" s="184"/>
      <c r="CZ286" s="184"/>
      <c r="DA286" s="184"/>
      <c r="DB286" s="184"/>
      <c r="DC286" s="184"/>
      <c r="DD286" s="184"/>
      <c r="DE286" s="184"/>
      <c r="DF286" s="184"/>
      <c r="DG286" s="184"/>
      <c r="DH286" s="184"/>
      <c r="DI286" s="184"/>
      <c r="DJ286" s="184"/>
      <c r="DK286" s="184"/>
      <c r="DL286" s="184"/>
      <c r="DM286" s="184"/>
      <c r="DN286" s="184"/>
      <c r="DO286" s="184"/>
      <c r="DP286" s="184"/>
      <c r="DQ286" s="184"/>
      <c r="DR286" s="184"/>
      <c r="DS286" s="184"/>
      <c r="DT286" s="184"/>
      <c r="DU286" s="184"/>
      <c r="DV286" s="184"/>
      <c r="DW286" s="184"/>
      <c r="DX286" s="184"/>
      <c r="DY286" s="184"/>
      <c r="DZ286" s="184"/>
      <c r="EA286" s="184"/>
      <c r="EB286" s="184"/>
      <c r="EC286" s="184"/>
      <c r="ED286" s="184"/>
      <c r="EE286" s="184"/>
      <c r="EF286" s="184"/>
      <c r="EG286" s="184"/>
      <c r="EH286" s="184"/>
    </row>
    <row r="287" spans="1:138">
      <c r="A287" s="185"/>
      <c r="B287" s="179"/>
      <c r="C287" s="179"/>
      <c r="D287" s="192"/>
      <c r="E287" s="192"/>
      <c r="F287" s="39"/>
      <c r="G287" s="32" t="s">
        <v>566</v>
      </c>
      <c r="H287" s="169" t="s">
        <v>472</v>
      </c>
      <c r="I287" s="18"/>
      <c r="J287" s="33"/>
      <c r="K287" s="8" t="s">
        <v>567</v>
      </c>
      <c r="L287" s="35" t="s">
        <v>53</v>
      </c>
      <c r="M287" s="179"/>
      <c r="N287" s="179"/>
      <c r="O287" s="186"/>
      <c r="P287" s="182"/>
      <c r="Q287" s="182"/>
      <c r="R287" s="182"/>
      <c r="S287" s="183"/>
      <c r="T287" s="183"/>
      <c r="U287" s="183"/>
      <c r="V287" s="183"/>
      <c r="W287" s="183"/>
      <c r="X287" s="184"/>
      <c r="Y287" s="184"/>
      <c r="Z287" s="184"/>
      <c r="AA287" s="184"/>
      <c r="AB287" s="184"/>
      <c r="AC287" s="184"/>
      <c r="AD287" s="184"/>
      <c r="AE287" s="184"/>
      <c r="AF287" s="184"/>
      <c r="AG287" s="184"/>
      <c r="AH287" s="184"/>
      <c r="AI287" s="184"/>
      <c r="AJ287" s="184"/>
      <c r="AK287" s="184"/>
      <c r="AL287" s="184"/>
      <c r="AM287" s="184"/>
      <c r="AN287" s="184"/>
      <c r="AO287" s="184"/>
      <c r="AP287" s="184"/>
      <c r="AQ287" s="184"/>
      <c r="AR287" s="184"/>
      <c r="AS287" s="184"/>
      <c r="AT287" s="184"/>
      <c r="AU287" s="184"/>
      <c r="AV287" s="184"/>
      <c r="AW287" s="184"/>
      <c r="AX287" s="184"/>
      <c r="AY287" s="184"/>
      <c r="AZ287" s="184"/>
      <c r="BA287" s="184"/>
      <c r="BB287" s="184"/>
      <c r="BC287" s="184"/>
      <c r="BD287" s="184"/>
      <c r="BE287" s="184"/>
      <c r="BF287" s="184"/>
      <c r="BG287" s="184"/>
      <c r="BH287" s="184"/>
      <c r="BI287" s="184"/>
      <c r="BJ287" s="184"/>
      <c r="BK287" s="184"/>
      <c r="BL287" s="184"/>
      <c r="BM287" s="184"/>
      <c r="BN287" s="184"/>
      <c r="BO287" s="184"/>
      <c r="BP287" s="184"/>
      <c r="BQ287" s="184"/>
      <c r="BR287" s="184"/>
      <c r="BS287" s="184"/>
      <c r="BT287" s="184"/>
      <c r="BU287" s="184"/>
      <c r="BV287" s="184"/>
      <c r="BW287" s="184"/>
      <c r="BX287" s="184"/>
      <c r="BY287" s="184"/>
      <c r="BZ287" s="184"/>
      <c r="CA287" s="184"/>
      <c r="CB287" s="184"/>
      <c r="CC287" s="184"/>
      <c r="CD287" s="184"/>
      <c r="CE287" s="184"/>
      <c r="CF287" s="184"/>
      <c r="CG287" s="184"/>
      <c r="CH287" s="184"/>
      <c r="CI287" s="184"/>
      <c r="CJ287" s="184"/>
      <c r="CK287" s="184"/>
      <c r="CL287" s="184"/>
      <c r="CM287" s="184"/>
      <c r="CN287" s="184"/>
      <c r="CO287" s="184"/>
      <c r="CP287" s="184"/>
      <c r="CQ287" s="184"/>
      <c r="CR287" s="184"/>
      <c r="CS287" s="184"/>
      <c r="CT287" s="184"/>
      <c r="CU287" s="184"/>
      <c r="CV287" s="184"/>
      <c r="CW287" s="184"/>
      <c r="CX287" s="184"/>
      <c r="CY287" s="184"/>
      <c r="CZ287" s="184"/>
      <c r="DA287" s="184"/>
      <c r="DB287" s="184"/>
      <c r="DC287" s="184"/>
      <c r="DD287" s="184"/>
      <c r="DE287" s="184"/>
      <c r="DF287" s="184"/>
      <c r="DG287" s="184"/>
      <c r="DH287" s="184"/>
      <c r="DI287" s="184"/>
      <c r="DJ287" s="184"/>
      <c r="DK287" s="184"/>
      <c r="DL287" s="184"/>
      <c r="DM287" s="184"/>
      <c r="DN287" s="184"/>
      <c r="DO287" s="184"/>
      <c r="DP287" s="184"/>
      <c r="DQ287" s="184"/>
      <c r="DR287" s="184"/>
      <c r="DS287" s="184"/>
      <c r="DT287" s="184"/>
      <c r="DU287" s="184"/>
      <c r="DV287" s="184"/>
      <c r="DW287" s="184"/>
      <c r="DX287" s="184"/>
      <c r="DY287" s="184"/>
      <c r="DZ287" s="184"/>
      <c r="EA287" s="184"/>
      <c r="EB287" s="184"/>
      <c r="EC287" s="184"/>
      <c r="ED287" s="184"/>
      <c r="EE287" s="184"/>
      <c r="EF287" s="184"/>
      <c r="EG287" s="184"/>
      <c r="EH287" s="184"/>
    </row>
    <row r="288" spans="1:138" ht="29.25">
      <c r="A288" s="185"/>
      <c r="B288" s="179"/>
      <c r="C288" s="179"/>
      <c r="D288" s="192"/>
      <c r="E288" s="193"/>
      <c r="F288" s="39"/>
      <c r="G288" s="32" t="s">
        <v>578</v>
      </c>
      <c r="H288" s="170" t="s">
        <v>488</v>
      </c>
      <c r="I288" s="18"/>
      <c r="J288" s="33"/>
      <c r="K288" s="8" t="s">
        <v>579</v>
      </c>
      <c r="L288" s="35" t="s">
        <v>53</v>
      </c>
      <c r="M288" s="179"/>
      <c r="N288" s="179"/>
      <c r="O288" s="186"/>
      <c r="P288" s="182"/>
      <c r="Q288" s="182"/>
      <c r="R288" s="182"/>
      <c r="S288" s="183"/>
      <c r="T288" s="183"/>
      <c r="U288" s="183"/>
      <c r="V288" s="183"/>
      <c r="W288" s="183"/>
      <c r="X288" s="184"/>
      <c r="Y288" s="184"/>
      <c r="Z288" s="184"/>
      <c r="AA288" s="184"/>
      <c r="AB288" s="184"/>
      <c r="AC288" s="184"/>
      <c r="AD288" s="184"/>
      <c r="AE288" s="184"/>
      <c r="AF288" s="184"/>
      <c r="AG288" s="184"/>
      <c r="AH288" s="184"/>
      <c r="AI288" s="184"/>
      <c r="AJ288" s="184"/>
      <c r="AK288" s="184"/>
      <c r="AL288" s="184"/>
      <c r="AM288" s="184"/>
      <c r="AN288" s="184"/>
      <c r="AO288" s="184"/>
      <c r="AP288" s="184"/>
      <c r="AQ288" s="184"/>
      <c r="AR288" s="184"/>
      <c r="AS288" s="184"/>
      <c r="AT288" s="184"/>
      <c r="AU288" s="184"/>
      <c r="AV288" s="184"/>
      <c r="AW288" s="184"/>
      <c r="AX288" s="184"/>
      <c r="AY288" s="184"/>
      <c r="AZ288" s="184"/>
      <c r="BA288" s="184"/>
      <c r="BB288" s="184"/>
      <c r="BC288" s="184"/>
      <c r="BD288" s="184"/>
      <c r="BE288" s="184"/>
      <c r="BF288" s="184"/>
      <c r="BG288" s="184"/>
      <c r="BH288" s="184"/>
      <c r="BI288" s="184"/>
      <c r="BJ288" s="184"/>
      <c r="BK288" s="184"/>
      <c r="BL288" s="184"/>
      <c r="BM288" s="184"/>
      <c r="BN288" s="184"/>
      <c r="BO288" s="184"/>
      <c r="BP288" s="184"/>
      <c r="BQ288" s="184"/>
      <c r="BR288" s="184"/>
      <c r="BS288" s="184"/>
      <c r="BT288" s="184"/>
      <c r="BU288" s="184"/>
      <c r="BV288" s="184"/>
      <c r="BW288" s="184"/>
      <c r="BX288" s="184"/>
      <c r="BY288" s="184"/>
      <c r="BZ288" s="184"/>
      <c r="CA288" s="184"/>
      <c r="CB288" s="184"/>
      <c r="CC288" s="184"/>
      <c r="CD288" s="184"/>
      <c r="CE288" s="184"/>
      <c r="CF288" s="184"/>
      <c r="CG288" s="184"/>
      <c r="CH288" s="184"/>
      <c r="CI288" s="184"/>
      <c r="CJ288" s="184"/>
      <c r="CK288" s="184"/>
      <c r="CL288" s="184"/>
      <c r="CM288" s="184"/>
      <c r="CN288" s="184"/>
      <c r="CO288" s="184"/>
      <c r="CP288" s="184"/>
      <c r="CQ288" s="184"/>
      <c r="CR288" s="184"/>
      <c r="CS288" s="184"/>
      <c r="CT288" s="184"/>
      <c r="CU288" s="184"/>
      <c r="CV288" s="184"/>
      <c r="CW288" s="184"/>
      <c r="CX288" s="184"/>
      <c r="CY288" s="184"/>
      <c r="CZ288" s="184"/>
      <c r="DA288" s="184"/>
      <c r="DB288" s="184"/>
      <c r="DC288" s="184"/>
      <c r="DD288" s="184"/>
      <c r="DE288" s="184"/>
      <c r="DF288" s="184"/>
      <c r="DG288" s="184"/>
      <c r="DH288" s="184"/>
      <c r="DI288" s="184"/>
      <c r="DJ288" s="184"/>
      <c r="DK288" s="184"/>
      <c r="DL288" s="184"/>
      <c r="DM288" s="184"/>
      <c r="DN288" s="184"/>
      <c r="DO288" s="184"/>
      <c r="DP288" s="184"/>
      <c r="DQ288" s="184"/>
      <c r="DR288" s="184"/>
      <c r="DS288" s="184"/>
      <c r="DT288" s="184"/>
      <c r="DU288" s="184"/>
      <c r="DV288" s="184"/>
      <c r="DW288" s="184"/>
      <c r="DX288" s="184"/>
      <c r="DY288" s="184"/>
      <c r="DZ288" s="184"/>
      <c r="EA288" s="184"/>
      <c r="EB288" s="184"/>
      <c r="EC288" s="184"/>
      <c r="ED288" s="184"/>
      <c r="EE288" s="184"/>
      <c r="EF288" s="184"/>
      <c r="EG288" s="184"/>
      <c r="EH288" s="184"/>
    </row>
    <row r="289" spans="1:138">
      <c r="A289" s="185"/>
      <c r="B289" s="179"/>
      <c r="C289" s="179"/>
      <c r="D289" s="192"/>
      <c r="E289" s="191" t="s">
        <v>581</v>
      </c>
      <c r="F289" s="39"/>
      <c r="G289" s="27" t="s">
        <v>113</v>
      </c>
      <c r="H289" s="169" t="s">
        <v>472</v>
      </c>
      <c r="I289" s="18"/>
      <c r="J289" s="33"/>
      <c r="K289" s="21" t="s">
        <v>150</v>
      </c>
      <c r="L289" s="35" t="s">
        <v>53</v>
      </c>
      <c r="M289" s="179"/>
      <c r="N289" s="179"/>
      <c r="O289" s="186"/>
      <c r="P289" s="182"/>
      <c r="Q289" s="182"/>
      <c r="R289" s="182"/>
      <c r="S289" s="183"/>
      <c r="T289" s="183"/>
      <c r="U289" s="183"/>
      <c r="V289" s="183"/>
      <c r="W289" s="183"/>
      <c r="X289" s="184"/>
      <c r="Y289" s="184"/>
      <c r="Z289" s="184"/>
      <c r="AA289" s="184"/>
      <c r="AB289" s="184"/>
      <c r="AC289" s="184"/>
      <c r="AD289" s="184"/>
      <c r="AE289" s="184"/>
      <c r="AF289" s="184"/>
      <c r="AG289" s="184"/>
      <c r="AH289" s="184"/>
      <c r="AI289" s="184"/>
      <c r="AJ289" s="184"/>
      <c r="AK289" s="184"/>
      <c r="AL289" s="184"/>
      <c r="AM289" s="184"/>
      <c r="AN289" s="184"/>
      <c r="AO289" s="184"/>
      <c r="AP289" s="184"/>
      <c r="AQ289" s="184"/>
      <c r="AR289" s="184"/>
      <c r="AS289" s="184"/>
      <c r="AT289" s="184"/>
      <c r="AU289" s="184"/>
      <c r="AV289" s="184"/>
      <c r="AW289" s="184"/>
      <c r="AX289" s="184"/>
      <c r="AY289" s="184"/>
      <c r="AZ289" s="184"/>
      <c r="BA289" s="184"/>
      <c r="BB289" s="184"/>
      <c r="BC289" s="184"/>
      <c r="BD289" s="184"/>
      <c r="BE289" s="184"/>
      <c r="BF289" s="184"/>
      <c r="BG289" s="184"/>
      <c r="BH289" s="184"/>
      <c r="BI289" s="184"/>
      <c r="BJ289" s="184"/>
      <c r="BK289" s="184"/>
      <c r="BL289" s="184"/>
      <c r="BM289" s="184"/>
      <c r="BN289" s="184"/>
      <c r="BO289" s="184"/>
      <c r="BP289" s="184"/>
      <c r="BQ289" s="184"/>
      <c r="BR289" s="184"/>
      <c r="BS289" s="184"/>
      <c r="BT289" s="184"/>
      <c r="BU289" s="184"/>
      <c r="BV289" s="184"/>
      <c r="BW289" s="184"/>
      <c r="BX289" s="184"/>
      <c r="BY289" s="184"/>
      <c r="BZ289" s="184"/>
      <c r="CA289" s="184"/>
      <c r="CB289" s="184"/>
      <c r="CC289" s="184"/>
      <c r="CD289" s="184"/>
      <c r="CE289" s="184"/>
      <c r="CF289" s="184"/>
      <c r="CG289" s="184"/>
      <c r="CH289" s="184"/>
      <c r="CI289" s="184"/>
      <c r="CJ289" s="184"/>
      <c r="CK289" s="184"/>
      <c r="CL289" s="184"/>
      <c r="CM289" s="184"/>
      <c r="CN289" s="184"/>
      <c r="CO289" s="184"/>
      <c r="CP289" s="184"/>
      <c r="CQ289" s="184"/>
      <c r="CR289" s="184"/>
      <c r="CS289" s="184"/>
      <c r="CT289" s="184"/>
      <c r="CU289" s="184"/>
      <c r="CV289" s="184"/>
      <c r="CW289" s="184"/>
      <c r="CX289" s="184"/>
      <c r="CY289" s="184"/>
      <c r="CZ289" s="184"/>
      <c r="DA289" s="184"/>
      <c r="DB289" s="184"/>
      <c r="DC289" s="184"/>
      <c r="DD289" s="184"/>
      <c r="DE289" s="184"/>
      <c r="DF289" s="184"/>
      <c r="DG289" s="184"/>
      <c r="DH289" s="184"/>
      <c r="DI289" s="184"/>
      <c r="DJ289" s="184"/>
      <c r="DK289" s="184"/>
      <c r="DL289" s="184"/>
      <c r="DM289" s="184"/>
      <c r="DN289" s="184"/>
      <c r="DO289" s="184"/>
      <c r="DP289" s="184"/>
      <c r="DQ289" s="184"/>
      <c r="DR289" s="184"/>
      <c r="DS289" s="184"/>
      <c r="DT289" s="184"/>
      <c r="DU289" s="184"/>
      <c r="DV289" s="184"/>
      <c r="DW289" s="184"/>
      <c r="DX289" s="184"/>
      <c r="DY289" s="184"/>
      <c r="DZ289" s="184"/>
      <c r="EA289" s="184"/>
      <c r="EB289" s="184"/>
      <c r="EC289" s="184"/>
      <c r="ED289" s="184"/>
      <c r="EE289" s="184"/>
      <c r="EF289" s="184"/>
      <c r="EG289" s="184"/>
      <c r="EH289" s="184"/>
    </row>
    <row r="290" spans="1:138" ht="29.25">
      <c r="A290" s="185"/>
      <c r="B290" s="179"/>
      <c r="C290" s="179"/>
      <c r="D290" s="193"/>
      <c r="E290" s="193"/>
      <c r="F290" s="39"/>
      <c r="G290" s="32" t="s">
        <v>566</v>
      </c>
      <c r="H290" s="170" t="s">
        <v>488</v>
      </c>
      <c r="I290" s="18"/>
      <c r="J290" s="33"/>
      <c r="K290" s="8" t="s">
        <v>583</v>
      </c>
      <c r="L290" s="35" t="s">
        <v>53</v>
      </c>
      <c r="M290" s="179"/>
      <c r="N290" s="179"/>
      <c r="O290" s="186"/>
      <c r="P290" s="182"/>
      <c r="Q290" s="182"/>
      <c r="R290" s="182"/>
      <c r="S290" s="183"/>
      <c r="T290" s="183"/>
      <c r="U290" s="183"/>
      <c r="V290" s="183"/>
      <c r="W290" s="183"/>
      <c r="X290" s="184"/>
      <c r="Y290" s="184"/>
      <c r="Z290" s="184"/>
      <c r="AA290" s="184"/>
      <c r="AB290" s="184"/>
      <c r="AC290" s="184"/>
      <c r="AD290" s="184"/>
      <c r="AE290" s="184"/>
      <c r="AF290" s="184"/>
      <c r="AG290" s="184"/>
      <c r="AH290" s="184"/>
      <c r="AI290" s="184"/>
      <c r="AJ290" s="184"/>
      <c r="AK290" s="184"/>
      <c r="AL290" s="184"/>
      <c r="AM290" s="184"/>
      <c r="AN290" s="184"/>
      <c r="AO290" s="184"/>
      <c r="AP290" s="184"/>
      <c r="AQ290" s="184"/>
      <c r="AR290" s="184"/>
      <c r="AS290" s="184"/>
      <c r="AT290" s="184"/>
      <c r="AU290" s="184"/>
      <c r="AV290" s="184"/>
      <c r="AW290" s="184"/>
      <c r="AX290" s="184"/>
      <c r="AY290" s="184"/>
      <c r="AZ290" s="184"/>
      <c r="BA290" s="184"/>
      <c r="BB290" s="184"/>
      <c r="BC290" s="184"/>
      <c r="BD290" s="184"/>
      <c r="BE290" s="184"/>
      <c r="BF290" s="184"/>
      <c r="BG290" s="184"/>
      <c r="BH290" s="184"/>
      <c r="BI290" s="184"/>
      <c r="BJ290" s="184"/>
      <c r="BK290" s="184"/>
      <c r="BL290" s="184"/>
      <c r="BM290" s="184"/>
      <c r="BN290" s="184"/>
      <c r="BO290" s="184"/>
      <c r="BP290" s="184"/>
      <c r="BQ290" s="184"/>
      <c r="BR290" s="184"/>
      <c r="BS290" s="184"/>
      <c r="BT290" s="184"/>
      <c r="BU290" s="184"/>
      <c r="BV290" s="184"/>
      <c r="BW290" s="184"/>
      <c r="BX290" s="184"/>
      <c r="BY290" s="184"/>
      <c r="BZ290" s="184"/>
      <c r="CA290" s="184"/>
      <c r="CB290" s="184"/>
      <c r="CC290" s="184"/>
      <c r="CD290" s="184"/>
      <c r="CE290" s="184"/>
      <c r="CF290" s="184"/>
      <c r="CG290" s="184"/>
      <c r="CH290" s="184"/>
      <c r="CI290" s="184"/>
      <c r="CJ290" s="184"/>
      <c r="CK290" s="184"/>
      <c r="CL290" s="184"/>
      <c r="CM290" s="184"/>
      <c r="CN290" s="184"/>
      <c r="CO290" s="184"/>
      <c r="CP290" s="184"/>
      <c r="CQ290" s="184"/>
      <c r="CR290" s="184"/>
      <c r="CS290" s="184"/>
      <c r="CT290" s="184"/>
      <c r="CU290" s="184"/>
      <c r="CV290" s="184"/>
      <c r="CW290" s="184"/>
      <c r="CX290" s="184"/>
      <c r="CY290" s="184"/>
      <c r="CZ290" s="184"/>
      <c r="DA290" s="184"/>
      <c r="DB290" s="184"/>
      <c r="DC290" s="184"/>
      <c r="DD290" s="184"/>
      <c r="DE290" s="184"/>
      <c r="DF290" s="184"/>
      <c r="DG290" s="184"/>
      <c r="DH290" s="184"/>
      <c r="DI290" s="184"/>
      <c r="DJ290" s="184"/>
      <c r="DK290" s="184"/>
      <c r="DL290" s="184"/>
      <c r="DM290" s="184"/>
      <c r="DN290" s="184"/>
      <c r="DO290" s="184"/>
      <c r="DP290" s="184"/>
      <c r="DQ290" s="184"/>
      <c r="DR290" s="184"/>
      <c r="DS290" s="184"/>
      <c r="DT290" s="184"/>
      <c r="DU290" s="184"/>
      <c r="DV290" s="184"/>
      <c r="DW290" s="184"/>
      <c r="DX290" s="184"/>
      <c r="DY290" s="184"/>
      <c r="DZ290" s="184"/>
      <c r="EA290" s="184"/>
      <c r="EB290" s="184"/>
      <c r="EC290" s="184"/>
      <c r="ED290" s="184"/>
      <c r="EE290" s="184"/>
      <c r="EF290" s="184"/>
      <c r="EG290" s="184"/>
      <c r="EH290" s="184"/>
    </row>
    <row r="291" spans="1:138" ht="15" customHeight="1">
      <c r="A291" s="185"/>
      <c r="B291" s="179"/>
      <c r="C291" s="179"/>
      <c r="D291" s="188" t="s">
        <v>585</v>
      </c>
      <c r="E291" s="188" t="s">
        <v>586</v>
      </c>
      <c r="F291" s="27"/>
      <c r="G291" s="13" t="s">
        <v>587</v>
      </c>
      <c r="H291" s="169" t="s">
        <v>472</v>
      </c>
      <c r="I291" s="85"/>
      <c r="J291" s="33"/>
      <c r="K291" s="21" t="s">
        <v>150</v>
      </c>
      <c r="L291" s="35" t="s">
        <v>53</v>
      </c>
      <c r="M291" s="179"/>
      <c r="N291" s="179"/>
      <c r="O291" s="186"/>
      <c r="P291" s="182"/>
      <c r="Q291" s="182"/>
      <c r="R291" s="182"/>
      <c r="S291" s="183"/>
      <c r="T291" s="183"/>
      <c r="U291" s="183"/>
      <c r="V291" s="183"/>
      <c r="W291" s="183"/>
      <c r="X291" s="184"/>
      <c r="Y291" s="184"/>
      <c r="Z291" s="184"/>
      <c r="AA291" s="184"/>
      <c r="AB291" s="184"/>
      <c r="AC291" s="184"/>
      <c r="AD291" s="184"/>
      <c r="AE291" s="184"/>
      <c r="AF291" s="184"/>
      <c r="AG291" s="184"/>
      <c r="AH291" s="184"/>
      <c r="AI291" s="184"/>
      <c r="AJ291" s="184"/>
      <c r="AK291" s="184"/>
      <c r="AL291" s="184"/>
      <c r="AM291" s="184"/>
      <c r="AN291" s="184"/>
      <c r="AO291" s="184"/>
      <c r="AP291" s="184"/>
      <c r="AQ291" s="184"/>
      <c r="AR291" s="184"/>
      <c r="AS291" s="184"/>
      <c r="AT291" s="184"/>
      <c r="AU291" s="184"/>
      <c r="AV291" s="184"/>
      <c r="AW291" s="184"/>
      <c r="AX291" s="184"/>
      <c r="AY291" s="184"/>
      <c r="AZ291" s="184"/>
      <c r="BA291" s="184"/>
      <c r="BB291" s="184"/>
      <c r="BC291" s="184"/>
      <c r="BD291" s="184"/>
      <c r="BE291" s="184"/>
      <c r="BF291" s="184"/>
      <c r="BG291" s="184"/>
      <c r="BH291" s="184"/>
      <c r="BI291" s="184"/>
      <c r="BJ291" s="184"/>
      <c r="BK291" s="184"/>
      <c r="BL291" s="184"/>
      <c r="BM291" s="184"/>
      <c r="BN291" s="184"/>
      <c r="BO291" s="184"/>
      <c r="BP291" s="184"/>
      <c r="BQ291" s="184"/>
      <c r="BR291" s="184"/>
      <c r="BS291" s="184"/>
      <c r="BT291" s="184"/>
      <c r="BU291" s="184"/>
      <c r="BV291" s="184"/>
      <c r="BW291" s="184"/>
      <c r="BX291" s="184"/>
      <c r="BY291" s="184"/>
      <c r="BZ291" s="184"/>
      <c r="CA291" s="184"/>
      <c r="CB291" s="184"/>
      <c r="CC291" s="184"/>
      <c r="CD291" s="184"/>
      <c r="CE291" s="184"/>
      <c r="CF291" s="184"/>
      <c r="CG291" s="184"/>
      <c r="CH291" s="184"/>
      <c r="CI291" s="184"/>
      <c r="CJ291" s="184"/>
      <c r="CK291" s="184"/>
      <c r="CL291" s="184"/>
      <c r="CM291" s="184"/>
      <c r="CN291" s="184"/>
      <c r="CO291" s="184"/>
      <c r="CP291" s="184"/>
      <c r="CQ291" s="184"/>
      <c r="CR291" s="184"/>
      <c r="CS291" s="184"/>
      <c r="CT291" s="184"/>
      <c r="CU291" s="184"/>
      <c r="CV291" s="184"/>
      <c r="CW291" s="184"/>
      <c r="CX291" s="184"/>
      <c r="CY291" s="184"/>
      <c r="CZ291" s="184"/>
      <c r="DA291" s="184"/>
      <c r="DB291" s="184"/>
      <c r="DC291" s="184"/>
      <c r="DD291" s="184"/>
      <c r="DE291" s="184"/>
      <c r="DF291" s="184"/>
      <c r="DG291" s="184"/>
      <c r="DH291" s="184"/>
      <c r="DI291" s="184"/>
      <c r="DJ291" s="184"/>
      <c r="DK291" s="184"/>
      <c r="DL291" s="184"/>
      <c r="DM291" s="184"/>
      <c r="DN291" s="184"/>
      <c r="DO291" s="184"/>
      <c r="DP291" s="184"/>
      <c r="DQ291" s="184"/>
      <c r="DR291" s="184"/>
      <c r="DS291" s="184"/>
      <c r="DT291" s="184"/>
      <c r="DU291" s="184"/>
      <c r="DV291" s="184"/>
      <c r="DW291" s="184"/>
      <c r="DX291" s="184"/>
      <c r="DY291" s="184"/>
      <c r="DZ291" s="184"/>
      <c r="EA291" s="184"/>
      <c r="EB291" s="184"/>
      <c r="EC291" s="184"/>
      <c r="ED291" s="184"/>
      <c r="EE291" s="184"/>
      <c r="EF291" s="184"/>
      <c r="EG291" s="184"/>
      <c r="EH291" s="184"/>
    </row>
    <row r="292" spans="1:138">
      <c r="A292" s="185"/>
      <c r="B292" s="179"/>
      <c r="C292" s="179"/>
      <c r="D292" s="189"/>
      <c r="E292" s="189"/>
      <c r="F292" s="27"/>
      <c r="G292" s="13" t="s">
        <v>591</v>
      </c>
      <c r="H292" s="170" t="s">
        <v>488</v>
      </c>
      <c r="I292" s="85"/>
      <c r="J292" s="33"/>
      <c r="K292" s="21" t="s">
        <v>152</v>
      </c>
      <c r="L292" s="35" t="s">
        <v>53</v>
      </c>
      <c r="M292" s="179"/>
      <c r="N292" s="179"/>
      <c r="O292" s="186"/>
      <c r="P292" s="182"/>
      <c r="Q292" s="182"/>
      <c r="R292" s="182"/>
      <c r="S292" s="183"/>
      <c r="T292" s="183"/>
      <c r="U292" s="183"/>
      <c r="V292" s="183"/>
      <c r="W292" s="183"/>
      <c r="X292" s="184"/>
      <c r="Y292" s="184"/>
      <c r="Z292" s="184"/>
      <c r="AA292" s="184"/>
      <c r="AB292" s="184"/>
      <c r="AC292" s="184"/>
      <c r="AD292" s="184"/>
      <c r="AE292" s="184"/>
      <c r="AF292" s="184"/>
      <c r="AG292" s="184"/>
      <c r="AH292" s="184"/>
      <c r="AI292" s="184"/>
      <c r="AJ292" s="184"/>
      <c r="AK292" s="184"/>
      <c r="AL292" s="184"/>
      <c r="AM292" s="184"/>
      <c r="AN292" s="184"/>
      <c r="AO292" s="184"/>
      <c r="AP292" s="184"/>
      <c r="AQ292" s="184"/>
      <c r="AR292" s="184"/>
      <c r="AS292" s="184"/>
      <c r="AT292" s="184"/>
      <c r="AU292" s="184"/>
      <c r="AV292" s="184"/>
      <c r="AW292" s="184"/>
      <c r="AX292" s="184"/>
      <c r="AY292" s="184"/>
      <c r="AZ292" s="184"/>
      <c r="BA292" s="184"/>
      <c r="BB292" s="184"/>
      <c r="BC292" s="184"/>
      <c r="BD292" s="184"/>
      <c r="BE292" s="184"/>
      <c r="BF292" s="184"/>
      <c r="BG292" s="184"/>
      <c r="BH292" s="184"/>
      <c r="BI292" s="184"/>
      <c r="BJ292" s="184"/>
      <c r="BK292" s="184"/>
      <c r="BL292" s="184"/>
      <c r="BM292" s="184"/>
      <c r="BN292" s="184"/>
      <c r="BO292" s="184"/>
      <c r="BP292" s="184"/>
      <c r="BQ292" s="184"/>
      <c r="BR292" s="184"/>
      <c r="BS292" s="184"/>
      <c r="BT292" s="184"/>
      <c r="BU292" s="184"/>
      <c r="BV292" s="184"/>
      <c r="BW292" s="184"/>
      <c r="BX292" s="184"/>
      <c r="BY292" s="184"/>
      <c r="BZ292" s="184"/>
      <c r="CA292" s="184"/>
      <c r="CB292" s="184"/>
      <c r="CC292" s="184"/>
      <c r="CD292" s="184"/>
      <c r="CE292" s="184"/>
      <c r="CF292" s="184"/>
      <c r="CG292" s="184"/>
      <c r="CH292" s="184"/>
      <c r="CI292" s="184"/>
      <c r="CJ292" s="184"/>
      <c r="CK292" s="184"/>
      <c r="CL292" s="184"/>
      <c r="CM292" s="184"/>
      <c r="CN292" s="184"/>
      <c r="CO292" s="184"/>
      <c r="CP292" s="184"/>
      <c r="CQ292" s="184"/>
      <c r="CR292" s="184"/>
      <c r="CS292" s="184"/>
      <c r="CT292" s="184"/>
      <c r="CU292" s="184"/>
      <c r="CV292" s="184"/>
      <c r="CW292" s="184"/>
      <c r="CX292" s="184"/>
      <c r="CY292" s="184"/>
      <c r="CZ292" s="184"/>
      <c r="DA292" s="184"/>
      <c r="DB292" s="184"/>
      <c r="DC292" s="184"/>
      <c r="DD292" s="184"/>
      <c r="DE292" s="184"/>
      <c r="DF292" s="184"/>
      <c r="DG292" s="184"/>
      <c r="DH292" s="184"/>
      <c r="DI292" s="184"/>
      <c r="DJ292" s="184"/>
      <c r="DK292" s="184"/>
      <c r="DL292" s="184"/>
      <c r="DM292" s="184"/>
      <c r="DN292" s="184"/>
      <c r="DO292" s="184"/>
      <c r="DP292" s="184"/>
      <c r="DQ292" s="184"/>
      <c r="DR292" s="184"/>
      <c r="DS292" s="184"/>
      <c r="DT292" s="184"/>
      <c r="DU292" s="184"/>
      <c r="DV292" s="184"/>
      <c r="DW292" s="184"/>
      <c r="DX292" s="184"/>
      <c r="DY292" s="184"/>
      <c r="DZ292" s="184"/>
      <c r="EA292" s="184"/>
      <c r="EB292" s="184"/>
      <c r="EC292" s="184"/>
      <c r="ED292" s="184"/>
      <c r="EE292" s="184"/>
      <c r="EF292" s="184"/>
      <c r="EG292" s="184"/>
      <c r="EH292" s="184"/>
    </row>
    <row r="293" spans="1:138">
      <c r="A293" s="185"/>
      <c r="B293" s="179"/>
      <c r="C293" s="179"/>
      <c r="D293" s="189"/>
      <c r="E293" s="190"/>
      <c r="F293" s="27"/>
      <c r="G293" s="13" t="s">
        <v>594</v>
      </c>
      <c r="H293" s="170" t="s">
        <v>488</v>
      </c>
      <c r="I293" s="85"/>
      <c r="J293" s="33"/>
      <c r="K293" s="21" t="s">
        <v>155</v>
      </c>
      <c r="L293" s="35" t="s">
        <v>53</v>
      </c>
      <c r="M293" s="179"/>
      <c r="N293" s="179"/>
      <c r="O293" s="186"/>
      <c r="P293" s="182"/>
      <c r="Q293" s="182"/>
      <c r="R293" s="182"/>
      <c r="S293" s="183"/>
      <c r="T293" s="183"/>
      <c r="U293" s="183"/>
      <c r="V293" s="183"/>
      <c r="W293" s="183"/>
      <c r="X293" s="184"/>
      <c r="Y293" s="184"/>
      <c r="Z293" s="184"/>
      <c r="AA293" s="184"/>
      <c r="AB293" s="184"/>
      <c r="AC293" s="184"/>
      <c r="AD293" s="184"/>
      <c r="AE293" s="184"/>
      <c r="AF293" s="184"/>
      <c r="AG293" s="184"/>
      <c r="AH293" s="184"/>
      <c r="AI293" s="184"/>
      <c r="AJ293" s="184"/>
      <c r="AK293" s="184"/>
      <c r="AL293" s="184"/>
      <c r="AM293" s="184"/>
      <c r="AN293" s="184"/>
      <c r="AO293" s="184"/>
      <c r="AP293" s="184"/>
      <c r="AQ293" s="184"/>
      <c r="AR293" s="184"/>
      <c r="AS293" s="184"/>
      <c r="AT293" s="184"/>
      <c r="AU293" s="184"/>
      <c r="AV293" s="184"/>
      <c r="AW293" s="184"/>
      <c r="AX293" s="184"/>
      <c r="AY293" s="184"/>
      <c r="AZ293" s="184"/>
      <c r="BA293" s="184"/>
      <c r="BB293" s="184"/>
      <c r="BC293" s="184"/>
      <c r="BD293" s="184"/>
      <c r="BE293" s="184"/>
      <c r="BF293" s="184"/>
      <c r="BG293" s="184"/>
      <c r="BH293" s="184"/>
      <c r="BI293" s="184"/>
      <c r="BJ293" s="184"/>
      <c r="BK293" s="184"/>
      <c r="BL293" s="184"/>
      <c r="BM293" s="184"/>
      <c r="BN293" s="184"/>
      <c r="BO293" s="184"/>
      <c r="BP293" s="184"/>
      <c r="BQ293" s="184"/>
      <c r="BR293" s="184"/>
      <c r="BS293" s="184"/>
      <c r="BT293" s="184"/>
      <c r="BU293" s="184"/>
      <c r="BV293" s="184"/>
      <c r="BW293" s="184"/>
      <c r="BX293" s="184"/>
      <c r="BY293" s="184"/>
      <c r="BZ293" s="184"/>
      <c r="CA293" s="184"/>
      <c r="CB293" s="184"/>
      <c r="CC293" s="184"/>
      <c r="CD293" s="184"/>
      <c r="CE293" s="184"/>
      <c r="CF293" s="184"/>
      <c r="CG293" s="184"/>
      <c r="CH293" s="184"/>
      <c r="CI293" s="184"/>
      <c r="CJ293" s="184"/>
      <c r="CK293" s="184"/>
      <c r="CL293" s="184"/>
      <c r="CM293" s="184"/>
      <c r="CN293" s="184"/>
      <c r="CO293" s="184"/>
      <c r="CP293" s="184"/>
      <c r="CQ293" s="184"/>
      <c r="CR293" s="184"/>
      <c r="CS293" s="184"/>
      <c r="CT293" s="184"/>
      <c r="CU293" s="184"/>
      <c r="CV293" s="184"/>
      <c r="CW293" s="184"/>
      <c r="CX293" s="184"/>
      <c r="CY293" s="184"/>
      <c r="CZ293" s="184"/>
      <c r="DA293" s="184"/>
      <c r="DB293" s="184"/>
      <c r="DC293" s="184"/>
      <c r="DD293" s="184"/>
      <c r="DE293" s="184"/>
      <c r="DF293" s="184"/>
      <c r="DG293" s="184"/>
      <c r="DH293" s="184"/>
      <c r="DI293" s="184"/>
      <c r="DJ293" s="184"/>
      <c r="DK293" s="184"/>
      <c r="DL293" s="184"/>
      <c r="DM293" s="184"/>
      <c r="DN293" s="184"/>
      <c r="DO293" s="184"/>
      <c r="DP293" s="184"/>
      <c r="DQ293" s="184"/>
      <c r="DR293" s="184"/>
      <c r="DS293" s="184"/>
      <c r="DT293" s="184"/>
      <c r="DU293" s="184"/>
      <c r="DV293" s="184"/>
      <c r="DW293" s="184"/>
      <c r="DX293" s="184"/>
      <c r="DY293" s="184"/>
      <c r="DZ293" s="184"/>
      <c r="EA293" s="184"/>
      <c r="EB293" s="184"/>
      <c r="EC293" s="184"/>
      <c r="ED293" s="184"/>
      <c r="EE293" s="184"/>
      <c r="EF293" s="184"/>
      <c r="EG293" s="184"/>
      <c r="EH293" s="184"/>
    </row>
    <row r="294" spans="1:138" ht="29.25" customHeight="1">
      <c r="A294" s="185"/>
      <c r="B294" s="179"/>
      <c r="C294" s="179"/>
      <c r="D294" s="189"/>
      <c r="E294" s="188" t="s">
        <v>599</v>
      </c>
      <c r="F294" s="27"/>
      <c r="G294" s="13" t="s">
        <v>600</v>
      </c>
      <c r="H294" s="169" t="s">
        <v>472</v>
      </c>
      <c r="I294" s="85"/>
      <c r="J294" s="33"/>
      <c r="K294" s="21" t="s">
        <v>150</v>
      </c>
      <c r="L294" s="35" t="s">
        <v>53</v>
      </c>
      <c r="M294" s="179"/>
      <c r="N294" s="179"/>
      <c r="O294" s="186"/>
      <c r="P294" s="182"/>
      <c r="Q294" s="182"/>
      <c r="R294" s="182"/>
      <c r="S294" s="183"/>
      <c r="T294" s="183"/>
      <c r="U294" s="183"/>
      <c r="V294" s="183"/>
      <c r="W294" s="183"/>
      <c r="X294" s="184"/>
      <c r="Y294" s="184"/>
      <c r="Z294" s="184"/>
      <c r="AA294" s="184"/>
      <c r="AB294" s="184"/>
      <c r="AC294" s="184"/>
      <c r="AD294" s="184"/>
      <c r="AE294" s="184"/>
      <c r="AF294" s="184"/>
      <c r="AG294" s="184"/>
      <c r="AH294" s="184"/>
      <c r="AI294" s="184"/>
      <c r="AJ294" s="184"/>
      <c r="AK294" s="184"/>
      <c r="AL294" s="184"/>
      <c r="AM294" s="184"/>
      <c r="AN294" s="184"/>
      <c r="AO294" s="184"/>
      <c r="AP294" s="184"/>
      <c r="AQ294" s="184"/>
      <c r="AR294" s="184"/>
      <c r="AS294" s="184"/>
      <c r="AT294" s="184"/>
      <c r="AU294" s="184"/>
      <c r="AV294" s="184"/>
      <c r="AW294" s="184"/>
      <c r="AX294" s="184"/>
      <c r="AY294" s="184"/>
      <c r="AZ294" s="184"/>
      <c r="BA294" s="184"/>
      <c r="BB294" s="184"/>
      <c r="BC294" s="184"/>
      <c r="BD294" s="184"/>
      <c r="BE294" s="184"/>
      <c r="BF294" s="184"/>
      <c r="BG294" s="184"/>
      <c r="BH294" s="184"/>
      <c r="BI294" s="184"/>
      <c r="BJ294" s="184"/>
      <c r="BK294" s="184"/>
      <c r="BL294" s="184"/>
      <c r="BM294" s="184"/>
      <c r="BN294" s="184"/>
      <c r="BO294" s="184"/>
      <c r="BP294" s="184"/>
      <c r="BQ294" s="184"/>
      <c r="BR294" s="184"/>
      <c r="BS294" s="184"/>
      <c r="BT294" s="184"/>
      <c r="BU294" s="184"/>
      <c r="BV294" s="184"/>
      <c r="BW294" s="184"/>
      <c r="BX294" s="184"/>
      <c r="BY294" s="184"/>
      <c r="BZ294" s="184"/>
      <c r="CA294" s="184"/>
      <c r="CB294" s="184"/>
      <c r="CC294" s="184"/>
      <c r="CD294" s="184"/>
      <c r="CE294" s="184"/>
      <c r="CF294" s="184"/>
      <c r="CG294" s="184"/>
      <c r="CH294" s="184"/>
      <c r="CI294" s="184"/>
      <c r="CJ294" s="184"/>
      <c r="CK294" s="184"/>
      <c r="CL294" s="184"/>
      <c r="CM294" s="184"/>
      <c r="CN294" s="184"/>
      <c r="CO294" s="184"/>
      <c r="CP294" s="184"/>
      <c r="CQ294" s="184"/>
      <c r="CR294" s="184"/>
      <c r="CS294" s="184"/>
      <c r="CT294" s="184"/>
      <c r="CU294" s="184"/>
      <c r="CV294" s="184"/>
      <c r="CW294" s="184"/>
      <c r="CX294" s="184"/>
      <c r="CY294" s="184"/>
      <c r="CZ294" s="184"/>
      <c r="DA294" s="184"/>
      <c r="DB294" s="184"/>
      <c r="DC294" s="184"/>
      <c r="DD294" s="184"/>
      <c r="DE294" s="184"/>
      <c r="DF294" s="184"/>
      <c r="DG294" s="184"/>
      <c r="DH294" s="184"/>
      <c r="DI294" s="184"/>
      <c r="DJ294" s="184"/>
      <c r="DK294" s="184"/>
      <c r="DL294" s="184"/>
      <c r="DM294" s="184"/>
      <c r="DN294" s="184"/>
      <c r="DO294" s="184"/>
      <c r="DP294" s="184"/>
      <c r="DQ294" s="184"/>
      <c r="DR294" s="184"/>
      <c r="DS294" s="184"/>
      <c r="DT294" s="184"/>
      <c r="DU294" s="184"/>
      <c r="DV294" s="184"/>
      <c r="DW294" s="184"/>
      <c r="DX294" s="184"/>
      <c r="DY294" s="184"/>
      <c r="DZ294" s="184"/>
      <c r="EA294" s="184"/>
      <c r="EB294" s="184"/>
      <c r="EC294" s="184"/>
      <c r="ED294" s="184"/>
      <c r="EE294" s="184"/>
      <c r="EF294" s="184"/>
      <c r="EG294" s="184"/>
      <c r="EH294" s="184"/>
    </row>
    <row r="295" spans="1:138">
      <c r="A295" s="185"/>
      <c r="B295" s="179"/>
      <c r="C295" s="179"/>
      <c r="D295" s="189"/>
      <c r="E295" s="189"/>
      <c r="F295" s="27"/>
      <c r="G295" s="13" t="s">
        <v>591</v>
      </c>
      <c r="H295" s="170" t="s">
        <v>488</v>
      </c>
      <c r="I295" s="85"/>
      <c r="J295" s="33"/>
      <c r="K295" s="21" t="s">
        <v>152</v>
      </c>
      <c r="L295" s="35" t="s">
        <v>53</v>
      </c>
      <c r="M295" s="179"/>
      <c r="N295" s="179"/>
      <c r="O295" s="186"/>
      <c r="P295" s="182"/>
      <c r="Q295" s="182"/>
      <c r="R295" s="182"/>
      <c r="S295" s="183"/>
      <c r="T295" s="183"/>
      <c r="U295" s="183"/>
      <c r="V295" s="183"/>
      <c r="W295" s="183"/>
      <c r="X295" s="184"/>
      <c r="Y295" s="184"/>
      <c r="Z295" s="184"/>
      <c r="AA295" s="184"/>
      <c r="AB295" s="184"/>
      <c r="AC295" s="184"/>
      <c r="AD295" s="184"/>
      <c r="AE295" s="184"/>
      <c r="AF295" s="184"/>
      <c r="AG295" s="184"/>
      <c r="AH295" s="184"/>
      <c r="AI295" s="184"/>
      <c r="AJ295" s="184"/>
      <c r="AK295" s="184"/>
      <c r="AL295" s="184"/>
      <c r="AM295" s="184"/>
      <c r="AN295" s="184"/>
      <c r="AO295" s="184"/>
      <c r="AP295" s="184"/>
      <c r="AQ295" s="184"/>
      <c r="AR295" s="184"/>
      <c r="AS295" s="184"/>
      <c r="AT295" s="184"/>
      <c r="AU295" s="184"/>
      <c r="AV295" s="184"/>
      <c r="AW295" s="184"/>
      <c r="AX295" s="184"/>
      <c r="AY295" s="184"/>
      <c r="AZ295" s="184"/>
      <c r="BA295" s="184"/>
      <c r="BB295" s="184"/>
      <c r="BC295" s="184"/>
      <c r="BD295" s="184"/>
      <c r="BE295" s="184"/>
      <c r="BF295" s="184"/>
      <c r="BG295" s="184"/>
      <c r="BH295" s="184"/>
      <c r="BI295" s="184"/>
      <c r="BJ295" s="184"/>
      <c r="BK295" s="184"/>
      <c r="BL295" s="184"/>
      <c r="BM295" s="184"/>
      <c r="BN295" s="184"/>
      <c r="BO295" s="184"/>
      <c r="BP295" s="184"/>
      <c r="BQ295" s="184"/>
      <c r="BR295" s="184"/>
      <c r="BS295" s="184"/>
      <c r="BT295" s="184"/>
      <c r="BU295" s="184"/>
      <c r="BV295" s="184"/>
      <c r="BW295" s="184"/>
      <c r="BX295" s="184"/>
      <c r="BY295" s="184"/>
      <c r="BZ295" s="184"/>
      <c r="CA295" s="184"/>
      <c r="CB295" s="184"/>
      <c r="CC295" s="184"/>
      <c r="CD295" s="184"/>
      <c r="CE295" s="184"/>
      <c r="CF295" s="184"/>
      <c r="CG295" s="184"/>
      <c r="CH295" s="184"/>
      <c r="CI295" s="184"/>
      <c r="CJ295" s="184"/>
      <c r="CK295" s="184"/>
      <c r="CL295" s="184"/>
      <c r="CM295" s="184"/>
      <c r="CN295" s="184"/>
      <c r="CO295" s="184"/>
      <c r="CP295" s="184"/>
      <c r="CQ295" s="184"/>
      <c r="CR295" s="184"/>
      <c r="CS295" s="184"/>
      <c r="CT295" s="184"/>
      <c r="CU295" s="184"/>
      <c r="CV295" s="184"/>
      <c r="CW295" s="184"/>
      <c r="CX295" s="184"/>
      <c r="CY295" s="184"/>
      <c r="CZ295" s="184"/>
      <c r="DA295" s="184"/>
      <c r="DB295" s="184"/>
      <c r="DC295" s="184"/>
      <c r="DD295" s="184"/>
      <c r="DE295" s="184"/>
      <c r="DF295" s="184"/>
      <c r="DG295" s="184"/>
      <c r="DH295" s="184"/>
      <c r="DI295" s="184"/>
      <c r="DJ295" s="184"/>
      <c r="DK295" s="184"/>
      <c r="DL295" s="184"/>
      <c r="DM295" s="184"/>
      <c r="DN295" s="184"/>
      <c r="DO295" s="184"/>
      <c r="DP295" s="184"/>
      <c r="DQ295" s="184"/>
      <c r="DR295" s="184"/>
      <c r="DS295" s="184"/>
      <c r="DT295" s="184"/>
      <c r="DU295" s="184"/>
      <c r="DV295" s="184"/>
      <c r="DW295" s="184"/>
      <c r="DX295" s="184"/>
      <c r="DY295" s="184"/>
      <c r="DZ295" s="184"/>
      <c r="EA295" s="184"/>
      <c r="EB295" s="184"/>
      <c r="EC295" s="184"/>
      <c r="ED295" s="184"/>
      <c r="EE295" s="184"/>
      <c r="EF295" s="184"/>
      <c r="EG295" s="184"/>
      <c r="EH295" s="184"/>
    </row>
    <row r="296" spans="1:138">
      <c r="A296" s="185"/>
      <c r="B296" s="179"/>
      <c r="C296" s="179"/>
      <c r="D296" s="189"/>
      <c r="E296" s="190"/>
      <c r="F296" s="27"/>
      <c r="G296" s="13" t="s">
        <v>594</v>
      </c>
      <c r="H296" s="170" t="s">
        <v>488</v>
      </c>
      <c r="I296" s="85"/>
      <c r="J296" s="33"/>
      <c r="K296" s="21" t="s">
        <v>155</v>
      </c>
      <c r="L296" s="35" t="s">
        <v>53</v>
      </c>
      <c r="M296" s="179"/>
      <c r="N296" s="179"/>
      <c r="O296" s="186"/>
      <c r="P296" s="182"/>
      <c r="Q296" s="182"/>
      <c r="R296" s="182"/>
      <c r="S296" s="183"/>
      <c r="T296" s="183"/>
      <c r="U296" s="183"/>
      <c r="V296" s="183"/>
      <c r="W296" s="183"/>
      <c r="X296" s="184"/>
      <c r="Y296" s="184"/>
      <c r="Z296" s="184"/>
      <c r="AA296" s="184"/>
      <c r="AB296" s="184"/>
      <c r="AC296" s="184"/>
      <c r="AD296" s="184"/>
      <c r="AE296" s="184"/>
      <c r="AF296" s="184"/>
      <c r="AG296" s="184"/>
      <c r="AH296" s="184"/>
      <c r="AI296" s="184"/>
      <c r="AJ296" s="184"/>
      <c r="AK296" s="184"/>
      <c r="AL296" s="184"/>
      <c r="AM296" s="184"/>
      <c r="AN296" s="184"/>
      <c r="AO296" s="184"/>
      <c r="AP296" s="184"/>
      <c r="AQ296" s="184"/>
      <c r="AR296" s="184"/>
      <c r="AS296" s="184"/>
      <c r="AT296" s="184"/>
      <c r="AU296" s="184"/>
      <c r="AV296" s="184"/>
      <c r="AW296" s="184"/>
      <c r="AX296" s="184"/>
      <c r="AY296" s="184"/>
      <c r="AZ296" s="184"/>
      <c r="BA296" s="184"/>
      <c r="BB296" s="184"/>
      <c r="BC296" s="184"/>
      <c r="BD296" s="184"/>
      <c r="BE296" s="184"/>
      <c r="BF296" s="184"/>
      <c r="BG296" s="184"/>
      <c r="BH296" s="184"/>
      <c r="BI296" s="184"/>
      <c r="BJ296" s="184"/>
      <c r="BK296" s="184"/>
      <c r="BL296" s="184"/>
      <c r="BM296" s="184"/>
      <c r="BN296" s="184"/>
      <c r="BO296" s="184"/>
      <c r="BP296" s="184"/>
      <c r="BQ296" s="184"/>
      <c r="BR296" s="184"/>
      <c r="BS296" s="184"/>
      <c r="BT296" s="184"/>
      <c r="BU296" s="184"/>
      <c r="BV296" s="184"/>
      <c r="BW296" s="184"/>
      <c r="BX296" s="184"/>
      <c r="BY296" s="184"/>
      <c r="BZ296" s="184"/>
      <c r="CA296" s="184"/>
      <c r="CB296" s="184"/>
      <c r="CC296" s="184"/>
      <c r="CD296" s="184"/>
      <c r="CE296" s="184"/>
      <c r="CF296" s="184"/>
      <c r="CG296" s="184"/>
      <c r="CH296" s="184"/>
      <c r="CI296" s="184"/>
      <c r="CJ296" s="184"/>
      <c r="CK296" s="184"/>
      <c r="CL296" s="184"/>
      <c r="CM296" s="184"/>
      <c r="CN296" s="184"/>
      <c r="CO296" s="184"/>
      <c r="CP296" s="184"/>
      <c r="CQ296" s="184"/>
      <c r="CR296" s="184"/>
      <c r="CS296" s="184"/>
      <c r="CT296" s="184"/>
      <c r="CU296" s="184"/>
      <c r="CV296" s="184"/>
      <c r="CW296" s="184"/>
      <c r="CX296" s="184"/>
      <c r="CY296" s="184"/>
      <c r="CZ296" s="184"/>
      <c r="DA296" s="184"/>
      <c r="DB296" s="184"/>
      <c r="DC296" s="184"/>
      <c r="DD296" s="184"/>
      <c r="DE296" s="184"/>
      <c r="DF296" s="184"/>
      <c r="DG296" s="184"/>
      <c r="DH296" s="184"/>
      <c r="DI296" s="184"/>
      <c r="DJ296" s="184"/>
      <c r="DK296" s="184"/>
      <c r="DL296" s="184"/>
      <c r="DM296" s="184"/>
      <c r="DN296" s="184"/>
      <c r="DO296" s="184"/>
      <c r="DP296" s="184"/>
      <c r="DQ296" s="184"/>
      <c r="DR296" s="184"/>
      <c r="DS296" s="184"/>
      <c r="DT296" s="184"/>
      <c r="DU296" s="184"/>
      <c r="DV296" s="184"/>
      <c r="DW296" s="184"/>
      <c r="DX296" s="184"/>
      <c r="DY296" s="184"/>
      <c r="DZ296" s="184"/>
      <c r="EA296" s="184"/>
      <c r="EB296" s="184"/>
      <c r="EC296" s="184"/>
      <c r="ED296" s="184"/>
      <c r="EE296" s="184"/>
      <c r="EF296" s="184"/>
      <c r="EG296" s="184"/>
      <c r="EH296" s="184"/>
    </row>
    <row r="297" spans="1:138" ht="15" customHeight="1">
      <c r="A297" s="185"/>
      <c r="B297" s="179"/>
      <c r="C297" s="179"/>
      <c r="D297" s="189"/>
      <c r="E297" s="188" t="s">
        <v>607</v>
      </c>
      <c r="F297" s="27"/>
      <c r="G297" s="13" t="s">
        <v>608</v>
      </c>
      <c r="H297" s="169" t="s">
        <v>472</v>
      </c>
      <c r="I297" s="85"/>
      <c r="J297" s="33"/>
      <c r="K297" s="21" t="s">
        <v>150</v>
      </c>
      <c r="L297" s="35" t="s">
        <v>53</v>
      </c>
      <c r="M297" s="179"/>
      <c r="N297" s="179"/>
      <c r="O297" s="186"/>
      <c r="P297" s="182"/>
      <c r="Q297" s="182"/>
      <c r="R297" s="182"/>
      <c r="S297" s="183"/>
      <c r="T297" s="183"/>
      <c r="U297" s="183"/>
      <c r="V297" s="183"/>
      <c r="W297" s="183"/>
      <c r="X297" s="184"/>
      <c r="Y297" s="184"/>
      <c r="Z297" s="184"/>
      <c r="AA297" s="184"/>
      <c r="AB297" s="184"/>
      <c r="AC297" s="184"/>
      <c r="AD297" s="184"/>
      <c r="AE297" s="184"/>
      <c r="AF297" s="184"/>
      <c r="AG297" s="184"/>
      <c r="AH297" s="184"/>
      <c r="AI297" s="184"/>
      <c r="AJ297" s="184"/>
      <c r="AK297" s="184"/>
      <c r="AL297" s="184"/>
      <c r="AM297" s="184"/>
      <c r="AN297" s="184"/>
      <c r="AO297" s="184"/>
      <c r="AP297" s="184"/>
      <c r="AQ297" s="184"/>
      <c r="AR297" s="184"/>
      <c r="AS297" s="184"/>
      <c r="AT297" s="184"/>
      <c r="AU297" s="184"/>
      <c r="AV297" s="184"/>
      <c r="AW297" s="184"/>
      <c r="AX297" s="184"/>
      <c r="AY297" s="184"/>
      <c r="AZ297" s="184"/>
      <c r="BA297" s="184"/>
      <c r="BB297" s="184"/>
      <c r="BC297" s="184"/>
      <c r="BD297" s="184"/>
      <c r="BE297" s="184"/>
      <c r="BF297" s="184"/>
      <c r="BG297" s="184"/>
      <c r="BH297" s="184"/>
      <c r="BI297" s="184"/>
      <c r="BJ297" s="184"/>
      <c r="BK297" s="184"/>
      <c r="BL297" s="184"/>
      <c r="BM297" s="184"/>
      <c r="BN297" s="184"/>
      <c r="BO297" s="184"/>
      <c r="BP297" s="184"/>
      <c r="BQ297" s="184"/>
      <c r="BR297" s="184"/>
      <c r="BS297" s="184"/>
      <c r="BT297" s="184"/>
      <c r="BU297" s="184"/>
      <c r="BV297" s="184"/>
      <c r="BW297" s="184"/>
      <c r="BX297" s="184"/>
      <c r="BY297" s="184"/>
      <c r="BZ297" s="184"/>
      <c r="CA297" s="184"/>
      <c r="CB297" s="184"/>
      <c r="CC297" s="184"/>
      <c r="CD297" s="184"/>
      <c r="CE297" s="184"/>
      <c r="CF297" s="184"/>
      <c r="CG297" s="184"/>
      <c r="CH297" s="184"/>
      <c r="CI297" s="184"/>
      <c r="CJ297" s="184"/>
      <c r="CK297" s="184"/>
      <c r="CL297" s="184"/>
      <c r="CM297" s="184"/>
      <c r="CN297" s="184"/>
      <c r="CO297" s="184"/>
      <c r="CP297" s="184"/>
      <c r="CQ297" s="184"/>
      <c r="CR297" s="184"/>
      <c r="CS297" s="184"/>
      <c r="CT297" s="184"/>
      <c r="CU297" s="184"/>
      <c r="CV297" s="184"/>
      <c r="CW297" s="184"/>
      <c r="CX297" s="184"/>
      <c r="CY297" s="184"/>
      <c r="CZ297" s="184"/>
      <c r="DA297" s="184"/>
      <c r="DB297" s="184"/>
      <c r="DC297" s="184"/>
      <c r="DD297" s="184"/>
      <c r="DE297" s="184"/>
      <c r="DF297" s="184"/>
      <c r="DG297" s="184"/>
      <c r="DH297" s="184"/>
      <c r="DI297" s="184"/>
      <c r="DJ297" s="184"/>
      <c r="DK297" s="184"/>
      <c r="DL297" s="184"/>
      <c r="DM297" s="184"/>
      <c r="DN297" s="184"/>
      <c r="DO297" s="184"/>
      <c r="DP297" s="184"/>
      <c r="DQ297" s="184"/>
      <c r="DR297" s="184"/>
      <c r="DS297" s="184"/>
      <c r="DT297" s="184"/>
      <c r="DU297" s="184"/>
      <c r="DV297" s="184"/>
      <c r="DW297" s="184"/>
      <c r="DX297" s="184"/>
      <c r="DY297" s="184"/>
      <c r="DZ297" s="184"/>
      <c r="EA297" s="184"/>
      <c r="EB297" s="184"/>
      <c r="EC297" s="184"/>
      <c r="ED297" s="184"/>
      <c r="EE297" s="184"/>
      <c r="EF297" s="184"/>
      <c r="EG297" s="184"/>
      <c r="EH297" s="184"/>
    </row>
    <row r="298" spans="1:138">
      <c r="A298" s="185"/>
      <c r="B298" s="179"/>
      <c r="C298" s="179"/>
      <c r="D298" s="189"/>
      <c r="E298" s="189"/>
      <c r="F298" s="27"/>
      <c r="G298" s="13" t="s">
        <v>591</v>
      </c>
      <c r="H298" s="170" t="s">
        <v>488</v>
      </c>
      <c r="I298" s="85"/>
      <c r="J298" s="33"/>
      <c r="K298" s="21" t="s">
        <v>152</v>
      </c>
      <c r="L298" s="35" t="s">
        <v>53</v>
      </c>
      <c r="M298" s="179"/>
      <c r="N298" s="179"/>
      <c r="O298" s="186"/>
      <c r="P298" s="182"/>
      <c r="Q298" s="182"/>
      <c r="R298" s="182"/>
      <c r="S298" s="183"/>
      <c r="T298" s="183"/>
      <c r="U298" s="183"/>
      <c r="V298" s="183"/>
      <c r="W298" s="183"/>
      <c r="X298" s="184"/>
      <c r="Y298" s="184"/>
      <c r="Z298" s="184"/>
      <c r="AA298" s="184"/>
      <c r="AB298" s="184"/>
      <c r="AC298" s="184"/>
      <c r="AD298" s="184"/>
      <c r="AE298" s="184"/>
      <c r="AF298" s="184"/>
      <c r="AG298" s="184"/>
      <c r="AH298" s="184"/>
      <c r="AI298" s="184"/>
      <c r="AJ298" s="184"/>
      <c r="AK298" s="184"/>
      <c r="AL298" s="184"/>
      <c r="AM298" s="184"/>
      <c r="AN298" s="184"/>
      <c r="AO298" s="184"/>
      <c r="AP298" s="184"/>
      <c r="AQ298" s="184"/>
      <c r="AR298" s="184"/>
      <c r="AS298" s="184"/>
      <c r="AT298" s="184"/>
      <c r="AU298" s="184"/>
      <c r="AV298" s="184"/>
      <c r="AW298" s="184"/>
      <c r="AX298" s="184"/>
      <c r="AY298" s="184"/>
      <c r="AZ298" s="184"/>
      <c r="BA298" s="184"/>
      <c r="BB298" s="184"/>
      <c r="BC298" s="184"/>
      <c r="BD298" s="184"/>
      <c r="BE298" s="184"/>
      <c r="BF298" s="184"/>
      <c r="BG298" s="184"/>
      <c r="BH298" s="184"/>
      <c r="BI298" s="184"/>
      <c r="BJ298" s="184"/>
      <c r="BK298" s="184"/>
      <c r="BL298" s="184"/>
      <c r="BM298" s="184"/>
      <c r="BN298" s="184"/>
      <c r="BO298" s="184"/>
      <c r="BP298" s="184"/>
      <c r="BQ298" s="184"/>
      <c r="BR298" s="184"/>
      <c r="BS298" s="184"/>
      <c r="BT298" s="184"/>
      <c r="BU298" s="184"/>
      <c r="BV298" s="184"/>
      <c r="BW298" s="184"/>
      <c r="BX298" s="184"/>
      <c r="BY298" s="184"/>
      <c r="BZ298" s="184"/>
      <c r="CA298" s="184"/>
      <c r="CB298" s="184"/>
      <c r="CC298" s="184"/>
      <c r="CD298" s="184"/>
      <c r="CE298" s="184"/>
      <c r="CF298" s="184"/>
      <c r="CG298" s="184"/>
      <c r="CH298" s="184"/>
      <c r="CI298" s="184"/>
      <c r="CJ298" s="184"/>
      <c r="CK298" s="184"/>
      <c r="CL298" s="184"/>
      <c r="CM298" s="184"/>
      <c r="CN298" s="184"/>
      <c r="CO298" s="184"/>
      <c r="CP298" s="184"/>
      <c r="CQ298" s="184"/>
      <c r="CR298" s="184"/>
      <c r="CS298" s="184"/>
      <c r="CT298" s="184"/>
      <c r="CU298" s="184"/>
      <c r="CV298" s="184"/>
      <c r="CW298" s="184"/>
      <c r="CX298" s="184"/>
      <c r="CY298" s="184"/>
      <c r="CZ298" s="184"/>
      <c r="DA298" s="184"/>
      <c r="DB298" s="184"/>
      <c r="DC298" s="184"/>
      <c r="DD298" s="184"/>
      <c r="DE298" s="184"/>
      <c r="DF298" s="184"/>
      <c r="DG298" s="184"/>
      <c r="DH298" s="184"/>
      <c r="DI298" s="184"/>
      <c r="DJ298" s="184"/>
      <c r="DK298" s="184"/>
      <c r="DL298" s="184"/>
      <c r="DM298" s="184"/>
      <c r="DN298" s="184"/>
      <c r="DO298" s="184"/>
      <c r="DP298" s="184"/>
      <c r="DQ298" s="184"/>
      <c r="DR298" s="184"/>
      <c r="DS298" s="184"/>
      <c r="DT298" s="184"/>
      <c r="DU298" s="184"/>
      <c r="DV298" s="184"/>
      <c r="DW298" s="184"/>
      <c r="DX298" s="184"/>
      <c r="DY298" s="184"/>
      <c r="DZ298" s="184"/>
      <c r="EA298" s="184"/>
      <c r="EB298" s="184"/>
      <c r="EC298" s="184"/>
      <c r="ED298" s="184"/>
      <c r="EE298" s="184"/>
      <c r="EF298" s="184"/>
      <c r="EG298" s="184"/>
      <c r="EH298" s="184"/>
    </row>
    <row r="299" spans="1:138">
      <c r="A299" s="185"/>
      <c r="B299" s="179"/>
      <c r="C299" s="179"/>
      <c r="D299" s="190"/>
      <c r="E299" s="190"/>
      <c r="F299" s="27"/>
      <c r="G299" s="13" t="s">
        <v>594</v>
      </c>
      <c r="H299" s="170" t="s">
        <v>488</v>
      </c>
      <c r="I299" s="85"/>
      <c r="J299" s="33"/>
      <c r="K299" s="21" t="s">
        <v>155</v>
      </c>
      <c r="L299" s="35" t="s">
        <v>53</v>
      </c>
      <c r="M299" s="179"/>
      <c r="N299" s="179"/>
      <c r="O299" s="186"/>
      <c r="P299" s="182"/>
      <c r="Q299" s="182"/>
      <c r="R299" s="182"/>
      <c r="S299" s="183"/>
      <c r="T299" s="183"/>
      <c r="U299" s="183"/>
      <c r="V299" s="183"/>
      <c r="W299" s="183"/>
      <c r="X299" s="184"/>
      <c r="Y299" s="184"/>
      <c r="Z299" s="184"/>
      <c r="AA299" s="184"/>
      <c r="AB299" s="184"/>
      <c r="AC299" s="184"/>
      <c r="AD299" s="184"/>
      <c r="AE299" s="184"/>
      <c r="AF299" s="184"/>
      <c r="AG299" s="184"/>
      <c r="AH299" s="184"/>
      <c r="AI299" s="184"/>
      <c r="AJ299" s="184"/>
      <c r="AK299" s="184"/>
      <c r="AL299" s="184"/>
      <c r="AM299" s="184"/>
      <c r="AN299" s="184"/>
      <c r="AO299" s="184"/>
      <c r="AP299" s="184"/>
      <c r="AQ299" s="184"/>
      <c r="AR299" s="184"/>
      <c r="AS299" s="184"/>
      <c r="AT299" s="184"/>
      <c r="AU299" s="184"/>
      <c r="AV299" s="184"/>
      <c r="AW299" s="184"/>
      <c r="AX299" s="184"/>
      <c r="AY299" s="184"/>
      <c r="AZ299" s="184"/>
      <c r="BA299" s="184"/>
      <c r="BB299" s="184"/>
      <c r="BC299" s="184"/>
      <c r="BD299" s="184"/>
      <c r="BE299" s="184"/>
      <c r="BF299" s="184"/>
      <c r="BG299" s="184"/>
      <c r="BH299" s="184"/>
      <c r="BI299" s="184"/>
      <c r="BJ299" s="184"/>
      <c r="BK299" s="184"/>
      <c r="BL299" s="184"/>
      <c r="BM299" s="184"/>
      <c r="BN299" s="184"/>
      <c r="BO299" s="184"/>
      <c r="BP299" s="184"/>
      <c r="BQ299" s="184"/>
      <c r="BR299" s="184"/>
      <c r="BS299" s="184"/>
      <c r="BT299" s="184"/>
      <c r="BU299" s="184"/>
      <c r="BV299" s="184"/>
      <c r="BW299" s="184"/>
      <c r="BX299" s="184"/>
      <c r="BY299" s="184"/>
      <c r="BZ299" s="184"/>
      <c r="CA299" s="184"/>
      <c r="CB299" s="184"/>
      <c r="CC299" s="184"/>
      <c r="CD299" s="184"/>
      <c r="CE299" s="184"/>
      <c r="CF299" s="184"/>
      <c r="CG299" s="184"/>
      <c r="CH299" s="184"/>
      <c r="CI299" s="184"/>
      <c r="CJ299" s="184"/>
      <c r="CK299" s="184"/>
      <c r="CL299" s="184"/>
      <c r="CM299" s="184"/>
      <c r="CN299" s="184"/>
      <c r="CO299" s="184"/>
      <c r="CP299" s="184"/>
      <c r="CQ299" s="184"/>
      <c r="CR299" s="184"/>
      <c r="CS299" s="184"/>
      <c r="CT299" s="184"/>
      <c r="CU299" s="184"/>
      <c r="CV299" s="184"/>
      <c r="CW299" s="184"/>
      <c r="CX299" s="184"/>
      <c r="CY299" s="184"/>
      <c r="CZ299" s="184"/>
      <c r="DA299" s="184"/>
      <c r="DB299" s="184"/>
      <c r="DC299" s="184"/>
      <c r="DD299" s="184"/>
      <c r="DE299" s="184"/>
      <c r="DF299" s="184"/>
      <c r="DG299" s="184"/>
      <c r="DH299" s="184"/>
      <c r="DI299" s="184"/>
      <c r="DJ299" s="184"/>
      <c r="DK299" s="184"/>
      <c r="DL299" s="184"/>
      <c r="DM299" s="184"/>
      <c r="DN299" s="184"/>
      <c r="DO299" s="184"/>
      <c r="DP299" s="184"/>
      <c r="DQ299" s="184"/>
      <c r="DR299" s="184"/>
      <c r="DS299" s="184"/>
      <c r="DT299" s="184"/>
      <c r="DU299" s="184"/>
      <c r="DV299" s="184"/>
      <c r="DW299" s="184"/>
      <c r="DX299" s="184"/>
      <c r="DY299" s="184"/>
      <c r="DZ299" s="184"/>
      <c r="EA299" s="184"/>
      <c r="EB299" s="184"/>
      <c r="EC299" s="184"/>
      <c r="ED299" s="184"/>
      <c r="EE299" s="184"/>
      <c r="EF299" s="184"/>
      <c r="EG299" s="184"/>
      <c r="EH299" s="184"/>
    </row>
    <row r="300" spans="1:138" ht="15" customHeight="1">
      <c r="A300" s="185"/>
      <c r="B300" s="179"/>
      <c r="C300" s="179"/>
      <c r="D300" s="188" t="s">
        <v>615</v>
      </c>
      <c r="E300" s="188" t="s">
        <v>616</v>
      </c>
      <c r="F300" s="27"/>
      <c r="G300" s="13" t="s">
        <v>617</v>
      </c>
      <c r="H300" s="169" t="s">
        <v>472</v>
      </c>
      <c r="I300" s="85"/>
      <c r="J300" s="33"/>
      <c r="K300" s="21" t="s">
        <v>150</v>
      </c>
      <c r="L300" s="35" t="s">
        <v>53</v>
      </c>
      <c r="M300" s="179"/>
      <c r="N300" s="179"/>
      <c r="O300" s="186"/>
      <c r="P300" s="182"/>
      <c r="Q300" s="182"/>
      <c r="R300" s="182"/>
      <c r="S300" s="183"/>
      <c r="T300" s="183"/>
      <c r="U300" s="183"/>
      <c r="V300" s="183"/>
      <c r="W300" s="183"/>
      <c r="X300" s="184"/>
      <c r="Y300" s="184"/>
      <c r="Z300" s="184"/>
      <c r="AA300" s="184"/>
      <c r="AB300" s="184"/>
      <c r="AC300" s="184"/>
      <c r="AD300" s="184"/>
      <c r="AE300" s="184"/>
      <c r="AF300" s="184"/>
      <c r="AG300" s="184"/>
      <c r="AH300" s="184"/>
      <c r="AI300" s="184"/>
      <c r="AJ300" s="184"/>
      <c r="AK300" s="184"/>
      <c r="AL300" s="184"/>
      <c r="AM300" s="184"/>
      <c r="AN300" s="184"/>
      <c r="AO300" s="184"/>
      <c r="AP300" s="184"/>
      <c r="AQ300" s="184"/>
      <c r="AR300" s="184"/>
      <c r="AS300" s="184"/>
      <c r="AT300" s="184"/>
      <c r="AU300" s="184"/>
      <c r="AV300" s="184"/>
      <c r="AW300" s="184"/>
      <c r="AX300" s="184"/>
      <c r="AY300" s="184"/>
      <c r="AZ300" s="184"/>
      <c r="BA300" s="184"/>
      <c r="BB300" s="184"/>
      <c r="BC300" s="184"/>
      <c r="BD300" s="184"/>
      <c r="BE300" s="184"/>
      <c r="BF300" s="184"/>
      <c r="BG300" s="184"/>
      <c r="BH300" s="184"/>
      <c r="BI300" s="184"/>
      <c r="BJ300" s="184"/>
      <c r="BK300" s="184"/>
      <c r="BL300" s="184"/>
      <c r="BM300" s="184"/>
      <c r="BN300" s="184"/>
      <c r="BO300" s="184"/>
      <c r="BP300" s="184"/>
      <c r="BQ300" s="184"/>
      <c r="BR300" s="184"/>
      <c r="BS300" s="184"/>
      <c r="BT300" s="184"/>
      <c r="BU300" s="184"/>
      <c r="BV300" s="184"/>
      <c r="BW300" s="184"/>
      <c r="BX300" s="184"/>
      <c r="BY300" s="184"/>
      <c r="BZ300" s="184"/>
      <c r="CA300" s="184"/>
      <c r="CB300" s="184"/>
      <c r="CC300" s="184"/>
      <c r="CD300" s="184"/>
      <c r="CE300" s="184"/>
      <c r="CF300" s="184"/>
      <c r="CG300" s="184"/>
      <c r="CH300" s="184"/>
      <c r="CI300" s="184"/>
      <c r="CJ300" s="184"/>
      <c r="CK300" s="184"/>
      <c r="CL300" s="184"/>
      <c r="CM300" s="184"/>
      <c r="CN300" s="184"/>
      <c r="CO300" s="184"/>
      <c r="CP300" s="184"/>
      <c r="CQ300" s="184"/>
      <c r="CR300" s="184"/>
      <c r="CS300" s="184"/>
      <c r="CT300" s="184"/>
      <c r="CU300" s="184"/>
      <c r="CV300" s="184"/>
      <c r="CW300" s="184"/>
      <c r="CX300" s="184"/>
      <c r="CY300" s="184"/>
      <c r="CZ300" s="184"/>
      <c r="DA300" s="184"/>
      <c r="DB300" s="184"/>
      <c r="DC300" s="184"/>
      <c r="DD300" s="184"/>
      <c r="DE300" s="184"/>
      <c r="DF300" s="184"/>
      <c r="DG300" s="184"/>
      <c r="DH300" s="184"/>
      <c r="DI300" s="184"/>
      <c r="DJ300" s="184"/>
      <c r="DK300" s="184"/>
      <c r="DL300" s="184"/>
      <c r="DM300" s="184"/>
      <c r="DN300" s="184"/>
      <c r="DO300" s="184"/>
      <c r="DP300" s="184"/>
      <c r="DQ300" s="184"/>
      <c r="DR300" s="184"/>
      <c r="DS300" s="184"/>
      <c r="DT300" s="184"/>
      <c r="DU300" s="184"/>
      <c r="DV300" s="184"/>
      <c r="DW300" s="184"/>
      <c r="DX300" s="184"/>
      <c r="DY300" s="184"/>
      <c r="DZ300" s="184"/>
      <c r="EA300" s="184"/>
      <c r="EB300" s="184"/>
      <c r="EC300" s="184"/>
      <c r="ED300" s="184"/>
      <c r="EE300" s="184"/>
      <c r="EF300" s="184"/>
      <c r="EG300" s="184"/>
      <c r="EH300" s="184"/>
    </row>
    <row r="301" spans="1:138">
      <c r="A301" s="185"/>
      <c r="B301" s="179"/>
      <c r="C301" s="179"/>
      <c r="D301" s="189"/>
      <c r="E301" s="189"/>
      <c r="F301" s="27"/>
      <c r="G301" s="13" t="s">
        <v>620</v>
      </c>
      <c r="H301" s="170" t="s">
        <v>488</v>
      </c>
      <c r="I301" s="85"/>
      <c r="J301" s="33"/>
      <c r="K301" s="21" t="s">
        <v>152</v>
      </c>
      <c r="L301" s="35" t="s">
        <v>53</v>
      </c>
      <c r="M301" s="179"/>
      <c r="N301" s="179"/>
      <c r="O301" s="186"/>
      <c r="P301" s="182"/>
      <c r="Q301" s="182"/>
      <c r="R301" s="182"/>
      <c r="S301" s="183"/>
      <c r="T301" s="183"/>
      <c r="U301" s="183"/>
      <c r="V301" s="183"/>
      <c r="W301" s="183"/>
      <c r="X301" s="184"/>
      <c r="Y301" s="184"/>
      <c r="Z301" s="184"/>
      <c r="AA301" s="184"/>
      <c r="AB301" s="184"/>
      <c r="AC301" s="184"/>
      <c r="AD301" s="184"/>
      <c r="AE301" s="184"/>
      <c r="AF301" s="184"/>
      <c r="AG301" s="184"/>
      <c r="AH301" s="184"/>
      <c r="AI301" s="184"/>
      <c r="AJ301" s="184"/>
      <c r="AK301" s="184"/>
      <c r="AL301" s="184"/>
      <c r="AM301" s="184"/>
      <c r="AN301" s="184"/>
      <c r="AO301" s="184"/>
      <c r="AP301" s="184"/>
      <c r="AQ301" s="184"/>
      <c r="AR301" s="184"/>
      <c r="AS301" s="184"/>
      <c r="AT301" s="184"/>
      <c r="AU301" s="184"/>
      <c r="AV301" s="184"/>
      <c r="AW301" s="184"/>
      <c r="AX301" s="184"/>
      <c r="AY301" s="184"/>
      <c r="AZ301" s="184"/>
      <c r="BA301" s="184"/>
      <c r="BB301" s="184"/>
      <c r="BC301" s="184"/>
      <c r="BD301" s="184"/>
      <c r="BE301" s="184"/>
      <c r="BF301" s="184"/>
      <c r="BG301" s="184"/>
      <c r="BH301" s="184"/>
      <c r="BI301" s="184"/>
      <c r="BJ301" s="184"/>
      <c r="BK301" s="184"/>
      <c r="BL301" s="184"/>
      <c r="BM301" s="184"/>
      <c r="BN301" s="184"/>
      <c r="BO301" s="184"/>
      <c r="BP301" s="184"/>
      <c r="BQ301" s="184"/>
      <c r="BR301" s="184"/>
      <c r="BS301" s="184"/>
      <c r="BT301" s="184"/>
      <c r="BU301" s="184"/>
      <c r="BV301" s="184"/>
      <c r="BW301" s="184"/>
      <c r="BX301" s="184"/>
      <c r="BY301" s="184"/>
      <c r="BZ301" s="184"/>
      <c r="CA301" s="184"/>
      <c r="CB301" s="184"/>
      <c r="CC301" s="184"/>
      <c r="CD301" s="184"/>
      <c r="CE301" s="184"/>
      <c r="CF301" s="184"/>
      <c r="CG301" s="184"/>
      <c r="CH301" s="184"/>
      <c r="CI301" s="184"/>
      <c r="CJ301" s="184"/>
      <c r="CK301" s="184"/>
      <c r="CL301" s="184"/>
      <c r="CM301" s="184"/>
      <c r="CN301" s="184"/>
      <c r="CO301" s="184"/>
      <c r="CP301" s="184"/>
      <c r="CQ301" s="184"/>
      <c r="CR301" s="184"/>
      <c r="CS301" s="184"/>
      <c r="CT301" s="184"/>
      <c r="CU301" s="184"/>
      <c r="CV301" s="184"/>
      <c r="CW301" s="184"/>
      <c r="CX301" s="184"/>
      <c r="CY301" s="184"/>
      <c r="CZ301" s="184"/>
      <c r="DA301" s="184"/>
      <c r="DB301" s="184"/>
      <c r="DC301" s="184"/>
      <c r="DD301" s="184"/>
      <c r="DE301" s="184"/>
      <c r="DF301" s="184"/>
      <c r="DG301" s="184"/>
      <c r="DH301" s="184"/>
      <c r="DI301" s="184"/>
      <c r="DJ301" s="184"/>
      <c r="DK301" s="184"/>
      <c r="DL301" s="184"/>
      <c r="DM301" s="184"/>
      <c r="DN301" s="184"/>
      <c r="DO301" s="184"/>
      <c r="DP301" s="184"/>
      <c r="DQ301" s="184"/>
      <c r="DR301" s="184"/>
      <c r="DS301" s="184"/>
      <c r="DT301" s="184"/>
      <c r="DU301" s="184"/>
      <c r="DV301" s="184"/>
      <c r="DW301" s="184"/>
      <c r="DX301" s="184"/>
      <c r="DY301" s="184"/>
      <c r="DZ301" s="184"/>
      <c r="EA301" s="184"/>
      <c r="EB301" s="184"/>
      <c r="EC301" s="184"/>
      <c r="ED301" s="184"/>
      <c r="EE301" s="184"/>
      <c r="EF301" s="184"/>
      <c r="EG301" s="184"/>
      <c r="EH301" s="184"/>
    </row>
    <row r="302" spans="1:138">
      <c r="A302" s="185"/>
      <c r="B302" s="179"/>
      <c r="C302" s="179"/>
      <c r="D302" s="189"/>
      <c r="E302" s="190"/>
      <c r="F302" s="27"/>
      <c r="G302" s="13" t="s">
        <v>623</v>
      </c>
      <c r="H302" s="170" t="s">
        <v>488</v>
      </c>
      <c r="I302" s="85"/>
      <c r="J302" s="33"/>
      <c r="K302" s="21" t="s">
        <v>155</v>
      </c>
      <c r="L302" s="35" t="s">
        <v>53</v>
      </c>
      <c r="M302" s="179"/>
      <c r="N302" s="179"/>
      <c r="O302" s="186"/>
      <c r="P302" s="182"/>
      <c r="Q302" s="182"/>
      <c r="R302" s="182"/>
      <c r="S302" s="183"/>
      <c r="T302" s="183"/>
      <c r="U302" s="183"/>
      <c r="V302" s="183"/>
      <c r="W302" s="183"/>
      <c r="X302" s="184"/>
      <c r="Y302" s="184"/>
      <c r="Z302" s="184"/>
      <c r="AA302" s="184"/>
      <c r="AB302" s="184"/>
      <c r="AC302" s="184"/>
      <c r="AD302" s="184"/>
      <c r="AE302" s="184"/>
      <c r="AF302" s="184"/>
      <c r="AG302" s="184"/>
      <c r="AH302" s="184"/>
      <c r="AI302" s="184"/>
      <c r="AJ302" s="184"/>
      <c r="AK302" s="184"/>
      <c r="AL302" s="184"/>
      <c r="AM302" s="184"/>
      <c r="AN302" s="184"/>
      <c r="AO302" s="184"/>
      <c r="AP302" s="184"/>
      <c r="AQ302" s="184"/>
      <c r="AR302" s="184"/>
      <c r="AS302" s="184"/>
      <c r="AT302" s="184"/>
      <c r="AU302" s="184"/>
      <c r="AV302" s="184"/>
      <c r="AW302" s="184"/>
      <c r="AX302" s="184"/>
      <c r="AY302" s="184"/>
      <c r="AZ302" s="184"/>
      <c r="BA302" s="184"/>
      <c r="BB302" s="184"/>
      <c r="BC302" s="184"/>
      <c r="BD302" s="184"/>
      <c r="BE302" s="184"/>
      <c r="BF302" s="184"/>
      <c r="BG302" s="184"/>
      <c r="BH302" s="184"/>
      <c r="BI302" s="184"/>
      <c r="BJ302" s="184"/>
      <c r="BK302" s="184"/>
      <c r="BL302" s="184"/>
      <c r="BM302" s="184"/>
      <c r="BN302" s="184"/>
      <c r="BO302" s="184"/>
      <c r="BP302" s="184"/>
      <c r="BQ302" s="184"/>
      <c r="BR302" s="184"/>
      <c r="BS302" s="184"/>
      <c r="BT302" s="184"/>
      <c r="BU302" s="184"/>
      <c r="BV302" s="184"/>
      <c r="BW302" s="184"/>
      <c r="BX302" s="184"/>
      <c r="BY302" s="184"/>
      <c r="BZ302" s="184"/>
      <c r="CA302" s="184"/>
      <c r="CB302" s="184"/>
      <c r="CC302" s="184"/>
      <c r="CD302" s="184"/>
      <c r="CE302" s="184"/>
      <c r="CF302" s="184"/>
      <c r="CG302" s="184"/>
      <c r="CH302" s="184"/>
      <c r="CI302" s="184"/>
      <c r="CJ302" s="184"/>
      <c r="CK302" s="184"/>
      <c r="CL302" s="184"/>
      <c r="CM302" s="184"/>
      <c r="CN302" s="184"/>
      <c r="CO302" s="184"/>
      <c r="CP302" s="184"/>
      <c r="CQ302" s="184"/>
      <c r="CR302" s="184"/>
      <c r="CS302" s="184"/>
      <c r="CT302" s="184"/>
      <c r="CU302" s="184"/>
      <c r="CV302" s="184"/>
      <c r="CW302" s="184"/>
      <c r="CX302" s="184"/>
      <c r="CY302" s="184"/>
      <c r="CZ302" s="184"/>
      <c r="DA302" s="184"/>
      <c r="DB302" s="184"/>
      <c r="DC302" s="184"/>
      <c r="DD302" s="184"/>
      <c r="DE302" s="184"/>
      <c r="DF302" s="184"/>
      <c r="DG302" s="184"/>
      <c r="DH302" s="184"/>
      <c r="DI302" s="184"/>
      <c r="DJ302" s="184"/>
      <c r="DK302" s="184"/>
      <c r="DL302" s="184"/>
      <c r="DM302" s="184"/>
      <c r="DN302" s="184"/>
      <c r="DO302" s="184"/>
      <c r="DP302" s="184"/>
      <c r="DQ302" s="184"/>
      <c r="DR302" s="184"/>
      <c r="DS302" s="184"/>
      <c r="DT302" s="184"/>
      <c r="DU302" s="184"/>
      <c r="DV302" s="184"/>
      <c r="DW302" s="184"/>
      <c r="DX302" s="184"/>
      <c r="DY302" s="184"/>
      <c r="DZ302" s="184"/>
      <c r="EA302" s="184"/>
      <c r="EB302" s="184"/>
      <c r="EC302" s="184"/>
      <c r="ED302" s="184"/>
      <c r="EE302" s="184"/>
      <c r="EF302" s="184"/>
      <c r="EG302" s="184"/>
      <c r="EH302" s="184"/>
    </row>
    <row r="303" spans="1:138" ht="15" customHeight="1">
      <c r="A303" s="185"/>
      <c r="B303" s="179"/>
      <c r="C303" s="179"/>
      <c r="D303" s="189"/>
      <c r="E303" s="188" t="s">
        <v>626</v>
      </c>
      <c r="F303" s="27"/>
      <c r="G303" s="13" t="s">
        <v>627</v>
      </c>
      <c r="H303" s="169" t="s">
        <v>472</v>
      </c>
      <c r="I303" s="85"/>
      <c r="J303" s="33"/>
      <c r="K303" s="21" t="s">
        <v>150</v>
      </c>
      <c r="L303" s="35" t="s">
        <v>53</v>
      </c>
      <c r="M303" s="179"/>
      <c r="N303" s="179"/>
      <c r="O303" s="186"/>
      <c r="P303" s="182"/>
      <c r="Q303" s="182"/>
      <c r="R303" s="182"/>
      <c r="S303" s="183"/>
      <c r="T303" s="183"/>
      <c r="U303" s="183"/>
      <c r="V303" s="183"/>
      <c r="W303" s="183"/>
      <c r="X303" s="184"/>
      <c r="Y303" s="184"/>
      <c r="Z303" s="184"/>
      <c r="AA303" s="184"/>
      <c r="AB303" s="184"/>
      <c r="AC303" s="184"/>
      <c r="AD303" s="184"/>
      <c r="AE303" s="184"/>
      <c r="AF303" s="184"/>
      <c r="AG303" s="184"/>
      <c r="AH303" s="184"/>
      <c r="AI303" s="184"/>
      <c r="AJ303" s="184"/>
      <c r="AK303" s="184"/>
      <c r="AL303" s="184"/>
      <c r="AM303" s="184"/>
      <c r="AN303" s="184"/>
      <c r="AO303" s="184"/>
      <c r="AP303" s="184"/>
      <c r="AQ303" s="184"/>
      <c r="AR303" s="184"/>
      <c r="AS303" s="184"/>
      <c r="AT303" s="184"/>
      <c r="AU303" s="184"/>
      <c r="AV303" s="184"/>
      <c r="AW303" s="184"/>
      <c r="AX303" s="184"/>
      <c r="AY303" s="184"/>
      <c r="AZ303" s="184"/>
      <c r="BA303" s="184"/>
      <c r="BB303" s="184"/>
      <c r="BC303" s="184"/>
      <c r="BD303" s="184"/>
      <c r="BE303" s="184"/>
      <c r="BF303" s="184"/>
      <c r="BG303" s="184"/>
      <c r="BH303" s="184"/>
      <c r="BI303" s="184"/>
      <c r="BJ303" s="184"/>
      <c r="BK303" s="184"/>
      <c r="BL303" s="184"/>
      <c r="BM303" s="184"/>
      <c r="BN303" s="184"/>
      <c r="BO303" s="184"/>
      <c r="BP303" s="184"/>
      <c r="BQ303" s="184"/>
      <c r="BR303" s="184"/>
      <c r="BS303" s="184"/>
      <c r="BT303" s="184"/>
      <c r="BU303" s="184"/>
      <c r="BV303" s="184"/>
      <c r="BW303" s="184"/>
      <c r="BX303" s="184"/>
      <c r="BY303" s="184"/>
      <c r="BZ303" s="184"/>
      <c r="CA303" s="184"/>
      <c r="CB303" s="184"/>
      <c r="CC303" s="184"/>
      <c r="CD303" s="184"/>
      <c r="CE303" s="184"/>
      <c r="CF303" s="184"/>
      <c r="CG303" s="184"/>
      <c r="CH303" s="184"/>
      <c r="CI303" s="184"/>
      <c r="CJ303" s="184"/>
      <c r="CK303" s="184"/>
      <c r="CL303" s="184"/>
      <c r="CM303" s="184"/>
      <c r="CN303" s="184"/>
      <c r="CO303" s="184"/>
      <c r="CP303" s="184"/>
      <c r="CQ303" s="184"/>
      <c r="CR303" s="184"/>
      <c r="CS303" s="184"/>
      <c r="CT303" s="184"/>
      <c r="CU303" s="184"/>
      <c r="CV303" s="184"/>
      <c r="CW303" s="184"/>
      <c r="CX303" s="184"/>
      <c r="CY303" s="184"/>
      <c r="CZ303" s="184"/>
      <c r="DA303" s="184"/>
      <c r="DB303" s="184"/>
      <c r="DC303" s="184"/>
      <c r="DD303" s="184"/>
      <c r="DE303" s="184"/>
      <c r="DF303" s="184"/>
      <c r="DG303" s="184"/>
      <c r="DH303" s="184"/>
      <c r="DI303" s="184"/>
      <c r="DJ303" s="184"/>
      <c r="DK303" s="184"/>
      <c r="DL303" s="184"/>
      <c r="DM303" s="184"/>
      <c r="DN303" s="184"/>
      <c r="DO303" s="184"/>
      <c r="DP303" s="184"/>
      <c r="DQ303" s="184"/>
      <c r="DR303" s="184"/>
      <c r="DS303" s="184"/>
      <c r="DT303" s="184"/>
      <c r="DU303" s="184"/>
      <c r="DV303" s="184"/>
      <c r="DW303" s="184"/>
      <c r="DX303" s="184"/>
      <c r="DY303" s="184"/>
      <c r="DZ303" s="184"/>
      <c r="EA303" s="184"/>
      <c r="EB303" s="184"/>
      <c r="EC303" s="184"/>
      <c r="ED303" s="184"/>
      <c r="EE303" s="184"/>
      <c r="EF303" s="184"/>
      <c r="EG303" s="184"/>
      <c r="EH303" s="184"/>
    </row>
    <row r="304" spans="1:138">
      <c r="A304" s="185"/>
      <c r="B304" s="179"/>
      <c r="C304" s="179"/>
      <c r="D304" s="189"/>
      <c r="E304" s="189"/>
      <c r="F304" s="27"/>
      <c r="G304" s="13" t="s">
        <v>630</v>
      </c>
      <c r="H304" s="170" t="s">
        <v>488</v>
      </c>
      <c r="I304" s="85"/>
      <c r="J304" s="33"/>
      <c r="K304" s="21" t="s">
        <v>152</v>
      </c>
      <c r="L304" s="35" t="s">
        <v>53</v>
      </c>
      <c r="M304" s="179"/>
      <c r="N304" s="179"/>
      <c r="O304" s="186"/>
      <c r="P304" s="182"/>
      <c r="Q304" s="182"/>
      <c r="R304" s="182"/>
      <c r="S304" s="183"/>
      <c r="T304" s="183"/>
      <c r="U304" s="183"/>
      <c r="V304" s="183"/>
      <c r="W304" s="183"/>
      <c r="X304" s="184"/>
      <c r="Y304" s="184"/>
      <c r="Z304" s="184"/>
      <c r="AA304" s="184"/>
      <c r="AB304" s="184"/>
      <c r="AC304" s="184"/>
      <c r="AD304" s="184"/>
      <c r="AE304" s="184"/>
      <c r="AF304" s="184"/>
      <c r="AG304" s="184"/>
      <c r="AH304" s="184"/>
      <c r="AI304" s="184"/>
      <c r="AJ304" s="184"/>
      <c r="AK304" s="184"/>
      <c r="AL304" s="184"/>
      <c r="AM304" s="184"/>
      <c r="AN304" s="184"/>
      <c r="AO304" s="184"/>
      <c r="AP304" s="184"/>
      <c r="AQ304" s="184"/>
      <c r="AR304" s="184"/>
      <c r="AS304" s="184"/>
      <c r="AT304" s="184"/>
      <c r="AU304" s="184"/>
      <c r="AV304" s="184"/>
      <c r="AW304" s="184"/>
      <c r="AX304" s="184"/>
      <c r="AY304" s="184"/>
      <c r="AZ304" s="184"/>
      <c r="BA304" s="184"/>
      <c r="BB304" s="184"/>
      <c r="BC304" s="184"/>
      <c r="BD304" s="184"/>
      <c r="BE304" s="184"/>
      <c r="BF304" s="184"/>
      <c r="BG304" s="184"/>
      <c r="BH304" s="184"/>
      <c r="BI304" s="184"/>
      <c r="BJ304" s="184"/>
      <c r="BK304" s="184"/>
      <c r="BL304" s="184"/>
      <c r="BM304" s="184"/>
      <c r="BN304" s="184"/>
      <c r="BO304" s="184"/>
      <c r="BP304" s="184"/>
      <c r="BQ304" s="184"/>
      <c r="BR304" s="184"/>
      <c r="BS304" s="184"/>
      <c r="BT304" s="184"/>
      <c r="BU304" s="184"/>
      <c r="BV304" s="184"/>
      <c r="BW304" s="184"/>
      <c r="BX304" s="184"/>
      <c r="BY304" s="184"/>
      <c r="BZ304" s="184"/>
      <c r="CA304" s="184"/>
      <c r="CB304" s="184"/>
      <c r="CC304" s="184"/>
      <c r="CD304" s="184"/>
      <c r="CE304" s="184"/>
      <c r="CF304" s="184"/>
      <c r="CG304" s="184"/>
      <c r="CH304" s="184"/>
      <c r="CI304" s="184"/>
      <c r="CJ304" s="184"/>
      <c r="CK304" s="184"/>
      <c r="CL304" s="184"/>
      <c r="CM304" s="184"/>
      <c r="CN304" s="184"/>
      <c r="CO304" s="184"/>
      <c r="CP304" s="184"/>
      <c r="CQ304" s="184"/>
      <c r="CR304" s="184"/>
      <c r="CS304" s="184"/>
      <c r="CT304" s="184"/>
      <c r="CU304" s="184"/>
      <c r="CV304" s="184"/>
      <c r="CW304" s="184"/>
      <c r="CX304" s="184"/>
      <c r="CY304" s="184"/>
      <c r="CZ304" s="184"/>
      <c r="DA304" s="184"/>
      <c r="DB304" s="184"/>
      <c r="DC304" s="184"/>
      <c r="DD304" s="184"/>
      <c r="DE304" s="184"/>
      <c r="DF304" s="184"/>
      <c r="DG304" s="184"/>
      <c r="DH304" s="184"/>
      <c r="DI304" s="184"/>
      <c r="DJ304" s="184"/>
      <c r="DK304" s="184"/>
      <c r="DL304" s="184"/>
      <c r="DM304" s="184"/>
      <c r="DN304" s="184"/>
      <c r="DO304" s="184"/>
      <c r="DP304" s="184"/>
      <c r="DQ304" s="184"/>
      <c r="DR304" s="184"/>
      <c r="DS304" s="184"/>
      <c r="DT304" s="184"/>
      <c r="DU304" s="184"/>
      <c r="DV304" s="184"/>
      <c r="DW304" s="184"/>
      <c r="DX304" s="184"/>
      <c r="DY304" s="184"/>
      <c r="DZ304" s="184"/>
      <c r="EA304" s="184"/>
      <c r="EB304" s="184"/>
      <c r="EC304" s="184"/>
      <c r="ED304" s="184"/>
      <c r="EE304" s="184"/>
      <c r="EF304" s="184"/>
      <c r="EG304" s="184"/>
      <c r="EH304" s="184"/>
    </row>
    <row r="305" spans="1:138">
      <c r="A305" s="185"/>
      <c r="B305" s="179"/>
      <c r="C305" s="179"/>
      <c r="D305" s="189"/>
      <c r="E305" s="190"/>
      <c r="F305" s="27"/>
      <c r="G305" s="13" t="s">
        <v>633</v>
      </c>
      <c r="H305" s="170" t="s">
        <v>488</v>
      </c>
      <c r="I305" s="85"/>
      <c r="J305" s="33"/>
      <c r="K305" s="21" t="s">
        <v>155</v>
      </c>
      <c r="L305" s="35" t="s">
        <v>53</v>
      </c>
      <c r="M305" s="179"/>
      <c r="N305" s="179"/>
      <c r="O305" s="186"/>
      <c r="P305" s="182"/>
      <c r="Q305" s="182"/>
      <c r="R305" s="182"/>
      <c r="S305" s="183"/>
      <c r="T305" s="183"/>
      <c r="U305" s="183"/>
      <c r="V305" s="183"/>
      <c r="W305" s="183"/>
      <c r="X305" s="184"/>
      <c r="Y305" s="184"/>
      <c r="Z305" s="184"/>
      <c r="AA305" s="184"/>
      <c r="AB305" s="184"/>
      <c r="AC305" s="184"/>
      <c r="AD305" s="184"/>
      <c r="AE305" s="184"/>
      <c r="AF305" s="184"/>
      <c r="AG305" s="184"/>
      <c r="AH305" s="184"/>
      <c r="AI305" s="184"/>
      <c r="AJ305" s="184"/>
      <c r="AK305" s="184"/>
      <c r="AL305" s="184"/>
      <c r="AM305" s="184"/>
      <c r="AN305" s="184"/>
      <c r="AO305" s="184"/>
      <c r="AP305" s="184"/>
      <c r="AQ305" s="184"/>
      <c r="AR305" s="184"/>
      <c r="AS305" s="184"/>
      <c r="AT305" s="184"/>
      <c r="AU305" s="184"/>
      <c r="AV305" s="184"/>
      <c r="AW305" s="184"/>
      <c r="AX305" s="184"/>
      <c r="AY305" s="184"/>
      <c r="AZ305" s="184"/>
      <c r="BA305" s="184"/>
      <c r="BB305" s="184"/>
      <c r="BC305" s="184"/>
      <c r="BD305" s="184"/>
      <c r="BE305" s="184"/>
      <c r="BF305" s="184"/>
      <c r="BG305" s="184"/>
      <c r="BH305" s="184"/>
      <c r="BI305" s="184"/>
      <c r="BJ305" s="184"/>
      <c r="BK305" s="184"/>
      <c r="BL305" s="184"/>
      <c r="BM305" s="184"/>
      <c r="BN305" s="184"/>
      <c r="BO305" s="184"/>
      <c r="BP305" s="184"/>
      <c r="BQ305" s="184"/>
      <c r="BR305" s="184"/>
      <c r="BS305" s="184"/>
      <c r="BT305" s="184"/>
      <c r="BU305" s="184"/>
      <c r="BV305" s="184"/>
      <c r="BW305" s="184"/>
      <c r="BX305" s="184"/>
      <c r="BY305" s="184"/>
      <c r="BZ305" s="184"/>
      <c r="CA305" s="184"/>
      <c r="CB305" s="184"/>
      <c r="CC305" s="184"/>
      <c r="CD305" s="184"/>
      <c r="CE305" s="184"/>
      <c r="CF305" s="184"/>
      <c r="CG305" s="184"/>
      <c r="CH305" s="184"/>
      <c r="CI305" s="184"/>
      <c r="CJ305" s="184"/>
      <c r="CK305" s="184"/>
      <c r="CL305" s="184"/>
      <c r="CM305" s="184"/>
      <c r="CN305" s="184"/>
      <c r="CO305" s="184"/>
      <c r="CP305" s="184"/>
      <c r="CQ305" s="184"/>
      <c r="CR305" s="184"/>
      <c r="CS305" s="184"/>
      <c r="CT305" s="184"/>
      <c r="CU305" s="184"/>
      <c r="CV305" s="184"/>
      <c r="CW305" s="184"/>
      <c r="CX305" s="184"/>
      <c r="CY305" s="184"/>
      <c r="CZ305" s="184"/>
      <c r="DA305" s="184"/>
      <c r="DB305" s="184"/>
      <c r="DC305" s="184"/>
      <c r="DD305" s="184"/>
      <c r="DE305" s="184"/>
      <c r="DF305" s="184"/>
      <c r="DG305" s="184"/>
      <c r="DH305" s="184"/>
      <c r="DI305" s="184"/>
      <c r="DJ305" s="184"/>
      <c r="DK305" s="184"/>
      <c r="DL305" s="184"/>
      <c r="DM305" s="184"/>
      <c r="DN305" s="184"/>
      <c r="DO305" s="184"/>
      <c r="DP305" s="184"/>
      <c r="DQ305" s="184"/>
      <c r="DR305" s="184"/>
      <c r="DS305" s="184"/>
      <c r="DT305" s="184"/>
      <c r="DU305" s="184"/>
      <c r="DV305" s="184"/>
      <c r="DW305" s="184"/>
      <c r="DX305" s="184"/>
      <c r="DY305" s="184"/>
      <c r="DZ305" s="184"/>
      <c r="EA305" s="184"/>
      <c r="EB305" s="184"/>
      <c r="EC305" s="184"/>
      <c r="ED305" s="184"/>
      <c r="EE305" s="184"/>
      <c r="EF305" s="184"/>
      <c r="EG305" s="184"/>
      <c r="EH305" s="184"/>
    </row>
    <row r="306" spans="1:138" ht="15" customHeight="1">
      <c r="A306" s="185"/>
      <c r="B306" s="179"/>
      <c r="C306" s="179"/>
      <c r="D306" s="189"/>
      <c r="E306" s="188" t="s">
        <v>636</v>
      </c>
      <c r="F306" s="27"/>
      <c r="G306" s="13" t="s">
        <v>637</v>
      </c>
      <c r="H306" s="169" t="s">
        <v>472</v>
      </c>
      <c r="I306" s="85"/>
      <c r="J306" s="33"/>
      <c r="K306" s="21" t="s">
        <v>150</v>
      </c>
      <c r="L306" s="35" t="s">
        <v>53</v>
      </c>
      <c r="M306" s="179"/>
      <c r="N306" s="179"/>
      <c r="O306" s="186"/>
      <c r="P306" s="182"/>
      <c r="Q306" s="182"/>
      <c r="R306" s="182"/>
      <c r="S306" s="183"/>
      <c r="T306" s="183"/>
      <c r="U306" s="183"/>
      <c r="V306" s="183"/>
      <c r="W306" s="183"/>
      <c r="X306" s="184"/>
      <c r="Y306" s="184"/>
      <c r="Z306" s="184"/>
      <c r="AA306" s="184"/>
      <c r="AB306" s="184"/>
      <c r="AC306" s="184"/>
      <c r="AD306" s="184"/>
      <c r="AE306" s="184"/>
      <c r="AF306" s="184"/>
      <c r="AG306" s="184"/>
      <c r="AH306" s="184"/>
      <c r="AI306" s="184"/>
      <c r="AJ306" s="184"/>
      <c r="AK306" s="184"/>
      <c r="AL306" s="184"/>
      <c r="AM306" s="184"/>
      <c r="AN306" s="184"/>
      <c r="AO306" s="184"/>
      <c r="AP306" s="184"/>
      <c r="AQ306" s="184"/>
      <c r="AR306" s="184"/>
      <c r="AS306" s="184"/>
      <c r="AT306" s="184"/>
      <c r="AU306" s="184"/>
      <c r="AV306" s="184"/>
      <c r="AW306" s="184"/>
      <c r="AX306" s="184"/>
      <c r="AY306" s="184"/>
      <c r="AZ306" s="184"/>
      <c r="BA306" s="184"/>
      <c r="BB306" s="184"/>
      <c r="BC306" s="184"/>
      <c r="BD306" s="184"/>
      <c r="BE306" s="184"/>
      <c r="BF306" s="184"/>
      <c r="BG306" s="184"/>
      <c r="BH306" s="184"/>
      <c r="BI306" s="184"/>
      <c r="BJ306" s="184"/>
      <c r="BK306" s="184"/>
      <c r="BL306" s="184"/>
      <c r="BM306" s="184"/>
      <c r="BN306" s="184"/>
      <c r="BO306" s="184"/>
      <c r="BP306" s="184"/>
      <c r="BQ306" s="184"/>
      <c r="BR306" s="184"/>
      <c r="BS306" s="184"/>
      <c r="BT306" s="184"/>
      <c r="BU306" s="184"/>
      <c r="BV306" s="184"/>
      <c r="BW306" s="184"/>
      <c r="BX306" s="184"/>
      <c r="BY306" s="184"/>
      <c r="BZ306" s="184"/>
      <c r="CA306" s="184"/>
      <c r="CB306" s="184"/>
      <c r="CC306" s="184"/>
      <c r="CD306" s="184"/>
      <c r="CE306" s="184"/>
      <c r="CF306" s="184"/>
      <c r="CG306" s="184"/>
      <c r="CH306" s="184"/>
      <c r="CI306" s="184"/>
      <c r="CJ306" s="184"/>
      <c r="CK306" s="184"/>
      <c r="CL306" s="184"/>
      <c r="CM306" s="184"/>
      <c r="CN306" s="184"/>
      <c r="CO306" s="184"/>
      <c r="CP306" s="184"/>
      <c r="CQ306" s="184"/>
      <c r="CR306" s="184"/>
      <c r="CS306" s="184"/>
      <c r="CT306" s="184"/>
      <c r="CU306" s="184"/>
      <c r="CV306" s="184"/>
      <c r="CW306" s="184"/>
      <c r="CX306" s="184"/>
      <c r="CY306" s="184"/>
      <c r="CZ306" s="184"/>
      <c r="DA306" s="184"/>
      <c r="DB306" s="184"/>
      <c r="DC306" s="184"/>
      <c r="DD306" s="184"/>
      <c r="DE306" s="184"/>
      <c r="DF306" s="184"/>
      <c r="DG306" s="184"/>
      <c r="DH306" s="184"/>
      <c r="DI306" s="184"/>
      <c r="DJ306" s="184"/>
      <c r="DK306" s="184"/>
      <c r="DL306" s="184"/>
      <c r="DM306" s="184"/>
      <c r="DN306" s="184"/>
      <c r="DO306" s="184"/>
      <c r="DP306" s="184"/>
      <c r="DQ306" s="184"/>
      <c r="DR306" s="184"/>
      <c r="DS306" s="184"/>
      <c r="DT306" s="184"/>
      <c r="DU306" s="184"/>
      <c r="DV306" s="184"/>
      <c r="DW306" s="184"/>
      <c r="DX306" s="184"/>
      <c r="DY306" s="184"/>
      <c r="DZ306" s="184"/>
      <c r="EA306" s="184"/>
      <c r="EB306" s="184"/>
      <c r="EC306" s="184"/>
      <c r="ED306" s="184"/>
      <c r="EE306" s="184"/>
      <c r="EF306" s="184"/>
      <c r="EG306" s="184"/>
      <c r="EH306" s="184"/>
    </row>
    <row r="307" spans="1:138">
      <c r="A307" s="185"/>
      <c r="B307" s="179"/>
      <c r="C307" s="179"/>
      <c r="D307" s="189"/>
      <c r="E307" s="189"/>
      <c r="F307" s="27"/>
      <c r="G307" s="13" t="s">
        <v>641</v>
      </c>
      <c r="H307" s="170" t="s">
        <v>488</v>
      </c>
      <c r="I307" s="85"/>
      <c r="J307" s="33"/>
      <c r="K307" s="21" t="s">
        <v>152</v>
      </c>
      <c r="L307" s="35" t="s">
        <v>53</v>
      </c>
      <c r="M307" s="179"/>
      <c r="N307" s="179"/>
      <c r="O307" s="186"/>
      <c r="P307" s="182"/>
      <c r="Q307" s="182"/>
      <c r="R307" s="182"/>
      <c r="S307" s="183"/>
      <c r="T307" s="183"/>
      <c r="U307" s="183"/>
      <c r="V307" s="183"/>
      <c r="W307" s="183"/>
      <c r="X307" s="184"/>
      <c r="Y307" s="184"/>
      <c r="Z307" s="184"/>
      <c r="AA307" s="184"/>
      <c r="AB307" s="184"/>
      <c r="AC307" s="184"/>
      <c r="AD307" s="184"/>
      <c r="AE307" s="184"/>
      <c r="AF307" s="184"/>
      <c r="AG307" s="184"/>
      <c r="AH307" s="184"/>
      <c r="AI307" s="184"/>
      <c r="AJ307" s="184"/>
      <c r="AK307" s="184"/>
      <c r="AL307" s="184"/>
      <c r="AM307" s="184"/>
      <c r="AN307" s="184"/>
      <c r="AO307" s="184"/>
      <c r="AP307" s="184"/>
      <c r="AQ307" s="184"/>
      <c r="AR307" s="184"/>
      <c r="AS307" s="184"/>
      <c r="AT307" s="184"/>
      <c r="AU307" s="184"/>
      <c r="AV307" s="184"/>
      <c r="AW307" s="184"/>
      <c r="AX307" s="184"/>
      <c r="AY307" s="184"/>
      <c r="AZ307" s="184"/>
      <c r="BA307" s="184"/>
      <c r="BB307" s="184"/>
      <c r="BC307" s="184"/>
      <c r="BD307" s="184"/>
      <c r="BE307" s="184"/>
      <c r="BF307" s="184"/>
      <c r="BG307" s="184"/>
      <c r="BH307" s="184"/>
      <c r="BI307" s="184"/>
      <c r="BJ307" s="184"/>
      <c r="BK307" s="184"/>
      <c r="BL307" s="184"/>
      <c r="BM307" s="184"/>
      <c r="BN307" s="184"/>
      <c r="BO307" s="184"/>
      <c r="BP307" s="184"/>
      <c r="BQ307" s="184"/>
      <c r="BR307" s="184"/>
      <c r="BS307" s="184"/>
      <c r="BT307" s="184"/>
      <c r="BU307" s="184"/>
      <c r="BV307" s="184"/>
      <c r="BW307" s="184"/>
      <c r="BX307" s="184"/>
      <c r="BY307" s="184"/>
      <c r="BZ307" s="184"/>
      <c r="CA307" s="184"/>
      <c r="CB307" s="184"/>
      <c r="CC307" s="184"/>
      <c r="CD307" s="184"/>
      <c r="CE307" s="184"/>
      <c r="CF307" s="184"/>
      <c r="CG307" s="184"/>
      <c r="CH307" s="184"/>
      <c r="CI307" s="184"/>
      <c r="CJ307" s="184"/>
      <c r="CK307" s="184"/>
      <c r="CL307" s="184"/>
      <c r="CM307" s="184"/>
      <c r="CN307" s="184"/>
      <c r="CO307" s="184"/>
      <c r="CP307" s="184"/>
      <c r="CQ307" s="184"/>
      <c r="CR307" s="184"/>
      <c r="CS307" s="184"/>
      <c r="CT307" s="184"/>
      <c r="CU307" s="184"/>
      <c r="CV307" s="184"/>
      <c r="CW307" s="184"/>
      <c r="CX307" s="184"/>
      <c r="CY307" s="184"/>
      <c r="CZ307" s="184"/>
      <c r="DA307" s="184"/>
      <c r="DB307" s="184"/>
      <c r="DC307" s="184"/>
      <c r="DD307" s="184"/>
      <c r="DE307" s="184"/>
      <c r="DF307" s="184"/>
      <c r="DG307" s="184"/>
      <c r="DH307" s="184"/>
      <c r="DI307" s="184"/>
      <c r="DJ307" s="184"/>
      <c r="DK307" s="184"/>
      <c r="DL307" s="184"/>
      <c r="DM307" s="184"/>
      <c r="DN307" s="184"/>
      <c r="DO307" s="184"/>
      <c r="DP307" s="184"/>
      <c r="DQ307" s="184"/>
      <c r="DR307" s="184"/>
      <c r="DS307" s="184"/>
      <c r="DT307" s="184"/>
      <c r="DU307" s="184"/>
      <c r="DV307" s="184"/>
      <c r="DW307" s="184"/>
      <c r="DX307" s="184"/>
      <c r="DY307" s="184"/>
      <c r="DZ307" s="184"/>
      <c r="EA307" s="184"/>
      <c r="EB307" s="184"/>
      <c r="EC307" s="184"/>
      <c r="ED307" s="184"/>
      <c r="EE307" s="184"/>
      <c r="EF307" s="184"/>
      <c r="EG307" s="184"/>
      <c r="EH307" s="184"/>
    </row>
    <row r="308" spans="1:138" ht="29.25">
      <c r="A308" s="185"/>
      <c r="B308" s="179"/>
      <c r="C308" s="179"/>
      <c r="D308" s="189"/>
      <c r="E308" s="190"/>
      <c r="F308" s="27"/>
      <c r="G308" s="13" t="s">
        <v>644</v>
      </c>
      <c r="H308" s="170" t="s">
        <v>488</v>
      </c>
      <c r="I308" s="85"/>
      <c r="J308" s="33"/>
      <c r="K308" s="21" t="s">
        <v>155</v>
      </c>
      <c r="L308" s="35" t="s">
        <v>53</v>
      </c>
      <c r="M308" s="179"/>
      <c r="N308" s="179"/>
      <c r="O308" s="186"/>
      <c r="P308" s="182"/>
      <c r="Q308" s="182"/>
      <c r="R308" s="182"/>
      <c r="S308" s="183"/>
      <c r="T308" s="183"/>
      <c r="U308" s="183"/>
      <c r="V308" s="183"/>
      <c r="W308" s="183"/>
      <c r="X308" s="184"/>
      <c r="Y308" s="184"/>
      <c r="Z308" s="184"/>
      <c r="AA308" s="184"/>
      <c r="AB308" s="184"/>
      <c r="AC308" s="184"/>
      <c r="AD308" s="184"/>
      <c r="AE308" s="184"/>
      <c r="AF308" s="184"/>
      <c r="AG308" s="184"/>
      <c r="AH308" s="184"/>
      <c r="AI308" s="184"/>
      <c r="AJ308" s="184"/>
      <c r="AK308" s="184"/>
      <c r="AL308" s="184"/>
      <c r="AM308" s="184"/>
      <c r="AN308" s="184"/>
      <c r="AO308" s="184"/>
      <c r="AP308" s="184"/>
      <c r="AQ308" s="184"/>
      <c r="AR308" s="184"/>
      <c r="AS308" s="184"/>
      <c r="AT308" s="184"/>
      <c r="AU308" s="184"/>
      <c r="AV308" s="184"/>
      <c r="AW308" s="184"/>
      <c r="AX308" s="184"/>
      <c r="AY308" s="184"/>
      <c r="AZ308" s="184"/>
      <c r="BA308" s="184"/>
      <c r="BB308" s="184"/>
      <c r="BC308" s="184"/>
      <c r="BD308" s="184"/>
      <c r="BE308" s="184"/>
      <c r="BF308" s="184"/>
      <c r="BG308" s="184"/>
      <c r="BH308" s="184"/>
      <c r="BI308" s="184"/>
      <c r="BJ308" s="184"/>
      <c r="BK308" s="184"/>
      <c r="BL308" s="184"/>
      <c r="BM308" s="184"/>
      <c r="BN308" s="184"/>
      <c r="BO308" s="184"/>
      <c r="BP308" s="184"/>
      <c r="BQ308" s="184"/>
      <c r="BR308" s="184"/>
      <c r="BS308" s="184"/>
      <c r="BT308" s="184"/>
      <c r="BU308" s="184"/>
      <c r="BV308" s="184"/>
      <c r="BW308" s="184"/>
      <c r="BX308" s="184"/>
      <c r="BY308" s="184"/>
      <c r="BZ308" s="184"/>
      <c r="CA308" s="184"/>
      <c r="CB308" s="184"/>
      <c r="CC308" s="184"/>
      <c r="CD308" s="184"/>
      <c r="CE308" s="184"/>
      <c r="CF308" s="184"/>
      <c r="CG308" s="184"/>
      <c r="CH308" s="184"/>
      <c r="CI308" s="184"/>
      <c r="CJ308" s="184"/>
      <c r="CK308" s="184"/>
      <c r="CL308" s="184"/>
      <c r="CM308" s="184"/>
      <c r="CN308" s="184"/>
      <c r="CO308" s="184"/>
      <c r="CP308" s="184"/>
      <c r="CQ308" s="184"/>
      <c r="CR308" s="184"/>
      <c r="CS308" s="184"/>
      <c r="CT308" s="184"/>
      <c r="CU308" s="184"/>
      <c r="CV308" s="184"/>
      <c r="CW308" s="184"/>
      <c r="CX308" s="184"/>
      <c r="CY308" s="184"/>
      <c r="CZ308" s="184"/>
      <c r="DA308" s="184"/>
      <c r="DB308" s="184"/>
      <c r="DC308" s="184"/>
      <c r="DD308" s="184"/>
      <c r="DE308" s="184"/>
      <c r="DF308" s="184"/>
      <c r="DG308" s="184"/>
      <c r="DH308" s="184"/>
      <c r="DI308" s="184"/>
      <c r="DJ308" s="184"/>
      <c r="DK308" s="184"/>
      <c r="DL308" s="184"/>
      <c r="DM308" s="184"/>
      <c r="DN308" s="184"/>
      <c r="DO308" s="184"/>
      <c r="DP308" s="184"/>
      <c r="DQ308" s="184"/>
      <c r="DR308" s="184"/>
      <c r="DS308" s="184"/>
      <c r="DT308" s="184"/>
      <c r="DU308" s="184"/>
      <c r="DV308" s="184"/>
      <c r="DW308" s="184"/>
      <c r="DX308" s="184"/>
      <c r="DY308" s="184"/>
      <c r="DZ308" s="184"/>
      <c r="EA308" s="184"/>
      <c r="EB308" s="184"/>
      <c r="EC308" s="184"/>
      <c r="ED308" s="184"/>
      <c r="EE308" s="184"/>
      <c r="EF308" s="184"/>
      <c r="EG308" s="184"/>
      <c r="EH308" s="184"/>
    </row>
    <row r="309" spans="1:138" ht="29.25">
      <c r="A309" s="185"/>
      <c r="B309" s="179"/>
      <c r="C309" s="179"/>
      <c r="D309" s="189"/>
      <c r="E309" s="188" t="s">
        <v>647</v>
      </c>
      <c r="F309" s="27"/>
      <c r="G309" s="13" t="s">
        <v>648</v>
      </c>
      <c r="H309" s="169" t="s">
        <v>472</v>
      </c>
      <c r="I309" s="85"/>
      <c r="J309" s="33"/>
      <c r="K309" s="21" t="s">
        <v>150</v>
      </c>
      <c r="L309" s="35" t="s">
        <v>53</v>
      </c>
      <c r="M309" s="179"/>
      <c r="N309" s="179"/>
      <c r="O309" s="186"/>
      <c r="P309" s="182"/>
      <c r="Q309" s="182"/>
      <c r="R309" s="182"/>
      <c r="S309" s="183"/>
      <c r="T309" s="183"/>
      <c r="U309" s="183"/>
      <c r="V309" s="183"/>
      <c r="W309" s="183"/>
      <c r="X309" s="184"/>
      <c r="Y309" s="184"/>
      <c r="Z309" s="184"/>
      <c r="AA309" s="184"/>
      <c r="AB309" s="184"/>
      <c r="AC309" s="184"/>
      <c r="AD309" s="184"/>
      <c r="AE309" s="184"/>
      <c r="AF309" s="184"/>
      <c r="AG309" s="184"/>
      <c r="AH309" s="184"/>
      <c r="AI309" s="184"/>
      <c r="AJ309" s="184"/>
      <c r="AK309" s="184"/>
      <c r="AL309" s="184"/>
      <c r="AM309" s="184"/>
      <c r="AN309" s="184"/>
      <c r="AO309" s="184"/>
      <c r="AP309" s="184"/>
      <c r="AQ309" s="184"/>
      <c r="AR309" s="184"/>
      <c r="AS309" s="184"/>
      <c r="AT309" s="184"/>
      <c r="AU309" s="184"/>
      <c r="AV309" s="184"/>
      <c r="AW309" s="184"/>
      <c r="AX309" s="184"/>
      <c r="AY309" s="184"/>
      <c r="AZ309" s="184"/>
      <c r="BA309" s="184"/>
      <c r="BB309" s="184"/>
      <c r="BC309" s="184"/>
      <c r="BD309" s="184"/>
      <c r="BE309" s="184"/>
      <c r="BF309" s="184"/>
      <c r="BG309" s="184"/>
      <c r="BH309" s="184"/>
      <c r="BI309" s="184"/>
      <c r="BJ309" s="184"/>
      <c r="BK309" s="184"/>
      <c r="BL309" s="184"/>
      <c r="BM309" s="184"/>
      <c r="BN309" s="184"/>
      <c r="BO309" s="184"/>
      <c r="BP309" s="184"/>
      <c r="BQ309" s="184"/>
      <c r="BR309" s="184"/>
      <c r="BS309" s="184"/>
      <c r="BT309" s="184"/>
      <c r="BU309" s="184"/>
      <c r="BV309" s="184"/>
      <c r="BW309" s="184"/>
      <c r="BX309" s="184"/>
      <c r="BY309" s="184"/>
      <c r="BZ309" s="184"/>
      <c r="CA309" s="184"/>
      <c r="CB309" s="184"/>
      <c r="CC309" s="184"/>
      <c r="CD309" s="184"/>
      <c r="CE309" s="184"/>
      <c r="CF309" s="184"/>
      <c r="CG309" s="184"/>
      <c r="CH309" s="184"/>
      <c r="CI309" s="184"/>
      <c r="CJ309" s="184"/>
      <c r="CK309" s="184"/>
      <c r="CL309" s="184"/>
      <c r="CM309" s="184"/>
      <c r="CN309" s="184"/>
      <c r="CO309" s="184"/>
      <c r="CP309" s="184"/>
      <c r="CQ309" s="184"/>
      <c r="CR309" s="184"/>
      <c r="CS309" s="184"/>
      <c r="CT309" s="184"/>
      <c r="CU309" s="184"/>
      <c r="CV309" s="184"/>
      <c r="CW309" s="184"/>
      <c r="CX309" s="184"/>
      <c r="CY309" s="184"/>
      <c r="CZ309" s="184"/>
      <c r="DA309" s="184"/>
      <c r="DB309" s="184"/>
      <c r="DC309" s="184"/>
      <c r="DD309" s="184"/>
      <c r="DE309" s="184"/>
      <c r="DF309" s="184"/>
      <c r="DG309" s="184"/>
      <c r="DH309" s="184"/>
      <c r="DI309" s="184"/>
      <c r="DJ309" s="184"/>
      <c r="DK309" s="184"/>
      <c r="DL309" s="184"/>
      <c r="DM309" s="184"/>
      <c r="DN309" s="184"/>
      <c r="DO309" s="184"/>
      <c r="DP309" s="184"/>
      <c r="DQ309" s="184"/>
      <c r="DR309" s="184"/>
      <c r="DS309" s="184"/>
      <c r="DT309" s="184"/>
      <c r="DU309" s="184"/>
      <c r="DV309" s="184"/>
      <c r="DW309" s="184"/>
      <c r="DX309" s="184"/>
      <c r="DY309" s="184"/>
      <c r="DZ309" s="184"/>
      <c r="EA309" s="184"/>
      <c r="EB309" s="184"/>
      <c r="EC309" s="184"/>
      <c r="ED309" s="184"/>
      <c r="EE309" s="184"/>
      <c r="EF309" s="184"/>
      <c r="EG309" s="184"/>
      <c r="EH309" s="184"/>
    </row>
    <row r="310" spans="1:138">
      <c r="A310" s="185"/>
      <c r="B310" s="179"/>
      <c r="C310" s="179"/>
      <c r="D310" s="189"/>
      <c r="E310" s="189"/>
      <c r="F310" s="27"/>
      <c r="G310" s="13" t="s">
        <v>651</v>
      </c>
      <c r="H310" s="170" t="s">
        <v>488</v>
      </c>
      <c r="I310" s="85"/>
      <c r="J310" s="33"/>
      <c r="K310" s="21" t="s">
        <v>152</v>
      </c>
      <c r="L310" s="35" t="s">
        <v>53</v>
      </c>
      <c r="M310" s="179"/>
      <c r="N310" s="179"/>
      <c r="O310" s="186"/>
      <c r="P310" s="182"/>
      <c r="Q310" s="182"/>
      <c r="R310" s="182"/>
      <c r="S310" s="183"/>
      <c r="T310" s="183"/>
      <c r="U310" s="183"/>
      <c r="V310" s="183"/>
      <c r="W310" s="183"/>
      <c r="X310" s="184"/>
      <c r="Y310" s="184"/>
      <c r="Z310" s="184"/>
      <c r="AA310" s="184"/>
      <c r="AB310" s="184"/>
      <c r="AC310" s="184"/>
      <c r="AD310" s="184"/>
      <c r="AE310" s="184"/>
      <c r="AF310" s="184"/>
      <c r="AG310" s="184"/>
      <c r="AH310" s="184"/>
      <c r="AI310" s="184"/>
      <c r="AJ310" s="184"/>
      <c r="AK310" s="184"/>
      <c r="AL310" s="184"/>
      <c r="AM310" s="184"/>
      <c r="AN310" s="184"/>
      <c r="AO310" s="184"/>
      <c r="AP310" s="184"/>
      <c r="AQ310" s="184"/>
      <c r="AR310" s="184"/>
      <c r="AS310" s="184"/>
      <c r="AT310" s="184"/>
      <c r="AU310" s="184"/>
      <c r="AV310" s="184"/>
      <c r="AW310" s="184"/>
      <c r="AX310" s="184"/>
      <c r="AY310" s="184"/>
      <c r="AZ310" s="184"/>
      <c r="BA310" s="184"/>
      <c r="BB310" s="184"/>
      <c r="BC310" s="184"/>
      <c r="BD310" s="184"/>
      <c r="BE310" s="184"/>
      <c r="BF310" s="184"/>
      <c r="BG310" s="184"/>
      <c r="BH310" s="184"/>
      <c r="BI310" s="184"/>
      <c r="BJ310" s="184"/>
      <c r="BK310" s="184"/>
      <c r="BL310" s="184"/>
      <c r="BM310" s="184"/>
      <c r="BN310" s="184"/>
      <c r="BO310" s="184"/>
      <c r="BP310" s="184"/>
      <c r="BQ310" s="184"/>
      <c r="BR310" s="184"/>
      <c r="BS310" s="184"/>
      <c r="BT310" s="184"/>
      <c r="BU310" s="184"/>
      <c r="BV310" s="184"/>
      <c r="BW310" s="184"/>
      <c r="BX310" s="184"/>
      <c r="BY310" s="184"/>
      <c r="BZ310" s="184"/>
      <c r="CA310" s="184"/>
      <c r="CB310" s="184"/>
      <c r="CC310" s="184"/>
      <c r="CD310" s="184"/>
      <c r="CE310" s="184"/>
      <c r="CF310" s="184"/>
      <c r="CG310" s="184"/>
      <c r="CH310" s="184"/>
      <c r="CI310" s="184"/>
      <c r="CJ310" s="184"/>
      <c r="CK310" s="184"/>
      <c r="CL310" s="184"/>
      <c r="CM310" s="184"/>
      <c r="CN310" s="184"/>
      <c r="CO310" s="184"/>
      <c r="CP310" s="184"/>
      <c r="CQ310" s="184"/>
      <c r="CR310" s="184"/>
      <c r="CS310" s="184"/>
      <c r="CT310" s="184"/>
      <c r="CU310" s="184"/>
      <c r="CV310" s="184"/>
      <c r="CW310" s="184"/>
      <c r="CX310" s="184"/>
      <c r="CY310" s="184"/>
      <c r="CZ310" s="184"/>
      <c r="DA310" s="184"/>
      <c r="DB310" s="184"/>
      <c r="DC310" s="184"/>
      <c r="DD310" s="184"/>
      <c r="DE310" s="184"/>
      <c r="DF310" s="184"/>
      <c r="DG310" s="184"/>
      <c r="DH310" s="184"/>
      <c r="DI310" s="184"/>
      <c r="DJ310" s="184"/>
      <c r="DK310" s="184"/>
      <c r="DL310" s="184"/>
      <c r="DM310" s="184"/>
      <c r="DN310" s="184"/>
      <c r="DO310" s="184"/>
      <c r="DP310" s="184"/>
      <c r="DQ310" s="184"/>
      <c r="DR310" s="184"/>
      <c r="DS310" s="184"/>
      <c r="DT310" s="184"/>
      <c r="DU310" s="184"/>
      <c r="DV310" s="184"/>
      <c r="DW310" s="184"/>
      <c r="DX310" s="184"/>
      <c r="DY310" s="184"/>
      <c r="DZ310" s="184"/>
      <c r="EA310" s="184"/>
      <c r="EB310" s="184"/>
      <c r="EC310" s="184"/>
      <c r="ED310" s="184"/>
      <c r="EE310" s="184"/>
      <c r="EF310" s="184"/>
      <c r="EG310" s="184"/>
      <c r="EH310" s="184"/>
    </row>
    <row r="311" spans="1:138" ht="29.25">
      <c r="A311" s="185"/>
      <c r="B311" s="179"/>
      <c r="C311" s="179"/>
      <c r="D311" s="189"/>
      <c r="E311" s="190"/>
      <c r="F311" s="27"/>
      <c r="G311" s="13" t="s">
        <v>654</v>
      </c>
      <c r="H311" s="170" t="s">
        <v>488</v>
      </c>
      <c r="I311" s="85"/>
      <c r="J311" s="33"/>
      <c r="K311" s="21" t="s">
        <v>155</v>
      </c>
      <c r="L311" s="35" t="s">
        <v>53</v>
      </c>
      <c r="M311" s="179"/>
      <c r="N311" s="179"/>
      <c r="O311" s="186"/>
      <c r="P311" s="182"/>
      <c r="Q311" s="182"/>
      <c r="R311" s="182"/>
      <c r="S311" s="183"/>
      <c r="T311" s="183"/>
      <c r="U311" s="183"/>
      <c r="V311" s="183"/>
      <c r="W311" s="183"/>
      <c r="X311" s="184"/>
      <c r="Y311" s="184"/>
      <c r="Z311" s="184"/>
      <c r="AA311" s="184"/>
      <c r="AB311" s="184"/>
      <c r="AC311" s="184"/>
      <c r="AD311" s="184"/>
      <c r="AE311" s="184"/>
      <c r="AF311" s="184"/>
      <c r="AG311" s="184"/>
      <c r="AH311" s="184"/>
      <c r="AI311" s="184"/>
      <c r="AJ311" s="184"/>
      <c r="AK311" s="184"/>
      <c r="AL311" s="184"/>
      <c r="AM311" s="184"/>
      <c r="AN311" s="184"/>
      <c r="AO311" s="184"/>
      <c r="AP311" s="184"/>
      <c r="AQ311" s="184"/>
      <c r="AR311" s="184"/>
      <c r="AS311" s="184"/>
      <c r="AT311" s="184"/>
      <c r="AU311" s="184"/>
      <c r="AV311" s="184"/>
      <c r="AW311" s="184"/>
      <c r="AX311" s="184"/>
      <c r="AY311" s="184"/>
      <c r="AZ311" s="184"/>
      <c r="BA311" s="184"/>
      <c r="BB311" s="184"/>
      <c r="BC311" s="184"/>
      <c r="BD311" s="184"/>
      <c r="BE311" s="184"/>
      <c r="BF311" s="184"/>
      <c r="BG311" s="184"/>
      <c r="BH311" s="184"/>
      <c r="BI311" s="184"/>
      <c r="BJ311" s="184"/>
      <c r="BK311" s="184"/>
      <c r="BL311" s="184"/>
      <c r="BM311" s="184"/>
      <c r="BN311" s="184"/>
      <c r="BO311" s="184"/>
      <c r="BP311" s="184"/>
      <c r="BQ311" s="184"/>
      <c r="BR311" s="184"/>
      <c r="BS311" s="184"/>
      <c r="BT311" s="184"/>
      <c r="BU311" s="184"/>
      <c r="BV311" s="184"/>
      <c r="BW311" s="184"/>
      <c r="BX311" s="184"/>
      <c r="BY311" s="184"/>
      <c r="BZ311" s="184"/>
      <c r="CA311" s="184"/>
      <c r="CB311" s="184"/>
      <c r="CC311" s="184"/>
      <c r="CD311" s="184"/>
      <c r="CE311" s="184"/>
      <c r="CF311" s="184"/>
      <c r="CG311" s="184"/>
      <c r="CH311" s="184"/>
      <c r="CI311" s="184"/>
      <c r="CJ311" s="184"/>
      <c r="CK311" s="184"/>
      <c r="CL311" s="184"/>
      <c r="CM311" s="184"/>
      <c r="CN311" s="184"/>
      <c r="CO311" s="184"/>
      <c r="CP311" s="184"/>
      <c r="CQ311" s="184"/>
      <c r="CR311" s="184"/>
      <c r="CS311" s="184"/>
      <c r="CT311" s="184"/>
      <c r="CU311" s="184"/>
      <c r="CV311" s="184"/>
      <c r="CW311" s="184"/>
      <c r="CX311" s="184"/>
      <c r="CY311" s="184"/>
      <c r="CZ311" s="184"/>
      <c r="DA311" s="184"/>
      <c r="DB311" s="184"/>
      <c r="DC311" s="184"/>
      <c r="DD311" s="184"/>
      <c r="DE311" s="184"/>
      <c r="DF311" s="184"/>
      <c r="DG311" s="184"/>
      <c r="DH311" s="184"/>
      <c r="DI311" s="184"/>
      <c r="DJ311" s="184"/>
      <c r="DK311" s="184"/>
      <c r="DL311" s="184"/>
      <c r="DM311" s="184"/>
      <c r="DN311" s="184"/>
      <c r="DO311" s="184"/>
      <c r="DP311" s="184"/>
      <c r="DQ311" s="184"/>
      <c r="DR311" s="184"/>
      <c r="DS311" s="184"/>
      <c r="DT311" s="184"/>
      <c r="DU311" s="184"/>
      <c r="DV311" s="184"/>
      <c r="DW311" s="184"/>
      <c r="DX311" s="184"/>
      <c r="DY311" s="184"/>
      <c r="DZ311" s="184"/>
      <c r="EA311" s="184"/>
      <c r="EB311" s="184"/>
      <c r="EC311" s="184"/>
      <c r="ED311" s="184"/>
      <c r="EE311" s="184"/>
      <c r="EF311" s="184"/>
      <c r="EG311" s="184"/>
      <c r="EH311" s="184"/>
    </row>
    <row r="312" spans="1:138" ht="29.25" customHeight="1">
      <c r="A312" s="185"/>
      <c r="B312" s="179"/>
      <c r="C312" s="179"/>
      <c r="D312" s="189"/>
      <c r="E312" s="188" t="s">
        <v>658</v>
      </c>
      <c r="F312" s="27"/>
      <c r="G312" s="13" t="s">
        <v>659</v>
      </c>
      <c r="H312" s="169" t="s">
        <v>472</v>
      </c>
      <c r="I312" s="85"/>
      <c r="J312" s="33"/>
      <c r="K312" s="21" t="s">
        <v>150</v>
      </c>
      <c r="L312" s="35" t="s">
        <v>53</v>
      </c>
      <c r="M312" s="179"/>
      <c r="N312" s="179"/>
      <c r="O312" s="186"/>
      <c r="P312" s="182"/>
      <c r="Q312" s="182"/>
      <c r="R312" s="182"/>
      <c r="S312" s="183"/>
      <c r="T312" s="183"/>
      <c r="U312" s="183"/>
      <c r="V312" s="183"/>
      <c r="W312" s="183"/>
      <c r="X312" s="184"/>
      <c r="Y312" s="184"/>
      <c r="Z312" s="184"/>
      <c r="AA312" s="184"/>
      <c r="AB312" s="184"/>
      <c r="AC312" s="184"/>
      <c r="AD312" s="184"/>
      <c r="AE312" s="184"/>
      <c r="AF312" s="184"/>
      <c r="AG312" s="184"/>
      <c r="AH312" s="184"/>
      <c r="AI312" s="184"/>
      <c r="AJ312" s="184"/>
      <c r="AK312" s="184"/>
      <c r="AL312" s="184"/>
      <c r="AM312" s="184"/>
      <c r="AN312" s="184"/>
      <c r="AO312" s="184"/>
      <c r="AP312" s="184"/>
      <c r="AQ312" s="184"/>
      <c r="AR312" s="184"/>
      <c r="AS312" s="184"/>
      <c r="AT312" s="184"/>
      <c r="AU312" s="184"/>
      <c r="AV312" s="184"/>
      <c r="AW312" s="184"/>
      <c r="AX312" s="184"/>
      <c r="AY312" s="184"/>
      <c r="AZ312" s="184"/>
      <c r="BA312" s="184"/>
      <c r="BB312" s="184"/>
      <c r="BC312" s="184"/>
      <c r="BD312" s="184"/>
      <c r="BE312" s="184"/>
      <c r="BF312" s="184"/>
      <c r="BG312" s="184"/>
      <c r="BH312" s="184"/>
      <c r="BI312" s="184"/>
      <c r="BJ312" s="184"/>
      <c r="BK312" s="184"/>
      <c r="BL312" s="184"/>
      <c r="BM312" s="184"/>
      <c r="BN312" s="184"/>
      <c r="BO312" s="184"/>
      <c r="BP312" s="184"/>
      <c r="BQ312" s="184"/>
      <c r="BR312" s="184"/>
      <c r="BS312" s="184"/>
      <c r="BT312" s="184"/>
      <c r="BU312" s="184"/>
      <c r="BV312" s="184"/>
      <c r="BW312" s="184"/>
      <c r="BX312" s="184"/>
      <c r="BY312" s="184"/>
      <c r="BZ312" s="184"/>
      <c r="CA312" s="184"/>
      <c r="CB312" s="184"/>
      <c r="CC312" s="184"/>
      <c r="CD312" s="184"/>
      <c r="CE312" s="184"/>
      <c r="CF312" s="184"/>
      <c r="CG312" s="184"/>
      <c r="CH312" s="184"/>
      <c r="CI312" s="184"/>
      <c r="CJ312" s="184"/>
      <c r="CK312" s="184"/>
      <c r="CL312" s="184"/>
      <c r="CM312" s="184"/>
      <c r="CN312" s="184"/>
      <c r="CO312" s="184"/>
      <c r="CP312" s="184"/>
      <c r="CQ312" s="184"/>
      <c r="CR312" s="184"/>
      <c r="CS312" s="184"/>
      <c r="CT312" s="184"/>
      <c r="CU312" s="184"/>
      <c r="CV312" s="184"/>
      <c r="CW312" s="184"/>
      <c r="CX312" s="184"/>
      <c r="CY312" s="184"/>
      <c r="CZ312" s="184"/>
      <c r="DA312" s="184"/>
      <c r="DB312" s="184"/>
      <c r="DC312" s="184"/>
      <c r="DD312" s="184"/>
      <c r="DE312" s="184"/>
      <c r="DF312" s="184"/>
      <c r="DG312" s="184"/>
      <c r="DH312" s="184"/>
      <c r="DI312" s="184"/>
      <c r="DJ312" s="184"/>
      <c r="DK312" s="184"/>
      <c r="DL312" s="184"/>
      <c r="DM312" s="184"/>
      <c r="DN312" s="184"/>
      <c r="DO312" s="184"/>
      <c r="DP312" s="184"/>
      <c r="DQ312" s="184"/>
      <c r="DR312" s="184"/>
      <c r="DS312" s="184"/>
      <c r="DT312" s="184"/>
      <c r="DU312" s="184"/>
      <c r="DV312" s="184"/>
      <c r="DW312" s="184"/>
      <c r="DX312" s="184"/>
      <c r="DY312" s="184"/>
      <c r="DZ312" s="184"/>
      <c r="EA312" s="184"/>
      <c r="EB312" s="184"/>
      <c r="EC312" s="184"/>
      <c r="ED312" s="184"/>
      <c r="EE312" s="184"/>
      <c r="EF312" s="184"/>
      <c r="EG312" s="184"/>
      <c r="EH312" s="184"/>
    </row>
    <row r="313" spans="1:138" ht="43.5">
      <c r="A313" s="185"/>
      <c r="B313" s="179"/>
      <c r="C313" s="179"/>
      <c r="D313" s="189"/>
      <c r="E313" s="189"/>
      <c r="F313" s="27"/>
      <c r="G313" s="13" t="s">
        <v>662</v>
      </c>
      <c r="H313" s="170" t="s">
        <v>488</v>
      </c>
      <c r="I313" s="85"/>
      <c r="J313" s="33"/>
      <c r="K313" s="21" t="s">
        <v>152</v>
      </c>
      <c r="L313" s="35" t="s">
        <v>53</v>
      </c>
      <c r="M313" s="179"/>
      <c r="N313" s="179"/>
      <c r="O313" s="186"/>
      <c r="P313" s="182"/>
      <c r="Q313" s="182"/>
      <c r="R313" s="182"/>
      <c r="S313" s="183"/>
      <c r="T313" s="183"/>
      <c r="U313" s="183"/>
      <c r="V313" s="183"/>
      <c r="W313" s="183"/>
      <c r="X313" s="184"/>
      <c r="Y313" s="184"/>
      <c r="Z313" s="184"/>
      <c r="AA313" s="184"/>
      <c r="AB313" s="184"/>
      <c r="AC313" s="184"/>
      <c r="AD313" s="184"/>
      <c r="AE313" s="184"/>
      <c r="AF313" s="184"/>
      <c r="AG313" s="184"/>
      <c r="AH313" s="184"/>
      <c r="AI313" s="184"/>
      <c r="AJ313" s="184"/>
      <c r="AK313" s="184"/>
      <c r="AL313" s="184"/>
      <c r="AM313" s="184"/>
      <c r="AN313" s="184"/>
      <c r="AO313" s="184"/>
      <c r="AP313" s="184"/>
      <c r="AQ313" s="184"/>
      <c r="AR313" s="184"/>
      <c r="AS313" s="184"/>
      <c r="AT313" s="184"/>
      <c r="AU313" s="184"/>
      <c r="AV313" s="184"/>
      <c r="AW313" s="184"/>
      <c r="AX313" s="184"/>
      <c r="AY313" s="184"/>
      <c r="AZ313" s="184"/>
      <c r="BA313" s="184"/>
      <c r="BB313" s="184"/>
      <c r="BC313" s="184"/>
      <c r="BD313" s="184"/>
      <c r="BE313" s="184"/>
      <c r="BF313" s="184"/>
      <c r="BG313" s="184"/>
      <c r="BH313" s="184"/>
      <c r="BI313" s="184"/>
      <c r="BJ313" s="184"/>
      <c r="BK313" s="184"/>
      <c r="BL313" s="184"/>
      <c r="BM313" s="184"/>
      <c r="BN313" s="184"/>
      <c r="BO313" s="184"/>
      <c r="BP313" s="184"/>
      <c r="BQ313" s="184"/>
      <c r="BR313" s="184"/>
      <c r="BS313" s="184"/>
      <c r="BT313" s="184"/>
      <c r="BU313" s="184"/>
      <c r="BV313" s="184"/>
      <c r="BW313" s="184"/>
      <c r="BX313" s="184"/>
      <c r="BY313" s="184"/>
      <c r="BZ313" s="184"/>
      <c r="CA313" s="184"/>
      <c r="CB313" s="184"/>
      <c r="CC313" s="184"/>
      <c r="CD313" s="184"/>
      <c r="CE313" s="184"/>
      <c r="CF313" s="184"/>
      <c r="CG313" s="184"/>
      <c r="CH313" s="184"/>
      <c r="CI313" s="184"/>
      <c r="CJ313" s="184"/>
      <c r="CK313" s="184"/>
      <c r="CL313" s="184"/>
      <c r="CM313" s="184"/>
      <c r="CN313" s="184"/>
      <c r="CO313" s="184"/>
      <c r="CP313" s="184"/>
      <c r="CQ313" s="184"/>
      <c r="CR313" s="184"/>
      <c r="CS313" s="184"/>
      <c r="CT313" s="184"/>
      <c r="CU313" s="184"/>
      <c r="CV313" s="184"/>
      <c r="CW313" s="184"/>
      <c r="CX313" s="184"/>
      <c r="CY313" s="184"/>
      <c r="CZ313" s="184"/>
      <c r="DA313" s="184"/>
      <c r="DB313" s="184"/>
      <c r="DC313" s="184"/>
      <c r="DD313" s="184"/>
      <c r="DE313" s="184"/>
      <c r="DF313" s="184"/>
      <c r="DG313" s="184"/>
      <c r="DH313" s="184"/>
      <c r="DI313" s="184"/>
      <c r="DJ313" s="184"/>
      <c r="DK313" s="184"/>
      <c r="DL313" s="184"/>
      <c r="DM313" s="184"/>
      <c r="DN313" s="184"/>
      <c r="DO313" s="184"/>
      <c r="DP313" s="184"/>
      <c r="DQ313" s="184"/>
      <c r="DR313" s="184"/>
      <c r="DS313" s="184"/>
      <c r="DT313" s="184"/>
      <c r="DU313" s="184"/>
      <c r="DV313" s="184"/>
      <c r="DW313" s="184"/>
      <c r="DX313" s="184"/>
      <c r="DY313" s="184"/>
      <c r="DZ313" s="184"/>
      <c r="EA313" s="184"/>
      <c r="EB313" s="184"/>
      <c r="EC313" s="184"/>
      <c r="ED313" s="184"/>
      <c r="EE313" s="184"/>
      <c r="EF313" s="184"/>
      <c r="EG313" s="184"/>
      <c r="EH313" s="184"/>
    </row>
    <row r="314" spans="1:138" ht="43.5">
      <c r="A314" s="185"/>
      <c r="B314" s="179"/>
      <c r="C314" s="179"/>
      <c r="D314" s="189"/>
      <c r="E314" s="190"/>
      <c r="F314" s="27"/>
      <c r="G314" s="13" t="s">
        <v>666</v>
      </c>
      <c r="H314" s="170" t="s">
        <v>488</v>
      </c>
      <c r="I314" s="85"/>
      <c r="J314" s="33"/>
      <c r="K314" s="21" t="s">
        <v>155</v>
      </c>
      <c r="L314" s="35" t="s">
        <v>53</v>
      </c>
      <c r="M314" s="179"/>
      <c r="N314" s="179"/>
      <c r="O314" s="186"/>
      <c r="P314" s="182"/>
      <c r="Q314" s="182"/>
      <c r="R314" s="182"/>
      <c r="S314" s="183"/>
      <c r="T314" s="183"/>
      <c r="U314" s="183"/>
      <c r="V314" s="183"/>
      <c r="W314" s="183"/>
      <c r="X314" s="184"/>
      <c r="Y314" s="184"/>
      <c r="Z314" s="184"/>
      <c r="AA314" s="184"/>
      <c r="AB314" s="184"/>
      <c r="AC314" s="184"/>
      <c r="AD314" s="184"/>
      <c r="AE314" s="184"/>
      <c r="AF314" s="184"/>
      <c r="AG314" s="184"/>
      <c r="AH314" s="184"/>
      <c r="AI314" s="184"/>
      <c r="AJ314" s="184"/>
      <c r="AK314" s="184"/>
      <c r="AL314" s="184"/>
      <c r="AM314" s="184"/>
      <c r="AN314" s="184"/>
      <c r="AO314" s="184"/>
      <c r="AP314" s="184"/>
      <c r="AQ314" s="184"/>
      <c r="AR314" s="184"/>
      <c r="AS314" s="184"/>
      <c r="AT314" s="184"/>
      <c r="AU314" s="184"/>
      <c r="AV314" s="184"/>
      <c r="AW314" s="184"/>
      <c r="AX314" s="184"/>
      <c r="AY314" s="184"/>
      <c r="AZ314" s="184"/>
      <c r="BA314" s="184"/>
      <c r="BB314" s="184"/>
      <c r="BC314" s="184"/>
      <c r="BD314" s="184"/>
      <c r="BE314" s="184"/>
      <c r="BF314" s="184"/>
      <c r="BG314" s="184"/>
      <c r="BH314" s="184"/>
      <c r="BI314" s="184"/>
      <c r="BJ314" s="184"/>
      <c r="BK314" s="184"/>
      <c r="BL314" s="184"/>
      <c r="BM314" s="184"/>
      <c r="BN314" s="184"/>
      <c r="BO314" s="184"/>
      <c r="BP314" s="184"/>
      <c r="BQ314" s="184"/>
      <c r="BR314" s="184"/>
      <c r="BS314" s="184"/>
      <c r="BT314" s="184"/>
      <c r="BU314" s="184"/>
      <c r="BV314" s="184"/>
      <c r="BW314" s="184"/>
      <c r="BX314" s="184"/>
      <c r="BY314" s="184"/>
      <c r="BZ314" s="184"/>
      <c r="CA314" s="184"/>
      <c r="CB314" s="184"/>
      <c r="CC314" s="184"/>
      <c r="CD314" s="184"/>
      <c r="CE314" s="184"/>
      <c r="CF314" s="184"/>
      <c r="CG314" s="184"/>
      <c r="CH314" s="184"/>
      <c r="CI314" s="184"/>
      <c r="CJ314" s="184"/>
      <c r="CK314" s="184"/>
      <c r="CL314" s="184"/>
      <c r="CM314" s="184"/>
      <c r="CN314" s="184"/>
      <c r="CO314" s="184"/>
      <c r="CP314" s="184"/>
      <c r="CQ314" s="184"/>
      <c r="CR314" s="184"/>
      <c r="CS314" s="184"/>
      <c r="CT314" s="184"/>
      <c r="CU314" s="184"/>
      <c r="CV314" s="184"/>
      <c r="CW314" s="184"/>
      <c r="CX314" s="184"/>
      <c r="CY314" s="184"/>
      <c r="CZ314" s="184"/>
      <c r="DA314" s="184"/>
      <c r="DB314" s="184"/>
      <c r="DC314" s="184"/>
      <c r="DD314" s="184"/>
      <c r="DE314" s="184"/>
      <c r="DF314" s="184"/>
      <c r="DG314" s="184"/>
      <c r="DH314" s="184"/>
      <c r="DI314" s="184"/>
      <c r="DJ314" s="184"/>
      <c r="DK314" s="184"/>
      <c r="DL314" s="184"/>
      <c r="DM314" s="184"/>
      <c r="DN314" s="184"/>
      <c r="DO314" s="184"/>
      <c r="DP314" s="184"/>
      <c r="DQ314" s="184"/>
      <c r="DR314" s="184"/>
      <c r="DS314" s="184"/>
      <c r="DT314" s="184"/>
      <c r="DU314" s="184"/>
      <c r="DV314" s="184"/>
      <c r="DW314" s="184"/>
      <c r="DX314" s="184"/>
      <c r="DY314" s="184"/>
      <c r="DZ314" s="184"/>
      <c r="EA314" s="184"/>
      <c r="EB314" s="184"/>
      <c r="EC314" s="184"/>
      <c r="ED314" s="184"/>
      <c r="EE314" s="184"/>
      <c r="EF314" s="184"/>
      <c r="EG314" s="184"/>
      <c r="EH314" s="184"/>
    </row>
    <row r="315" spans="1:138" ht="15" customHeight="1">
      <c r="A315" s="185"/>
      <c r="B315" s="179"/>
      <c r="C315" s="179"/>
      <c r="D315" s="189"/>
      <c r="E315" s="188" t="s">
        <v>670</v>
      </c>
      <c r="F315" s="27"/>
      <c r="G315" s="13" t="s">
        <v>671</v>
      </c>
      <c r="H315" s="169" t="s">
        <v>472</v>
      </c>
      <c r="I315" s="85"/>
      <c r="J315" s="33"/>
      <c r="K315" s="21" t="s">
        <v>150</v>
      </c>
      <c r="L315" s="35" t="s">
        <v>53</v>
      </c>
      <c r="M315" s="179"/>
      <c r="N315" s="179"/>
      <c r="O315" s="186"/>
      <c r="P315" s="182"/>
      <c r="Q315" s="182"/>
      <c r="R315" s="182"/>
      <c r="S315" s="183"/>
      <c r="T315" s="183"/>
      <c r="U315" s="183"/>
      <c r="V315" s="183"/>
      <c r="W315" s="183"/>
      <c r="X315" s="184"/>
      <c r="Y315" s="184"/>
      <c r="Z315" s="184"/>
      <c r="AA315" s="184"/>
      <c r="AB315" s="184"/>
      <c r="AC315" s="184"/>
      <c r="AD315" s="184"/>
      <c r="AE315" s="184"/>
      <c r="AF315" s="184"/>
      <c r="AG315" s="184"/>
      <c r="AH315" s="184"/>
      <c r="AI315" s="184"/>
      <c r="AJ315" s="184"/>
      <c r="AK315" s="184"/>
      <c r="AL315" s="184"/>
      <c r="AM315" s="184"/>
      <c r="AN315" s="184"/>
      <c r="AO315" s="184"/>
      <c r="AP315" s="184"/>
      <c r="AQ315" s="184"/>
      <c r="AR315" s="184"/>
      <c r="AS315" s="184"/>
      <c r="AT315" s="184"/>
      <c r="AU315" s="184"/>
      <c r="AV315" s="184"/>
      <c r="AW315" s="184"/>
      <c r="AX315" s="184"/>
      <c r="AY315" s="184"/>
      <c r="AZ315" s="184"/>
      <c r="BA315" s="184"/>
      <c r="BB315" s="184"/>
      <c r="BC315" s="184"/>
      <c r="BD315" s="184"/>
      <c r="BE315" s="184"/>
      <c r="BF315" s="184"/>
      <c r="BG315" s="184"/>
      <c r="BH315" s="184"/>
      <c r="BI315" s="184"/>
      <c r="BJ315" s="184"/>
      <c r="BK315" s="184"/>
      <c r="BL315" s="184"/>
      <c r="BM315" s="184"/>
      <c r="BN315" s="184"/>
      <c r="BO315" s="184"/>
      <c r="BP315" s="184"/>
      <c r="BQ315" s="184"/>
      <c r="BR315" s="184"/>
      <c r="BS315" s="184"/>
      <c r="BT315" s="184"/>
      <c r="BU315" s="184"/>
      <c r="BV315" s="184"/>
      <c r="BW315" s="184"/>
      <c r="BX315" s="184"/>
      <c r="BY315" s="184"/>
      <c r="BZ315" s="184"/>
      <c r="CA315" s="184"/>
      <c r="CB315" s="184"/>
      <c r="CC315" s="184"/>
      <c r="CD315" s="184"/>
      <c r="CE315" s="184"/>
      <c r="CF315" s="184"/>
      <c r="CG315" s="184"/>
      <c r="CH315" s="184"/>
      <c r="CI315" s="184"/>
      <c r="CJ315" s="184"/>
      <c r="CK315" s="184"/>
      <c r="CL315" s="184"/>
      <c r="CM315" s="184"/>
      <c r="CN315" s="184"/>
      <c r="CO315" s="184"/>
      <c r="CP315" s="184"/>
      <c r="CQ315" s="184"/>
      <c r="CR315" s="184"/>
      <c r="CS315" s="184"/>
      <c r="CT315" s="184"/>
      <c r="CU315" s="184"/>
      <c r="CV315" s="184"/>
      <c r="CW315" s="184"/>
      <c r="CX315" s="184"/>
      <c r="CY315" s="184"/>
      <c r="CZ315" s="184"/>
      <c r="DA315" s="184"/>
      <c r="DB315" s="184"/>
      <c r="DC315" s="184"/>
      <c r="DD315" s="184"/>
      <c r="DE315" s="184"/>
      <c r="DF315" s="184"/>
      <c r="DG315" s="184"/>
      <c r="DH315" s="184"/>
      <c r="DI315" s="184"/>
      <c r="DJ315" s="184"/>
      <c r="DK315" s="184"/>
      <c r="DL315" s="184"/>
      <c r="DM315" s="184"/>
      <c r="DN315" s="184"/>
      <c r="DO315" s="184"/>
      <c r="DP315" s="184"/>
      <c r="DQ315" s="184"/>
      <c r="DR315" s="184"/>
      <c r="DS315" s="184"/>
      <c r="DT315" s="184"/>
      <c r="DU315" s="184"/>
      <c r="DV315" s="184"/>
      <c r="DW315" s="184"/>
      <c r="DX315" s="184"/>
      <c r="DY315" s="184"/>
      <c r="DZ315" s="184"/>
      <c r="EA315" s="184"/>
      <c r="EB315" s="184"/>
      <c r="EC315" s="184"/>
      <c r="ED315" s="184"/>
      <c r="EE315" s="184"/>
      <c r="EF315" s="184"/>
      <c r="EG315" s="184"/>
      <c r="EH315" s="184"/>
    </row>
    <row r="316" spans="1:138">
      <c r="A316" s="185"/>
      <c r="B316" s="179"/>
      <c r="C316" s="179"/>
      <c r="D316" s="189"/>
      <c r="E316" s="189"/>
      <c r="F316" s="27"/>
      <c r="G316" s="13" t="s">
        <v>675</v>
      </c>
      <c r="H316" s="170" t="s">
        <v>488</v>
      </c>
      <c r="I316" s="85"/>
      <c r="J316" s="33"/>
      <c r="K316" s="21" t="s">
        <v>152</v>
      </c>
      <c r="L316" s="35" t="s">
        <v>53</v>
      </c>
      <c r="M316" s="179"/>
      <c r="N316" s="179"/>
      <c r="O316" s="186"/>
      <c r="P316" s="182"/>
      <c r="Q316" s="182"/>
      <c r="R316" s="182"/>
      <c r="S316" s="183"/>
      <c r="T316" s="183"/>
      <c r="U316" s="183"/>
      <c r="V316" s="183"/>
      <c r="W316" s="183"/>
      <c r="X316" s="184"/>
      <c r="Y316" s="184"/>
      <c r="Z316" s="184"/>
      <c r="AA316" s="184"/>
      <c r="AB316" s="184"/>
      <c r="AC316" s="184"/>
      <c r="AD316" s="184"/>
      <c r="AE316" s="184"/>
      <c r="AF316" s="184"/>
      <c r="AG316" s="184"/>
      <c r="AH316" s="184"/>
      <c r="AI316" s="184"/>
      <c r="AJ316" s="184"/>
      <c r="AK316" s="184"/>
      <c r="AL316" s="184"/>
      <c r="AM316" s="184"/>
      <c r="AN316" s="184"/>
      <c r="AO316" s="184"/>
      <c r="AP316" s="184"/>
      <c r="AQ316" s="184"/>
      <c r="AR316" s="184"/>
      <c r="AS316" s="184"/>
      <c r="AT316" s="184"/>
      <c r="AU316" s="184"/>
      <c r="AV316" s="184"/>
      <c r="AW316" s="184"/>
      <c r="AX316" s="184"/>
      <c r="AY316" s="184"/>
      <c r="AZ316" s="184"/>
      <c r="BA316" s="184"/>
      <c r="BB316" s="184"/>
      <c r="BC316" s="184"/>
      <c r="BD316" s="184"/>
      <c r="BE316" s="184"/>
      <c r="BF316" s="184"/>
      <c r="BG316" s="184"/>
      <c r="BH316" s="184"/>
      <c r="BI316" s="184"/>
      <c r="BJ316" s="184"/>
      <c r="BK316" s="184"/>
      <c r="BL316" s="184"/>
      <c r="BM316" s="184"/>
      <c r="BN316" s="184"/>
      <c r="BO316" s="184"/>
      <c r="BP316" s="184"/>
      <c r="BQ316" s="184"/>
      <c r="BR316" s="184"/>
      <c r="BS316" s="184"/>
      <c r="BT316" s="184"/>
      <c r="BU316" s="184"/>
      <c r="BV316" s="184"/>
      <c r="BW316" s="184"/>
      <c r="BX316" s="184"/>
      <c r="BY316" s="184"/>
      <c r="BZ316" s="184"/>
      <c r="CA316" s="184"/>
      <c r="CB316" s="184"/>
      <c r="CC316" s="184"/>
      <c r="CD316" s="184"/>
      <c r="CE316" s="184"/>
      <c r="CF316" s="184"/>
      <c r="CG316" s="184"/>
      <c r="CH316" s="184"/>
      <c r="CI316" s="184"/>
      <c r="CJ316" s="184"/>
      <c r="CK316" s="184"/>
      <c r="CL316" s="184"/>
      <c r="CM316" s="184"/>
      <c r="CN316" s="184"/>
      <c r="CO316" s="184"/>
      <c r="CP316" s="184"/>
      <c r="CQ316" s="184"/>
      <c r="CR316" s="184"/>
      <c r="CS316" s="184"/>
      <c r="CT316" s="184"/>
      <c r="CU316" s="184"/>
      <c r="CV316" s="184"/>
      <c r="CW316" s="184"/>
      <c r="CX316" s="184"/>
      <c r="CY316" s="184"/>
      <c r="CZ316" s="184"/>
      <c r="DA316" s="184"/>
      <c r="DB316" s="184"/>
      <c r="DC316" s="184"/>
      <c r="DD316" s="184"/>
      <c r="DE316" s="184"/>
      <c r="DF316" s="184"/>
      <c r="DG316" s="184"/>
      <c r="DH316" s="184"/>
      <c r="DI316" s="184"/>
      <c r="DJ316" s="184"/>
      <c r="DK316" s="184"/>
      <c r="DL316" s="184"/>
      <c r="DM316" s="184"/>
      <c r="DN316" s="184"/>
      <c r="DO316" s="184"/>
      <c r="DP316" s="184"/>
      <c r="DQ316" s="184"/>
      <c r="DR316" s="184"/>
      <c r="DS316" s="184"/>
      <c r="DT316" s="184"/>
      <c r="DU316" s="184"/>
      <c r="DV316" s="184"/>
      <c r="DW316" s="184"/>
      <c r="DX316" s="184"/>
      <c r="DY316" s="184"/>
      <c r="DZ316" s="184"/>
      <c r="EA316" s="184"/>
      <c r="EB316" s="184"/>
      <c r="EC316" s="184"/>
      <c r="ED316" s="184"/>
      <c r="EE316" s="184"/>
      <c r="EF316" s="184"/>
      <c r="EG316" s="184"/>
      <c r="EH316" s="184"/>
    </row>
    <row r="317" spans="1:138" ht="43.5">
      <c r="A317" s="185"/>
      <c r="B317" s="179"/>
      <c r="C317" s="179"/>
      <c r="D317" s="190"/>
      <c r="E317" s="190"/>
      <c r="F317" s="27"/>
      <c r="G317" s="13" t="s">
        <v>678</v>
      </c>
      <c r="H317" s="170" t="s">
        <v>488</v>
      </c>
      <c r="I317" s="85"/>
      <c r="J317" s="33"/>
      <c r="K317" s="21" t="s">
        <v>155</v>
      </c>
      <c r="L317" s="35" t="s">
        <v>53</v>
      </c>
      <c r="M317" s="179"/>
      <c r="N317" s="179"/>
      <c r="O317" s="186"/>
      <c r="P317" s="182"/>
      <c r="Q317" s="182"/>
      <c r="R317" s="182"/>
      <c r="S317" s="183"/>
      <c r="T317" s="183"/>
      <c r="U317" s="183"/>
      <c r="V317" s="183"/>
      <c r="W317" s="183"/>
      <c r="X317" s="184"/>
      <c r="Y317" s="184"/>
      <c r="Z317" s="184"/>
      <c r="AA317" s="184"/>
      <c r="AB317" s="184"/>
      <c r="AC317" s="184"/>
      <c r="AD317" s="184"/>
      <c r="AE317" s="184"/>
      <c r="AF317" s="184"/>
      <c r="AG317" s="184"/>
      <c r="AH317" s="184"/>
      <c r="AI317" s="184"/>
      <c r="AJ317" s="184"/>
      <c r="AK317" s="184"/>
      <c r="AL317" s="184"/>
      <c r="AM317" s="184"/>
      <c r="AN317" s="184"/>
      <c r="AO317" s="184"/>
      <c r="AP317" s="184"/>
      <c r="AQ317" s="184"/>
      <c r="AR317" s="184"/>
      <c r="AS317" s="184"/>
      <c r="AT317" s="184"/>
      <c r="AU317" s="184"/>
      <c r="AV317" s="184"/>
      <c r="AW317" s="184"/>
      <c r="AX317" s="184"/>
      <c r="AY317" s="184"/>
      <c r="AZ317" s="184"/>
      <c r="BA317" s="184"/>
      <c r="BB317" s="184"/>
      <c r="BC317" s="184"/>
      <c r="BD317" s="184"/>
      <c r="BE317" s="184"/>
      <c r="BF317" s="184"/>
      <c r="BG317" s="184"/>
      <c r="BH317" s="184"/>
      <c r="BI317" s="184"/>
      <c r="BJ317" s="184"/>
      <c r="BK317" s="184"/>
      <c r="BL317" s="184"/>
      <c r="BM317" s="184"/>
      <c r="BN317" s="184"/>
      <c r="BO317" s="184"/>
      <c r="BP317" s="184"/>
      <c r="BQ317" s="184"/>
      <c r="BR317" s="184"/>
      <c r="BS317" s="184"/>
      <c r="BT317" s="184"/>
      <c r="BU317" s="184"/>
      <c r="BV317" s="184"/>
      <c r="BW317" s="184"/>
      <c r="BX317" s="184"/>
      <c r="BY317" s="184"/>
      <c r="BZ317" s="184"/>
      <c r="CA317" s="184"/>
      <c r="CB317" s="184"/>
      <c r="CC317" s="184"/>
      <c r="CD317" s="184"/>
      <c r="CE317" s="184"/>
      <c r="CF317" s="184"/>
      <c r="CG317" s="184"/>
      <c r="CH317" s="184"/>
      <c r="CI317" s="184"/>
      <c r="CJ317" s="184"/>
      <c r="CK317" s="184"/>
      <c r="CL317" s="184"/>
      <c r="CM317" s="184"/>
      <c r="CN317" s="184"/>
      <c r="CO317" s="184"/>
      <c r="CP317" s="184"/>
      <c r="CQ317" s="184"/>
      <c r="CR317" s="184"/>
      <c r="CS317" s="184"/>
      <c r="CT317" s="184"/>
      <c r="CU317" s="184"/>
      <c r="CV317" s="184"/>
      <c r="CW317" s="184"/>
      <c r="CX317" s="184"/>
      <c r="CY317" s="184"/>
      <c r="CZ317" s="184"/>
      <c r="DA317" s="184"/>
      <c r="DB317" s="184"/>
      <c r="DC317" s="184"/>
      <c r="DD317" s="184"/>
      <c r="DE317" s="184"/>
      <c r="DF317" s="184"/>
      <c r="DG317" s="184"/>
      <c r="DH317" s="184"/>
      <c r="DI317" s="184"/>
      <c r="DJ317" s="184"/>
      <c r="DK317" s="184"/>
      <c r="DL317" s="184"/>
      <c r="DM317" s="184"/>
      <c r="DN317" s="184"/>
      <c r="DO317" s="184"/>
      <c r="DP317" s="184"/>
      <c r="DQ317" s="184"/>
      <c r="DR317" s="184"/>
      <c r="DS317" s="184"/>
      <c r="DT317" s="184"/>
      <c r="DU317" s="184"/>
      <c r="DV317" s="184"/>
      <c r="DW317" s="184"/>
      <c r="DX317" s="184"/>
      <c r="DY317" s="184"/>
      <c r="DZ317" s="184"/>
      <c r="EA317" s="184"/>
      <c r="EB317" s="184"/>
      <c r="EC317" s="184"/>
      <c r="ED317" s="184"/>
      <c r="EE317" s="184"/>
      <c r="EF317" s="184"/>
      <c r="EG317" s="184"/>
      <c r="EH317" s="184"/>
    </row>
  </sheetData>
  <autoFilter ref="H1:H409" xr:uid="{8A61919C-81EB-41BB-8DB6-1E6F094CBDBE}"/>
  <mergeCells count="136">
    <mergeCell ref="D88:D111"/>
    <mergeCell ref="E110:E111"/>
    <mergeCell ref="D112:D123"/>
    <mergeCell ref="E112:E114"/>
    <mergeCell ref="E115:E117"/>
    <mergeCell ref="E118:E120"/>
    <mergeCell ref="E121:E123"/>
    <mergeCell ref="D124:D132"/>
    <mergeCell ref="E124:E127"/>
    <mergeCell ref="E128:E130"/>
    <mergeCell ref="E131:E132"/>
    <mergeCell ref="E88:E93"/>
    <mergeCell ref="E94:E98"/>
    <mergeCell ref="E99:E103"/>
    <mergeCell ref="E104:E109"/>
    <mergeCell ref="E20:E24"/>
    <mergeCell ref="E33:E35"/>
    <mergeCell ref="A1:A2"/>
    <mergeCell ref="B1:B2"/>
    <mergeCell ref="E52:E53"/>
    <mergeCell ref="D45:D53"/>
    <mergeCell ref="E25:E30"/>
    <mergeCell ref="E9:E14"/>
    <mergeCell ref="E15:E19"/>
    <mergeCell ref="E49:E51"/>
    <mergeCell ref="E42:E44"/>
    <mergeCell ref="D33:D44"/>
    <mergeCell ref="E36:E38"/>
    <mergeCell ref="E39:E41"/>
    <mergeCell ref="E45:E48"/>
    <mergeCell ref="E31:E32"/>
    <mergeCell ref="D9:D32"/>
    <mergeCell ref="L1:N1"/>
    <mergeCell ref="G1:G2"/>
    <mergeCell ref="I1:I2"/>
    <mergeCell ref="J1:J2"/>
    <mergeCell ref="K1:K2"/>
    <mergeCell ref="A3:R3"/>
    <mergeCell ref="C4:C5"/>
    <mergeCell ref="F4:F5"/>
    <mergeCell ref="C1:C2"/>
    <mergeCell ref="E1:E2"/>
    <mergeCell ref="D4:D8"/>
    <mergeCell ref="E4:E8"/>
    <mergeCell ref="F1:F2"/>
    <mergeCell ref="D1:D2"/>
    <mergeCell ref="R1:R2"/>
    <mergeCell ref="O1:O2"/>
    <mergeCell ref="Q1:Q2"/>
    <mergeCell ref="P1:P2"/>
    <mergeCell ref="H1:H2"/>
    <mergeCell ref="C82:C83"/>
    <mergeCell ref="D82:D87"/>
    <mergeCell ref="E54:E56"/>
    <mergeCell ref="E57:E59"/>
    <mergeCell ref="E60:E62"/>
    <mergeCell ref="D54:D62"/>
    <mergeCell ref="E78:E80"/>
    <mergeCell ref="E75:E77"/>
    <mergeCell ref="E72:E74"/>
    <mergeCell ref="E69:E71"/>
    <mergeCell ref="E66:E68"/>
    <mergeCell ref="E63:E65"/>
    <mergeCell ref="D63:D80"/>
    <mergeCell ref="A81:R81"/>
    <mergeCell ref="E82:E87"/>
    <mergeCell ref="F82:F83"/>
    <mergeCell ref="D133:D141"/>
    <mergeCell ref="E133:E135"/>
    <mergeCell ref="E136:E138"/>
    <mergeCell ref="E139:E141"/>
    <mergeCell ref="D142:D159"/>
    <mergeCell ref="E142:E144"/>
    <mergeCell ref="E145:E147"/>
    <mergeCell ref="E148:E150"/>
    <mergeCell ref="E151:E153"/>
    <mergeCell ref="E154:E156"/>
    <mergeCell ref="E157:E159"/>
    <mergeCell ref="A160:R160"/>
    <mergeCell ref="E167:E172"/>
    <mergeCell ref="E173:E177"/>
    <mergeCell ref="E178:E182"/>
    <mergeCell ref="E183:E188"/>
    <mergeCell ref="D212:D220"/>
    <mergeCell ref="E212:E214"/>
    <mergeCell ref="E215:E217"/>
    <mergeCell ref="E218:E220"/>
    <mergeCell ref="F161:F162"/>
    <mergeCell ref="D167:D190"/>
    <mergeCell ref="E189:E190"/>
    <mergeCell ref="D191:D202"/>
    <mergeCell ref="E191:E193"/>
    <mergeCell ref="E194:E196"/>
    <mergeCell ref="E197:E199"/>
    <mergeCell ref="E200:E202"/>
    <mergeCell ref="D203:D211"/>
    <mergeCell ref="E203:E206"/>
    <mergeCell ref="E207:E209"/>
    <mergeCell ref="E210:E211"/>
    <mergeCell ref="D221:D238"/>
    <mergeCell ref="E221:E223"/>
    <mergeCell ref="E224:E226"/>
    <mergeCell ref="E227:E229"/>
    <mergeCell ref="E230:E232"/>
    <mergeCell ref="E233:E235"/>
    <mergeCell ref="E236:E238"/>
    <mergeCell ref="D246:D269"/>
    <mergeCell ref="E268:E269"/>
    <mergeCell ref="E246:E251"/>
    <mergeCell ref="E252:E256"/>
    <mergeCell ref="E257:E261"/>
    <mergeCell ref="E262:E267"/>
    <mergeCell ref="A239:R239"/>
    <mergeCell ref="D240:D245"/>
    <mergeCell ref="E240:E245"/>
    <mergeCell ref="F240:F241"/>
    <mergeCell ref="D270:D281"/>
    <mergeCell ref="E270:E272"/>
    <mergeCell ref="E273:E275"/>
    <mergeCell ref="E276:E278"/>
    <mergeCell ref="E279:E281"/>
    <mergeCell ref="D282:D290"/>
    <mergeCell ref="E282:E285"/>
    <mergeCell ref="E286:E288"/>
    <mergeCell ref="E289:E290"/>
    <mergeCell ref="D291:D299"/>
    <mergeCell ref="E291:E293"/>
    <mergeCell ref="E294:E296"/>
    <mergeCell ref="E297:E299"/>
    <mergeCell ref="D300:D317"/>
    <mergeCell ref="E300:E302"/>
    <mergeCell ref="E303:E305"/>
    <mergeCell ref="E306:E308"/>
    <mergeCell ref="E309:E311"/>
    <mergeCell ref="E312:E314"/>
    <mergeCell ref="E315:E317"/>
  </mergeCells>
  <conditionalFormatting sqref="L1:L2">
    <cfRule type="containsText" dxfId="379" priority="455" operator="containsText" text="FAIL">
      <formula>NOT(ISERROR(SEARCH("FAIL",L1)))</formula>
    </cfRule>
    <cfRule type="containsText" dxfId="378" priority="456" operator="containsText" text="PASS">
      <formula>NOT(ISERROR(SEARCH("PASS",L1)))</formula>
    </cfRule>
  </conditionalFormatting>
  <conditionalFormatting sqref="L3:N3">
    <cfRule type="containsText" dxfId="377" priority="453" operator="containsText" text="FAIL">
      <formula>NOT(ISERROR(SEARCH("FAIL",L3)))</formula>
    </cfRule>
    <cfRule type="containsText" dxfId="376" priority="454" operator="containsText" text="PASS">
      <formula>NOT(ISERROR(SEARCH("PASS",L3)))</formula>
    </cfRule>
  </conditionalFormatting>
  <conditionalFormatting sqref="L81:N81">
    <cfRule type="containsText" dxfId="375" priority="443" operator="containsText" text="FAIL">
      <formula>NOT(ISERROR(SEARCH("FAIL",L81)))</formula>
    </cfRule>
    <cfRule type="containsText" dxfId="374" priority="444" operator="containsText" text="PASS">
      <formula>NOT(ISERROR(SEARCH("PASS",L81)))</formula>
    </cfRule>
  </conditionalFormatting>
  <conditionalFormatting sqref="L160:N160 L161:M238">
    <cfRule type="containsText" dxfId="373" priority="425" operator="containsText" text="FAIL">
      <formula>NOT(ISERROR(SEARCH("FAIL",L160)))</formula>
    </cfRule>
    <cfRule type="containsText" dxfId="372" priority="426" operator="containsText" text="PASS">
      <formula>NOT(ISERROR(SEARCH("PASS",L160)))</formula>
    </cfRule>
  </conditionalFormatting>
  <conditionalFormatting sqref="L239:N239">
    <cfRule type="containsText" dxfId="371" priority="423" operator="containsText" text="FAIL">
      <formula>NOT(ISERROR(SEARCH("FAIL",L239)))</formula>
    </cfRule>
    <cfRule type="containsText" dxfId="370" priority="424" operator="containsText" text="PASS">
      <formula>NOT(ISERROR(SEARCH("PASS",L239)))</formula>
    </cfRule>
  </conditionalFormatting>
  <conditionalFormatting sqref="M82:N95">
    <cfRule type="containsText" dxfId="369" priority="419" operator="containsText" text="BLOCKED">
      <formula>NOT(ISERROR(SEARCH("BLOCKED",M82)))</formula>
    </cfRule>
    <cfRule type="containsText" dxfId="368" priority="420" stopIfTrue="1" operator="containsText" text="IN PROGRESS">
      <formula>NOT(ISERROR(SEARCH("IN PROGRESS",M82)))</formula>
    </cfRule>
    <cfRule type="containsText" dxfId="367" priority="421" stopIfTrue="1" operator="containsText" text="PASS">
      <formula>NOT(ISERROR(SEARCH("PASS",M82)))</formula>
    </cfRule>
    <cfRule type="containsText" dxfId="366" priority="422" stopIfTrue="1" operator="containsText" text="FAIL">
      <formula>NOT(ISERROR(SEARCH("FAIL",M82)))</formula>
    </cfRule>
  </conditionalFormatting>
  <conditionalFormatting sqref="M96:N159">
    <cfRule type="containsText" dxfId="365" priority="415" operator="containsText" text="BLOCKED">
      <formula>NOT(ISERROR(SEARCH("BLOCKED",M96)))</formula>
    </cfRule>
    <cfRule type="containsText" dxfId="364" priority="416" stopIfTrue="1" operator="containsText" text="IN PROGRESS">
      <formula>NOT(ISERROR(SEARCH("IN PROGRESS",M96)))</formula>
    </cfRule>
    <cfRule type="containsText" dxfId="363" priority="417" stopIfTrue="1" operator="containsText" text="PASS">
      <formula>NOT(ISERROR(SEARCH("PASS",M96)))</formula>
    </cfRule>
    <cfRule type="containsText" dxfId="362" priority="418" stopIfTrue="1" operator="containsText" text="FAIL">
      <formula>NOT(ISERROR(SEARCH("FAIL",M96)))</formula>
    </cfRule>
  </conditionalFormatting>
  <conditionalFormatting sqref="O4:O8">
    <cfRule type="containsText" dxfId="361" priority="383" operator="containsText" text="BLOCKED">
      <formula>NOT(ISERROR(SEARCH("BLOCKED",O4)))</formula>
    </cfRule>
    <cfRule type="containsText" dxfId="360" priority="384" stopIfTrue="1" operator="containsText" text="IN PROGRESS">
      <formula>NOT(ISERROR(SEARCH("IN PROGRESS",O4)))</formula>
    </cfRule>
    <cfRule type="containsText" dxfId="359" priority="385" stopIfTrue="1" operator="containsText" text="PASS">
      <formula>NOT(ISERROR(SEARCH("PASS",O4)))</formula>
    </cfRule>
    <cfRule type="containsText" dxfId="358" priority="386" stopIfTrue="1" operator="containsText" text="FAIL">
      <formula>NOT(ISERROR(SEARCH("FAIL",O4)))</formula>
    </cfRule>
  </conditionalFormatting>
  <conditionalFormatting sqref="O82:O95">
    <cfRule type="containsText" dxfId="357" priority="379" operator="containsText" text="BLOCKED">
      <formula>NOT(ISERROR(SEARCH("BLOCKED",O82)))</formula>
    </cfRule>
    <cfRule type="containsText" dxfId="356" priority="380" stopIfTrue="1" operator="containsText" text="IN PROGRESS">
      <formula>NOT(ISERROR(SEARCH("IN PROGRESS",O82)))</formula>
    </cfRule>
    <cfRule type="containsText" dxfId="355" priority="381" stopIfTrue="1" operator="containsText" text="PASS">
      <formula>NOT(ISERROR(SEARCH("PASS",O82)))</formula>
    </cfRule>
    <cfRule type="containsText" dxfId="354" priority="382" stopIfTrue="1" operator="containsText" text="FAIL">
      <formula>NOT(ISERROR(SEARCH("FAIL",O82)))</formula>
    </cfRule>
  </conditionalFormatting>
  <conditionalFormatting sqref="O96:O159">
    <cfRule type="containsText" dxfId="353" priority="375" operator="containsText" text="BLOCKED">
      <formula>NOT(ISERROR(SEARCH("BLOCKED",O96)))</formula>
    </cfRule>
    <cfRule type="containsText" dxfId="352" priority="376" stopIfTrue="1" operator="containsText" text="IN PROGRESS">
      <formula>NOT(ISERROR(SEARCH("IN PROGRESS",O96)))</formula>
    </cfRule>
    <cfRule type="containsText" dxfId="351" priority="377" stopIfTrue="1" operator="containsText" text="PASS">
      <formula>NOT(ISERROR(SEARCH("PASS",O96)))</formula>
    </cfRule>
    <cfRule type="containsText" dxfId="350" priority="378" stopIfTrue="1" operator="containsText" text="FAIL">
      <formula>NOT(ISERROR(SEARCH("FAIL",O96)))</formula>
    </cfRule>
  </conditionalFormatting>
  <conditionalFormatting sqref="O72:O73">
    <cfRule type="containsText" dxfId="349" priority="355" operator="containsText" text="BLOCKED">
      <formula>NOT(ISERROR(SEARCH("BLOCKED",O72)))</formula>
    </cfRule>
    <cfRule type="containsText" dxfId="348" priority="356" stopIfTrue="1" operator="containsText" text="IN PROGRESS">
      <formula>NOT(ISERROR(SEARCH("IN PROGRESS",O72)))</formula>
    </cfRule>
    <cfRule type="containsText" dxfId="347" priority="357" stopIfTrue="1" operator="containsText" text="PASS">
      <formula>NOT(ISERROR(SEARCH("PASS",O72)))</formula>
    </cfRule>
    <cfRule type="containsText" dxfId="346" priority="358" stopIfTrue="1" operator="containsText" text="FAIL">
      <formula>NOT(ISERROR(SEARCH("FAIL",O72)))</formula>
    </cfRule>
  </conditionalFormatting>
  <conditionalFormatting sqref="O63">
    <cfRule type="containsText" dxfId="345" priority="351" operator="containsText" text="BLOCKED">
      <formula>NOT(ISERROR(SEARCH("BLOCKED",O63)))</formula>
    </cfRule>
    <cfRule type="containsText" dxfId="344" priority="352" stopIfTrue="1" operator="containsText" text="IN PROGRESS">
      <formula>NOT(ISERROR(SEARCH("IN PROGRESS",O63)))</formula>
    </cfRule>
    <cfRule type="containsText" dxfId="343" priority="353" stopIfTrue="1" operator="containsText" text="PASS">
      <formula>NOT(ISERROR(SEARCH("PASS",O63)))</formula>
    </cfRule>
    <cfRule type="containsText" dxfId="342" priority="354" stopIfTrue="1" operator="containsText" text="FAIL">
      <formula>NOT(ISERROR(SEARCH("FAIL",O63)))</formula>
    </cfRule>
  </conditionalFormatting>
  <conditionalFormatting sqref="O57">
    <cfRule type="containsText" dxfId="341" priority="347" operator="containsText" text="BLOCKED">
      <formula>NOT(ISERROR(SEARCH("BLOCKED",O57)))</formula>
    </cfRule>
    <cfRule type="containsText" dxfId="340" priority="348" stopIfTrue="1" operator="containsText" text="IN PROGRESS">
      <formula>NOT(ISERROR(SEARCH("IN PROGRESS",O57)))</formula>
    </cfRule>
    <cfRule type="containsText" dxfId="339" priority="349" stopIfTrue="1" operator="containsText" text="PASS">
      <formula>NOT(ISERROR(SEARCH("PASS",O57)))</formula>
    </cfRule>
    <cfRule type="containsText" dxfId="338" priority="350" stopIfTrue="1" operator="containsText" text="FAIL">
      <formula>NOT(ISERROR(SEARCH("FAIL",O57)))</formula>
    </cfRule>
  </conditionalFormatting>
  <conditionalFormatting sqref="O58">
    <cfRule type="containsText" dxfId="337" priority="343" operator="containsText" text="BLOCKED">
      <formula>NOT(ISERROR(SEARCH("BLOCKED",O58)))</formula>
    </cfRule>
    <cfRule type="containsText" dxfId="336" priority="344" stopIfTrue="1" operator="containsText" text="IN PROGRESS">
      <formula>NOT(ISERROR(SEARCH("IN PROGRESS",O58)))</formula>
    </cfRule>
    <cfRule type="containsText" dxfId="335" priority="345" stopIfTrue="1" operator="containsText" text="PASS">
      <formula>NOT(ISERROR(SEARCH("PASS",O58)))</formula>
    </cfRule>
    <cfRule type="containsText" dxfId="334" priority="346" stopIfTrue="1" operator="containsText" text="FAIL">
      <formula>NOT(ISERROR(SEARCH("FAIL",O58)))</formula>
    </cfRule>
  </conditionalFormatting>
  <conditionalFormatting sqref="O55">
    <cfRule type="containsText" dxfId="333" priority="339" operator="containsText" text="BLOCKED">
      <formula>NOT(ISERROR(SEARCH("BLOCKED",O55)))</formula>
    </cfRule>
    <cfRule type="containsText" dxfId="332" priority="340" stopIfTrue="1" operator="containsText" text="IN PROGRESS">
      <formula>NOT(ISERROR(SEARCH("IN PROGRESS",O55)))</formula>
    </cfRule>
    <cfRule type="containsText" dxfId="331" priority="341" stopIfTrue="1" operator="containsText" text="PASS">
      <formula>NOT(ISERROR(SEARCH("PASS",O55)))</formula>
    </cfRule>
    <cfRule type="containsText" dxfId="330" priority="342" stopIfTrue="1" operator="containsText" text="FAIL">
      <formula>NOT(ISERROR(SEARCH("FAIL",O55)))</formula>
    </cfRule>
  </conditionalFormatting>
  <conditionalFormatting sqref="O35:O36 O42:O43 O49:O50">
    <cfRule type="containsText" dxfId="329" priority="335" operator="containsText" text="BLOCKED">
      <formula>NOT(ISERROR(SEARCH("BLOCKED",O35)))</formula>
    </cfRule>
    <cfRule type="containsText" dxfId="328" priority="336" stopIfTrue="1" operator="containsText" text="IN PROGRESS">
      <formula>NOT(ISERROR(SEARCH("IN PROGRESS",O35)))</formula>
    </cfRule>
    <cfRule type="containsText" dxfId="327" priority="337" stopIfTrue="1" operator="containsText" text="PASS">
      <formula>NOT(ISERROR(SEARCH("PASS",O35)))</formula>
    </cfRule>
    <cfRule type="containsText" dxfId="326" priority="338" stopIfTrue="1" operator="containsText" text="FAIL">
      <formula>NOT(ISERROR(SEARCH("FAIL",O35)))</formula>
    </cfRule>
  </conditionalFormatting>
  <conditionalFormatting sqref="O37:O41 O44:O48 O51:O54">
    <cfRule type="containsText" dxfId="325" priority="331" operator="containsText" text="BLOCKED">
      <formula>NOT(ISERROR(SEARCH("BLOCKED",O37)))</formula>
    </cfRule>
    <cfRule type="containsText" dxfId="324" priority="332" stopIfTrue="1" operator="containsText" text="IN PROGRESS">
      <formula>NOT(ISERROR(SEARCH("IN PROGRESS",O37)))</formula>
    </cfRule>
    <cfRule type="containsText" dxfId="323" priority="333" stopIfTrue="1" operator="containsText" text="PASS">
      <formula>NOT(ISERROR(SEARCH("PASS",O37)))</formula>
    </cfRule>
    <cfRule type="containsText" dxfId="322" priority="334" stopIfTrue="1" operator="containsText" text="FAIL">
      <formula>NOT(ISERROR(SEARCH("FAIL",O37)))</formula>
    </cfRule>
  </conditionalFormatting>
  <conditionalFormatting sqref="L42:L43 L49:L50">
    <cfRule type="containsText" dxfId="321" priority="327" operator="containsText" text="BLOCKED">
      <formula>NOT(ISERROR(SEARCH("BLOCKED",L42)))</formula>
    </cfRule>
    <cfRule type="containsText" dxfId="320" priority="328" stopIfTrue="1" operator="containsText" text="IN PROGRESS">
      <formula>NOT(ISERROR(SEARCH("IN PROGRESS",L42)))</formula>
    </cfRule>
    <cfRule type="containsText" dxfId="319" priority="329" stopIfTrue="1" operator="containsText" text="PASS">
      <formula>NOT(ISERROR(SEARCH("PASS",L42)))</formula>
    </cfRule>
    <cfRule type="containsText" dxfId="318" priority="330" stopIfTrue="1" operator="containsText" text="FAIL">
      <formula>NOT(ISERROR(SEARCH("FAIL",L42)))</formula>
    </cfRule>
  </conditionalFormatting>
  <conditionalFormatting sqref="L41 L44:L48 L51:L53">
    <cfRule type="containsText" dxfId="317" priority="323" operator="containsText" text="BLOCKED">
      <formula>NOT(ISERROR(SEARCH("BLOCKED",L41)))</formula>
    </cfRule>
    <cfRule type="containsText" dxfId="316" priority="324" stopIfTrue="1" operator="containsText" text="IN PROGRESS">
      <formula>NOT(ISERROR(SEARCH("IN PROGRESS",L41)))</formula>
    </cfRule>
    <cfRule type="containsText" dxfId="315" priority="325" stopIfTrue="1" operator="containsText" text="PASS">
      <formula>NOT(ISERROR(SEARCH("PASS",L41)))</formula>
    </cfRule>
    <cfRule type="containsText" dxfId="314" priority="326" stopIfTrue="1" operator="containsText" text="FAIL">
      <formula>NOT(ISERROR(SEARCH("FAIL",L41)))</formula>
    </cfRule>
  </conditionalFormatting>
  <conditionalFormatting sqref="M42:M43 M49:M50">
    <cfRule type="containsText" dxfId="313" priority="319" operator="containsText" text="BLOCKED">
      <formula>NOT(ISERROR(SEARCH("BLOCKED",M42)))</formula>
    </cfRule>
    <cfRule type="containsText" dxfId="312" priority="320" stopIfTrue="1" operator="containsText" text="IN PROGRESS">
      <formula>NOT(ISERROR(SEARCH("IN PROGRESS",M42)))</formula>
    </cfRule>
    <cfRule type="containsText" dxfId="311" priority="321" stopIfTrue="1" operator="containsText" text="PASS">
      <formula>NOT(ISERROR(SEARCH("PASS",M42)))</formula>
    </cfRule>
    <cfRule type="containsText" dxfId="310" priority="322" stopIfTrue="1" operator="containsText" text="FAIL">
      <formula>NOT(ISERROR(SEARCH("FAIL",M42)))</formula>
    </cfRule>
  </conditionalFormatting>
  <conditionalFormatting sqref="M41 M44:M48 M51:M53">
    <cfRule type="containsText" dxfId="309" priority="315" operator="containsText" text="BLOCKED">
      <formula>NOT(ISERROR(SEARCH("BLOCKED",M41)))</formula>
    </cfRule>
    <cfRule type="containsText" dxfId="308" priority="316" stopIfTrue="1" operator="containsText" text="IN PROGRESS">
      <formula>NOT(ISERROR(SEARCH("IN PROGRESS",M41)))</formula>
    </cfRule>
    <cfRule type="containsText" dxfId="307" priority="317" stopIfTrue="1" operator="containsText" text="PASS">
      <formula>NOT(ISERROR(SEARCH("PASS",M41)))</formula>
    </cfRule>
    <cfRule type="containsText" dxfId="306" priority="318" stopIfTrue="1" operator="containsText" text="FAIL">
      <formula>NOT(ISERROR(SEARCH("FAIL",M41)))</formula>
    </cfRule>
  </conditionalFormatting>
  <conditionalFormatting sqref="L33:M33">
    <cfRule type="containsText" dxfId="305" priority="311" operator="containsText" text="BLOCKED">
      <formula>NOT(ISERROR(SEARCH("BLOCKED",L33)))</formula>
    </cfRule>
    <cfRule type="containsText" dxfId="304" priority="312" stopIfTrue="1" operator="containsText" text="IN PROGRESS">
      <formula>NOT(ISERROR(SEARCH("IN PROGRESS",L33)))</formula>
    </cfRule>
    <cfRule type="containsText" dxfId="303" priority="313" stopIfTrue="1" operator="containsText" text="PASS">
      <formula>NOT(ISERROR(SEARCH("PASS",L33)))</formula>
    </cfRule>
    <cfRule type="containsText" dxfId="302" priority="314" stopIfTrue="1" operator="containsText" text="FAIL">
      <formula>NOT(ISERROR(SEARCH("FAIL",L33)))</formula>
    </cfRule>
  </conditionalFormatting>
  <conditionalFormatting sqref="O33">
    <cfRule type="containsText" dxfId="301" priority="307" operator="containsText" text="BLOCKED">
      <formula>NOT(ISERROR(SEARCH("BLOCKED",O33)))</formula>
    </cfRule>
    <cfRule type="containsText" dxfId="300" priority="308" stopIfTrue="1" operator="containsText" text="IN PROGRESS">
      <formula>NOT(ISERROR(SEARCH("IN PROGRESS",O33)))</formula>
    </cfRule>
    <cfRule type="containsText" dxfId="299" priority="309" stopIfTrue="1" operator="containsText" text="PASS">
      <formula>NOT(ISERROR(SEARCH("PASS",O33)))</formula>
    </cfRule>
    <cfRule type="containsText" dxfId="298" priority="310" stopIfTrue="1" operator="containsText" text="FAIL">
      <formula>NOT(ISERROR(SEARCH("FAIL",O33)))</formula>
    </cfRule>
  </conditionalFormatting>
  <conditionalFormatting sqref="L4:L8">
    <cfRule type="containsText" dxfId="297" priority="303" operator="containsText" text="BLOCKED">
      <formula>NOT(ISERROR(SEARCH("BLOCKED",L4)))</formula>
    </cfRule>
    <cfRule type="containsText" dxfId="296" priority="304" stopIfTrue="1" operator="containsText" text="IN PROGRESS">
      <formula>NOT(ISERROR(SEARCH("IN PROGRESS",L4)))</formula>
    </cfRule>
    <cfRule type="containsText" dxfId="295" priority="305" stopIfTrue="1" operator="containsText" text="PASS">
      <formula>NOT(ISERROR(SEARCH("PASS",L4)))</formula>
    </cfRule>
    <cfRule type="containsText" dxfId="294" priority="306" stopIfTrue="1" operator="containsText" text="FAIL">
      <formula>NOT(ISERROR(SEARCH("FAIL",L4)))</formula>
    </cfRule>
  </conditionalFormatting>
  <conditionalFormatting sqref="M4:M8">
    <cfRule type="containsText" dxfId="293" priority="299" operator="containsText" text="BLOCKED">
      <formula>NOT(ISERROR(SEARCH("BLOCKED",M4)))</formula>
    </cfRule>
    <cfRule type="containsText" dxfId="292" priority="300" stopIfTrue="1" operator="containsText" text="IN PROGRESS">
      <formula>NOT(ISERROR(SEARCH("IN PROGRESS",M4)))</formula>
    </cfRule>
    <cfRule type="containsText" dxfId="291" priority="301" stopIfTrue="1" operator="containsText" text="PASS">
      <formula>NOT(ISERROR(SEARCH("PASS",M4)))</formula>
    </cfRule>
    <cfRule type="containsText" dxfId="290" priority="302" stopIfTrue="1" operator="containsText" text="FAIL">
      <formula>NOT(ISERROR(SEARCH("FAIL",M4)))</formula>
    </cfRule>
  </conditionalFormatting>
  <conditionalFormatting sqref="L9">
    <cfRule type="containsText" dxfId="289" priority="295" operator="containsText" text="BLOCKED">
      <formula>NOT(ISERROR(SEARCH("BLOCKED",L9)))</formula>
    </cfRule>
    <cfRule type="containsText" dxfId="288" priority="296" stopIfTrue="1" operator="containsText" text="IN PROGRESS">
      <formula>NOT(ISERROR(SEARCH("IN PROGRESS",L9)))</formula>
    </cfRule>
    <cfRule type="containsText" dxfId="287" priority="297" stopIfTrue="1" operator="containsText" text="PASS">
      <formula>NOT(ISERROR(SEARCH("PASS",L9)))</formula>
    </cfRule>
    <cfRule type="containsText" dxfId="286" priority="298" stopIfTrue="1" operator="containsText" text="FAIL">
      <formula>NOT(ISERROR(SEARCH("FAIL",L9)))</formula>
    </cfRule>
  </conditionalFormatting>
  <conditionalFormatting sqref="O9">
    <cfRule type="containsText" dxfId="285" priority="291" operator="containsText" text="BLOCKED">
      <formula>NOT(ISERROR(SEARCH("BLOCKED",O9)))</formula>
    </cfRule>
    <cfRule type="containsText" dxfId="284" priority="292" stopIfTrue="1" operator="containsText" text="IN PROGRESS">
      <formula>NOT(ISERROR(SEARCH("IN PROGRESS",O9)))</formula>
    </cfRule>
    <cfRule type="containsText" dxfId="283" priority="293" stopIfTrue="1" operator="containsText" text="PASS">
      <formula>NOT(ISERROR(SEARCH("PASS",O9)))</formula>
    </cfRule>
    <cfRule type="containsText" dxfId="282" priority="294" stopIfTrue="1" operator="containsText" text="FAIL">
      <formula>NOT(ISERROR(SEARCH("FAIL",O9)))</formula>
    </cfRule>
  </conditionalFormatting>
  <conditionalFormatting sqref="L16">
    <cfRule type="containsText" dxfId="281" priority="287" operator="containsText" text="BLOCKED">
      <formula>NOT(ISERROR(SEARCH("BLOCKED",L16)))</formula>
    </cfRule>
    <cfRule type="containsText" dxfId="280" priority="288" stopIfTrue="1" operator="containsText" text="IN PROGRESS">
      <formula>NOT(ISERROR(SEARCH("IN PROGRESS",L16)))</formula>
    </cfRule>
    <cfRule type="containsText" dxfId="279" priority="289" stopIfTrue="1" operator="containsText" text="PASS">
      <formula>NOT(ISERROR(SEARCH("PASS",L16)))</formula>
    </cfRule>
    <cfRule type="containsText" dxfId="278" priority="290" stopIfTrue="1" operator="containsText" text="FAIL">
      <formula>NOT(ISERROR(SEARCH("FAIL",L16)))</formula>
    </cfRule>
  </conditionalFormatting>
  <conditionalFormatting sqref="O16">
    <cfRule type="containsText" dxfId="277" priority="283" operator="containsText" text="BLOCKED">
      <formula>NOT(ISERROR(SEARCH("BLOCKED",O16)))</formula>
    </cfRule>
    <cfRule type="containsText" dxfId="276" priority="284" stopIfTrue="1" operator="containsText" text="IN PROGRESS">
      <formula>NOT(ISERROR(SEARCH("IN PROGRESS",O16)))</formula>
    </cfRule>
    <cfRule type="containsText" dxfId="275" priority="285" stopIfTrue="1" operator="containsText" text="PASS">
      <formula>NOT(ISERROR(SEARCH("PASS",O16)))</formula>
    </cfRule>
    <cfRule type="containsText" dxfId="274" priority="286" stopIfTrue="1" operator="containsText" text="FAIL">
      <formula>NOT(ISERROR(SEARCH("FAIL",O16)))</formula>
    </cfRule>
  </conditionalFormatting>
  <conditionalFormatting sqref="L24">
    <cfRule type="containsText" dxfId="273" priority="279" operator="containsText" text="BLOCKED">
      <formula>NOT(ISERROR(SEARCH("BLOCKED",L24)))</formula>
    </cfRule>
    <cfRule type="containsText" dxfId="272" priority="280" stopIfTrue="1" operator="containsText" text="IN PROGRESS">
      <formula>NOT(ISERROR(SEARCH("IN PROGRESS",L24)))</formula>
    </cfRule>
    <cfRule type="containsText" dxfId="271" priority="281" stopIfTrue="1" operator="containsText" text="PASS">
      <formula>NOT(ISERROR(SEARCH("PASS",L24)))</formula>
    </cfRule>
    <cfRule type="containsText" dxfId="270" priority="282" stopIfTrue="1" operator="containsText" text="FAIL">
      <formula>NOT(ISERROR(SEARCH("FAIL",L24)))</formula>
    </cfRule>
  </conditionalFormatting>
  <conditionalFormatting sqref="O24">
    <cfRule type="containsText" dxfId="269" priority="275" operator="containsText" text="BLOCKED">
      <formula>NOT(ISERROR(SEARCH("BLOCKED",O24)))</formula>
    </cfRule>
    <cfRule type="containsText" dxfId="268" priority="276" stopIfTrue="1" operator="containsText" text="IN PROGRESS">
      <formula>NOT(ISERROR(SEARCH("IN PROGRESS",O24)))</formula>
    </cfRule>
    <cfRule type="containsText" dxfId="267" priority="277" stopIfTrue="1" operator="containsText" text="PASS">
      <formula>NOT(ISERROR(SEARCH("PASS",O24)))</formula>
    </cfRule>
    <cfRule type="containsText" dxfId="266" priority="278" stopIfTrue="1" operator="containsText" text="FAIL">
      <formula>NOT(ISERROR(SEARCH("FAIL",O24)))</formula>
    </cfRule>
  </conditionalFormatting>
  <conditionalFormatting sqref="O29:O30">
    <cfRule type="containsText" dxfId="265" priority="271" operator="containsText" text="BLOCKED">
      <formula>NOT(ISERROR(SEARCH("BLOCKED",O29)))</formula>
    </cfRule>
    <cfRule type="containsText" dxfId="264" priority="272" stopIfTrue="1" operator="containsText" text="IN PROGRESS">
      <formula>NOT(ISERROR(SEARCH("IN PROGRESS",O29)))</formula>
    </cfRule>
    <cfRule type="containsText" dxfId="263" priority="273" stopIfTrue="1" operator="containsText" text="PASS">
      <formula>NOT(ISERROR(SEARCH("PASS",O29)))</formula>
    </cfRule>
    <cfRule type="containsText" dxfId="262" priority="274" stopIfTrue="1" operator="containsText" text="FAIL">
      <formula>NOT(ISERROR(SEARCH("FAIL",O29)))</formula>
    </cfRule>
  </conditionalFormatting>
  <conditionalFormatting sqref="O32">
    <cfRule type="containsText" dxfId="261" priority="267" operator="containsText" text="BLOCKED">
      <formula>NOT(ISERROR(SEARCH("BLOCKED",O32)))</formula>
    </cfRule>
    <cfRule type="containsText" dxfId="260" priority="268" stopIfTrue="1" operator="containsText" text="IN PROGRESS">
      <formula>NOT(ISERROR(SEARCH("IN PROGRESS",O32)))</formula>
    </cfRule>
    <cfRule type="containsText" dxfId="259" priority="269" stopIfTrue="1" operator="containsText" text="PASS">
      <formula>NOT(ISERROR(SEARCH("PASS",O32)))</formula>
    </cfRule>
    <cfRule type="containsText" dxfId="258" priority="270" stopIfTrue="1" operator="containsText" text="FAIL">
      <formula>NOT(ISERROR(SEARCH("FAIL",O32)))</formula>
    </cfRule>
  </conditionalFormatting>
  <conditionalFormatting sqref="L56:M56">
    <cfRule type="containsText" dxfId="257" priority="263" operator="containsText" text="BLOCKED">
      <formula>NOT(ISERROR(SEARCH("BLOCKED",L56)))</formula>
    </cfRule>
    <cfRule type="containsText" dxfId="256" priority="264" stopIfTrue="1" operator="containsText" text="IN PROGRESS">
      <formula>NOT(ISERROR(SEARCH("IN PROGRESS",L56)))</formula>
    </cfRule>
    <cfRule type="containsText" dxfId="255" priority="265" stopIfTrue="1" operator="containsText" text="PASS">
      <formula>NOT(ISERROR(SEARCH("PASS",L56)))</formula>
    </cfRule>
    <cfRule type="containsText" dxfId="254" priority="266" stopIfTrue="1" operator="containsText" text="FAIL">
      <formula>NOT(ISERROR(SEARCH("FAIL",L56)))</formula>
    </cfRule>
  </conditionalFormatting>
  <conditionalFormatting sqref="L59:M59">
    <cfRule type="containsText" dxfId="253" priority="259" operator="containsText" text="BLOCKED">
      <formula>NOT(ISERROR(SEARCH("BLOCKED",L59)))</formula>
    </cfRule>
    <cfRule type="containsText" dxfId="252" priority="260" stopIfTrue="1" operator="containsText" text="IN PROGRESS">
      <formula>NOT(ISERROR(SEARCH("IN PROGRESS",L59)))</formula>
    </cfRule>
    <cfRule type="containsText" dxfId="251" priority="261" stopIfTrue="1" operator="containsText" text="PASS">
      <formula>NOT(ISERROR(SEARCH("PASS",L59)))</formula>
    </cfRule>
    <cfRule type="containsText" dxfId="250" priority="262" stopIfTrue="1" operator="containsText" text="FAIL">
      <formula>NOT(ISERROR(SEARCH("FAIL",L59)))</formula>
    </cfRule>
  </conditionalFormatting>
  <conditionalFormatting sqref="O59 O56">
    <cfRule type="containsText" dxfId="249" priority="251" operator="containsText" text="BLOCKED">
      <formula>NOT(ISERROR(SEARCH("BLOCKED",O56)))</formula>
    </cfRule>
    <cfRule type="containsText" dxfId="248" priority="252" stopIfTrue="1" operator="containsText" text="IN PROGRESS">
      <formula>NOT(ISERROR(SEARCH("IN PROGRESS",O56)))</formula>
    </cfRule>
    <cfRule type="containsText" dxfId="247" priority="253" stopIfTrue="1" operator="containsText" text="PASS">
      <formula>NOT(ISERROR(SEARCH("PASS",O56)))</formula>
    </cfRule>
    <cfRule type="containsText" dxfId="246" priority="254" stopIfTrue="1" operator="containsText" text="FAIL">
      <formula>NOT(ISERROR(SEARCH("FAIL",O56)))</formula>
    </cfRule>
  </conditionalFormatting>
  <conditionalFormatting sqref="L62:M62">
    <cfRule type="containsText" dxfId="245" priority="247" operator="containsText" text="BLOCKED">
      <formula>NOT(ISERROR(SEARCH("BLOCKED",L62)))</formula>
    </cfRule>
    <cfRule type="containsText" dxfId="244" priority="248" stopIfTrue="1" operator="containsText" text="IN PROGRESS">
      <formula>NOT(ISERROR(SEARCH("IN PROGRESS",L62)))</formula>
    </cfRule>
    <cfRule type="containsText" dxfId="243" priority="249" stopIfTrue="1" operator="containsText" text="PASS">
      <formula>NOT(ISERROR(SEARCH("PASS",L62)))</formula>
    </cfRule>
    <cfRule type="containsText" dxfId="242" priority="250" stopIfTrue="1" operator="containsText" text="FAIL">
      <formula>NOT(ISERROR(SEARCH("FAIL",L62)))</formula>
    </cfRule>
  </conditionalFormatting>
  <conditionalFormatting sqref="O62">
    <cfRule type="containsText" dxfId="241" priority="243" operator="containsText" text="BLOCKED">
      <formula>NOT(ISERROR(SEARCH("BLOCKED",O62)))</formula>
    </cfRule>
    <cfRule type="containsText" dxfId="240" priority="244" stopIfTrue="1" operator="containsText" text="IN PROGRESS">
      <formula>NOT(ISERROR(SEARCH("IN PROGRESS",O62)))</formula>
    </cfRule>
    <cfRule type="containsText" dxfId="239" priority="245" stopIfTrue="1" operator="containsText" text="PASS">
      <formula>NOT(ISERROR(SEARCH("PASS",O62)))</formula>
    </cfRule>
    <cfRule type="containsText" dxfId="238" priority="246" stopIfTrue="1" operator="containsText" text="FAIL">
      <formula>NOT(ISERROR(SEARCH("FAIL",O62)))</formula>
    </cfRule>
  </conditionalFormatting>
  <conditionalFormatting sqref="L69:M69">
    <cfRule type="containsText" dxfId="237" priority="239" operator="containsText" text="BLOCKED">
      <formula>NOT(ISERROR(SEARCH("BLOCKED",L69)))</formula>
    </cfRule>
    <cfRule type="containsText" dxfId="236" priority="240" stopIfTrue="1" operator="containsText" text="IN PROGRESS">
      <formula>NOT(ISERROR(SEARCH("IN PROGRESS",L69)))</formula>
    </cfRule>
    <cfRule type="containsText" dxfId="235" priority="241" stopIfTrue="1" operator="containsText" text="PASS">
      <formula>NOT(ISERROR(SEARCH("PASS",L69)))</formula>
    </cfRule>
    <cfRule type="containsText" dxfId="234" priority="242" stopIfTrue="1" operator="containsText" text="FAIL">
      <formula>NOT(ISERROR(SEARCH("FAIL",L69)))</formula>
    </cfRule>
  </conditionalFormatting>
  <conditionalFormatting sqref="L70:M70">
    <cfRule type="containsText" dxfId="233" priority="235" operator="containsText" text="BLOCKED">
      <formula>NOT(ISERROR(SEARCH("BLOCKED",L70)))</formula>
    </cfRule>
    <cfRule type="containsText" dxfId="232" priority="236" stopIfTrue="1" operator="containsText" text="IN PROGRESS">
      <formula>NOT(ISERROR(SEARCH("IN PROGRESS",L70)))</formula>
    </cfRule>
    <cfRule type="containsText" dxfId="231" priority="237" stopIfTrue="1" operator="containsText" text="PASS">
      <formula>NOT(ISERROR(SEARCH("PASS",L70)))</formula>
    </cfRule>
    <cfRule type="containsText" dxfId="230" priority="238" stopIfTrue="1" operator="containsText" text="FAIL">
      <formula>NOT(ISERROR(SEARCH("FAIL",L70)))</formula>
    </cfRule>
  </conditionalFormatting>
  <conditionalFormatting sqref="L71:M71">
    <cfRule type="containsText" dxfId="229" priority="231" operator="containsText" text="BLOCKED">
      <formula>NOT(ISERROR(SEARCH("BLOCKED",L71)))</formula>
    </cfRule>
    <cfRule type="containsText" dxfId="228" priority="232" stopIfTrue="1" operator="containsText" text="IN PROGRESS">
      <formula>NOT(ISERROR(SEARCH("IN PROGRESS",L71)))</formula>
    </cfRule>
    <cfRule type="containsText" dxfId="227" priority="233" stopIfTrue="1" operator="containsText" text="PASS">
      <formula>NOT(ISERROR(SEARCH("PASS",L71)))</formula>
    </cfRule>
    <cfRule type="containsText" dxfId="226" priority="234" stopIfTrue="1" operator="containsText" text="FAIL">
      <formula>NOT(ISERROR(SEARCH("FAIL",L71)))</formula>
    </cfRule>
  </conditionalFormatting>
  <conditionalFormatting sqref="L72:L73">
    <cfRule type="containsText" dxfId="225" priority="227" operator="containsText" text="BLOCKED">
      <formula>NOT(ISERROR(SEARCH("BLOCKED",L72)))</formula>
    </cfRule>
    <cfRule type="containsText" dxfId="224" priority="228" stopIfTrue="1" operator="containsText" text="IN PROGRESS">
      <formula>NOT(ISERROR(SEARCH("IN PROGRESS",L72)))</formula>
    </cfRule>
    <cfRule type="containsText" dxfId="223" priority="229" stopIfTrue="1" operator="containsText" text="PASS">
      <formula>NOT(ISERROR(SEARCH("PASS",L72)))</formula>
    </cfRule>
    <cfRule type="containsText" dxfId="222" priority="230" stopIfTrue="1" operator="containsText" text="FAIL">
      <formula>NOT(ISERROR(SEARCH("FAIL",L72)))</formula>
    </cfRule>
  </conditionalFormatting>
  <conditionalFormatting sqref="M72:M73">
    <cfRule type="containsText" dxfId="221" priority="223" operator="containsText" text="BLOCKED">
      <formula>NOT(ISERROR(SEARCH("BLOCKED",M72)))</formula>
    </cfRule>
    <cfRule type="containsText" dxfId="220" priority="224" stopIfTrue="1" operator="containsText" text="IN PROGRESS">
      <formula>NOT(ISERROR(SEARCH("IN PROGRESS",M72)))</formula>
    </cfRule>
    <cfRule type="containsText" dxfId="219" priority="225" stopIfTrue="1" operator="containsText" text="PASS">
      <formula>NOT(ISERROR(SEARCH("PASS",M72)))</formula>
    </cfRule>
    <cfRule type="containsText" dxfId="218" priority="226" stopIfTrue="1" operator="containsText" text="FAIL">
      <formula>NOT(ISERROR(SEARCH("FAIL",M72)))</formula>
    </cfRule>
  </conditionalFormatting>
  <conditionalFormatting sqref="O69">
    <cfRule type="containsText" dxfId="217" priority="219" operator="containsText" text="BLOCKED">
      <formula>NOT(ISERROR(SEARCH("BLOCKED",O69)))</formula>
    </cfRule>
    <cfRule type="containsText" dxfId="216" priority="220" stopIfTrue="1" operator="containsText" text="IN PROGRESS">
      <formula>NOT(ISERROR(SEARCH("IN PROGRESS",O69)))</formula>
    </cfRule>
    <cfRule type="containsText" dxfId="215" priority="221" stopIfTrue="1" operator="containsText" text="PASS">
      <formula>NOT(ISERROR(SEARCH("PASS",O69)))</formula>
    </cfRule>
    <cfRule type="containsText" dxfId="214" priority="222" stopIfTrue="1" operator="containsText" text="FAIL">
      <formula>NOT(ISERROR(SEARCH("FAIL",O69)))</formula>
    </cfRule>
  </conditionalFormatting>
  <conditionalFormatting sqref="O70">
    <cfRule type="containsText" dxfId="213" priority="215" operator="containsText" text="BLOCKED">
      <formula>NOT(ISERROR(SEARCH("BLOCKED",O70)))</formula>
    </cfRule>
    <cfRule type="containsText" dxfId="212" priority="216" stopIfTrue="1" operator="containsText" text="IN PROGRESS">
      <formula>NOT(ISERROR(SEARCH("IN PROGRESS",O70)))</formula>
    </cfRule>
    <cfRule type="containsText" dxfId="211" priority="217" stopIfTrue="1" operator="containsText" text="PASS">
      <formula>NOT(ISERROR(SEARCH("PASS",O70)))</formula>
    </cfRule>
    <cfRule type="containsText" dxfId="210" priority="218" stopIfTrue="1" operator="containsText" text="FAIL">
      <formula>NOT(ISERROR(SEARCH("FAIL",O70)))</formula>
    </cfRule>
  </conditionalFormatting>
  <conditionalFormatting sqref="O71">
    <cfRule type="containsText" dxfId="209" priority="211" operator="containsText" text="BLOCKED">
      <formula>NOT(ISERROR(SEARCH("BLOCKED",O71)))</formula>
    </cfRule>
    <cfRule type="containsText" dxfId="208" priority="212" stopIfTrue="1" operator="containsText" text="IN PROGRESS">
      <formula>NOT(ISERROR(SEARCH("IN PROGRESS",O71)))</formula>
    </cfRule>
    <cfRule type="containsText" dxfId="207" priority="213" stopIfTrue="1" operator="containsText" text="PASS">
      <formula>NOT(ISERROR(SEARCH("PASS",O71)))</formula>
    </cfRule>
    <cfRule type="containsText" dxfId="206" priority="214" stopIfTrue="1" operator="containsText" text="FAIL">
      <formula>NOT(ISERROR(SEARCH("FAIL",O71)))</formula>
    </cfRule>
  </conditionalFormatting>
  <conditionalFormatting sqref="L74:M74">
    <cfRule type="containsText" dxfId="205" priority="207" operator="containsText" text="BLOCKED">
      <formula>NOT(ISERROR(SEARCH("BLOCKED",L74)))</formula>
    </cfRule>
    <cfRule type="containsText" dxfId="204" priority="208" stopIfTrue="1" operator="containsText" text="IN PROGRESS">
      <formula>NOT(ISERROR(SEARCH("IN PROGRESS",L74)))</formula>
    </cfRule>
    <cfRule type="containsText" dxfId="203" priority="209" stopIfTrue="1" operator="containsText" text="PASS">
      <formula>NOT(ISERROR(SEARCH("PASS",L74)))</formula>
    </cfRule>
    <cfRule type="containsText" dxfId="202" priority="210" stopIfTrue="1" operator="containsText" text="FAIL">
      <formula>NOT(ISERROR(SEARCH("FAIL",L74)))</formula>
    </cfRule>
  </conditionalFormatting>
  <conditionalFormatting sqref="O74">
    <cfRule type="containsText" dxfId="201" priority="203" operator="containsText" text="BLOCKED">
      <formula>NOT(ISERROR(SEARCH("BLOCKED",O74)))</formula>
    </cfRule>
    <cfRule type="containsText" dxfId="200" priority="204" stopIfTrue="1" operator="containsText" text="IN PROGRESS">
      <formula>NOT(ISERROR(SEARCH("IN PROGRESS",O74)))</formula>
    </cfRule>
    <cfRule type="containsText" dxfId="199" priority="205" stopIfTrue="1" operator="containsText" text="PASS">
      <formula>NOT(ISERROR(SEARCH("PASS",O74)))</formula>
    </cfRule>
    <cfRule type="containsText" dxfId="198" priority="206" stopIfTrue="1" operator="containsText" text="FAIL">
      <formula>NOT(ISERROR(SEARCH("FAIL",O74)))</formula>
    </cfRule>
  </conditionalFormatting>
  <conditionalFormatting sqref="L76:M76">
    <cfRule type="containsText" dxfId="197" priority="199" operator="containsText" text="BLOCKED">
      <formula>NOT(ISERROR(SEARCH("BLOCKED",L76)))</formula>
    </cfRule>
    <cfRule type="containsText" dxfId="196" priority="200" stopIfTrue="1" operator="containsText" text="IN PROGRESS">
      <formula>NOT(ISERROR(SEARCH("IN PROGRESS",L76)))</formula>
    </cfRule>
    <cfRule type="containsText" dxfId="195" priority="201" stopIfTrue="1" operator="containsText" text="PASS">
      <formula>NOT(ISERROR(SEARCH("PASS",L76)))</formula>
    </cfRule>
    <cfRule type="containsText" dxfId="194" priority="202" stopIfTrue="1" operator="containsText" text="FAIL">
      <formula>NOT(ISERROR(SEARCH("FAIL",L76)))</formula>
    </cfRule>
  </conditionalFormatting>
  <conditionalFormatting sqref="L77:M77">
    <cfRule type="containsText" dxfId="193" priority="195" operator="containsText" text="BLOCKED">
      <formula>NOT(ISERROR(SEARCH("BLOCKED",L77)))</formula>
    </cfRule>
    <cfRule type="containsText" dxfId="192" priority="196" stopIfTrue="1" operator="containsText" text="IN PROGRESS">
      <formula>NOT(ISERROR(SEARCH("IN PROGRESS",L77)))</formula>
    </cfRule>
    <cfRule type="containsText" dxfId="191" priority="197" stopIfTrue="1" operator="containsText" text="PASS">
      <formula>NOT(ISERROR(SEARCH("PASS",L77)))</formula>
    </cfRule>
    <cfRule type="containsText" dxfId="190" priority="198" stopIfTrue="1" operator="containsText" text="FAIL">
      <formula>NOT(ISERROR(SEARCH("FAIL",L77)))</formula>
    </cfRule>
  </conditionalFormatting>
  <conditionalFormatting sqref="L78:M78">
    <cfRule type="containsText" dxfId="189" priority="191" operator="containsText" text="BLOCKED">
      <formula>NOT(ISERROR(SEARCH("BLOCKED",L78)))</formula>
    </cfRule>
    <cfRule type="containsText" dxfId="188" priority="192" stopIfTrue="1" operator="containsText" text="IN PROGRESS">
      <formula>NOT(ISERROR(SEARCH("IN PROGRESS",L78)))</formula>
    </cfRule>
    <cfRule type="containsText" dxfId="187" priority="193" stopIfTrue="1" operator="containsText" text="PASS">
      <formula>NOT(ISERROR(SEARCH("PASS",L78)))</formula>
    </cfRule>
    <cfRule type="containsText" dxfId="186" priority="194" stopIfTrue="1" operator="containsText" text="FAIL">
      <formula>NOT(ISERROR(SEARCH("FAIL",L78)))</formula>
    </cfRule>
  </conditionalFormatting>
  <conditionalFormatting sqref="O76">
    <cfRule type="containsText" dxfId="185" priority="187" operator="containsText" text="BLOCKED">
      <formula>NOT(ISERROR(SEARCH("BLOCKED",O76)))</formula>
    </cfRule>
    <cfRule type="containsText" dxfId="184" priority="188" stopIfTrue="1" operator="containsText" text="IN PROGRESS">
      <formula>NOT(ISERROR(SEARCH("IN PROGRESS",O76)))</formula>
    </cfRule>
    <cfRule type="containsText" dxfId="183" priority="189" stopIfTrue="1" operator="containsText" text="PASS">
      <formula>NOT(ISERROR(SEARCH("PASS",O76)))</formula>
    </cfRule>
    <cfRule type="containsText" dxfId="182" priority="190" stopIfTrue="1" operator="containsText" text="FAIL">
      <formula>NOT(ISERROR(SEARCH("FAIL",O76)))</formula>
    </cfRule>
  </conditionalFormatting>
  <conditionalFormatting sqref="O77">
    <cfRule type="containsText" dxfId="181" priority="183" operator="containsText" text="BLOCKED">
      <formula>NOT(ISERROR(SEARCH("BLOCKED",O77)))</formula>
    </cfRule>
    <cfRule type="containsText" dxfId="180" priority="184" stopIfTrue="1" operator="containsText" text="IN PROGRESS">
      <formula>NOT(ISERROR(SEARCH("IN PROGRESS",O77)))</formula>
    </cfRule>
    <cfRule type="containsText" dxfId="179" priority="185" stopIfTrue="1" operator="containsText" text="PASS">
      <formula>NOT(ISERROR(SEARCH("PASS",O77)))</formula>
    </cfRule>
    <cfRule type="containsText" dxfId="178" priority="186" stopIfTrue="1" operator="containsText" text="FAIL">
      <formula>NOT(ISERROR(SEARCH("FAIL",O77)))</formula>
    </cfRule>
  </conditionalFormatting>
  <conditionalFormatting sqref="O78">
    <cfRule type="containsText" dxfId="177" priority="179" operator="containsText" text="BLOCKED">
      <formula>NOT(ISERROR(SEARCH("BLOCKED",O78)))</formula>
    </cfRule>
    <cfRule type="containsText" dxfId="176" priority="180" stopIfTrue="1" operator="containsText" text="IN PROGRESS">
      <formula>NOT(ISERROR(SEARCH("IN PROGRESS",O78)))</formula>
    </cfRule>
    <cfRule type="containsText" dxfId="175" priority="181" stopIfTrue="1" operator="containsText" text="PASS">
      <formula>NOT(ISERROR(SEARCH("PASS",O78)))</formula>
    </cfRule>
    <cfRule type="containsText" dxfId="174" priority="182" stopIfTrue="1" operator="containsText" text="FAIL">
      <formula>NOT(ISERROR(SEARCH("FAIL",O78)))</formula>
    </cfRule>
  </conditionalFormatting>
  <conditionalFormatting sqref="L80:M80">
    <cfRule type="containsText" dxfId="173" priority="175" operator="containsText" text="BLOCKED">
      <formula>NOT(ISERROR(SEARCH("BLOCKED",L80)))</formula>
    </cfRule>
    <cfRule type="containsText" dxfId="172" priority="176" stopIfTrue="1" operator="containsText" text="IN PROGRESS">
      <formula>NOT(ISERROR(SEARCH("IN PROGRESS",L80)))</formula>
    </cfRule>
    <cfRule type="containsText" dxfId="171" priority="177" stopIfTrue="1" operator="containsText" text="PASS">
      <formula>NOT(ISERROR(SEARCH("PASS",L80)))</formula>
    </cfRule>
    <cfRule type="containsText" dxfId="170" priority="178" stopIfTrue="1" operator="containsText" text="FAIL">
      <formula>NOT(ISERROR(SEARCH("FAIL",L80)))</formula>
    </cfRule>
  </conditionalFormatting>
  <conditionalFormatting sqref="O80">
    <cfRule type="containsText" dxfId="169" priority="171" operator="containsText" text="BLOCKED">
      <formula>NOT(ISERROR(SEARCH("BLOCKED",O80)))</formula>
    </cfRule>
    <cfRule type="containsText" dxfId="168" priority="172" stopIfTrue="1" operator="containsText" text="IN PROGRESS">
      <formula>NOT(ISERROR(SEARCH("IN PROGRESS",O80)))</formula>
    </cfRule>
    <cfRule type="containsText" dxfId="167" priority="173" stopIfTrue="1" operator="containsText" text="PASS">
      <formula>NOT(ISERROR(SEARCH("PASS",O80)))</formula>
    </cfRule>
    <cfRule type="containsText" dxfId="166" priority="174" stopIfTrue="1" operator="containsText" text="FAIL">
      <formula>NOT(ISERROR(SEARCH("FAIL",O80)))</formula>
    </cfRule>
  </conditionalFormatting>
  <conditionalFormatting sqref="L75">
    <cfRule type="containsText" dxfId="165" priority="167" operator="containsText" text="BLOCKED">
      <formula>NOT(ISERROR(SEARCH("BLOCKED",L75)))</formula>
    </cfRule>
    <cfRule type="containsText" dxfId="164" priority="168" stopIfTrue="1" operator="containsText" text="IN PROGRESS">
      <formula>NOT(ISERROR(SEARCH("IN PROGRESS",L75)))</formula>
    </cfRule>
    <cfRule type="containsText" dxfId="163" priority="169" stopIfTrue="1" operator="containsText" text="PASS">
      <formula>NOT(ISERROR(SEARCH("PASS",L75)))</formula>
    </cfRule>
    <cfRule type="containsText" dxfId="162" priority="170" stopIfTrue="1" operator="containsText" text="FAIL">
      <formula>NOT(ISERROR(SEARCH("FAIL",L75)))</formula>
    </cfRule>
  </conditionalFormatting>
  <conditionalFormatting sqref="M75">
    <cfRule type="containsText" dxfId="161" priority="163" operator="containsText" text="BLOCKED">
      <formula>NOT(ISERROR(SEARCH("BLOCKED",M75)))</formula>
    </cfRule>
    <cfRule type="containsText" dxfId="160" priority="164" stopIfTrue="1" operator="containsText" text="IN PROGRESS">
      <formula>NOT(ISERROR(SEARCH("IN PROGRESS",M75)))</formula>
    </cfRule>
    <cfRule type="containsText" dxfId="159" priority="165" stopIfTrue="1" operator="containsText" text="PASS">
      <formula>NOT(ISERROR(SEARCH("PASS",M75)))</formula>
    </cfRule>
    <cfRule type="containsText" dxfId="158" priority="166" stopIfTrue="1" operator="containsText" text="FAIL">
      <formula>NOT(ISERROR(SEARCH("FAIL",M75)))</formula>
    </cfRule>
  </conditionalFormatting>
  <conditionalFormatting sqref="L64:M65">
    <cfRule type="containsText" dxfId="157" priority="159" operator="containsText" text="BLOCKED">
      <formula>NOT(ISERROR(SEARCH("BLOCKED",L64)))</formula>
    </cfRule>
    <cfRule type="containsText" dxfId="156" priority="160" stopIfTrue="1" operator="containsText" text="IN PROGRESS">
      <formula>NOT(ISERROR(SEARCH("IN PROGRESS",L64)))</formula>
    </cfRule>
    <cfRule type="containsText" dxfId="155" priority="161" stopIfTrue="1" operator="containsText" text="PASS">
      <formula>NOT(ISERROR(SEARCH("PASS",L64)))</formula>
    </cfRule>
    <cfRule type="containsText" dxfId="154" priority="162" stopIfTrue="1" operator="containsText" text="FAIL">
      <formula>NOT(ISERROR(SEARCH("FAIL",L64)))</formula>
    </cfRule>
  </conditionalFormatting>
  <conditionalFormatting sqref="O64:O65">
    <cfRule type="containsText" dxfId="153" priority="155" operator="containsText" text="BLOCKED">
      <formula>NOT(ISERROR(SEARCH("BLOCKED",O64)))</formula>
    </cfRule>
    <cfRule type="containsText" dxfId="152" priority="156" stopIfTrue="1" operator="containsText" text="IN PROGRESS">
      <formula>NOT(ISERROR(SEARCH("IN PROGRESS",O64)))</formula>
    </cfRule>
    <cfRule type="containsText" dxfId="151" priority="157" stopIfTrue="1" operator="containsText" text="PASS">
      <formula>NOT(ISERROR(SEARCH("PASS",O64)))</formula>
    </cfRule>
    <cfRule type="containsText" dxfId="150" priority="158" stopIfTrue="1" operator="containsText" text="FAIL">
      <formula>NOT(ISERROR(SEARCH("FAIL",O64)))</formula>
    </cfRule>
  </conditionalFormatting>
  <conditionalFormatting sqref="L57">
    <cfRule type="containsText" dxfId="149" priority="151" operator="containsText" text="BLOCKED">
      <formula>NOT(ISERROR(SEARCH("BLOCKED",L57)))</formula>
    </cfRule>
    <cfRule type="containsText" dxfId="148" priority="152" stopIfTrue="1" operator="containsText" text="IN PROGRESS">
      <formula>NOT(ISERROR(SEARCH("IN PROGRESS",L57)))</formula>
    </cfRule>
    <cfRule type="containsText" dxfId="147" priority="153" stopIfTrue="1" operator="containsText" text="PASS">
      <formula>NOT(ISERROR(SEARCH("PASS",L57)))</formula>
    </cfRule>
    <cfRule type="containsText" dxfId="146" priority="154" stopIfTrue="1" operator="containsText" text="FAIL">
      <formula>NOT(ISERROR(SEARCH("FAIL",L57)))</formula>
    </cfRule>
  </conditionalFormatting>
  <conditionalFormatting sqref="L58">
    <cfRule type="containsText" dxfId="145" priority="147" operator="containsText" text="BLOCKED">
      <formula>NOT(ISERROR(SEARCH("BLOCKED",L58)))</formula>
    </cfRule>
    <cfRule type="containsText" dxfId="144" priority="148" stopIfTrue="1" operator="containsText" text="IN PROGRESS">
      <formula>NOT(ISERROR(SEARCH("IN PROGRESS",L58)))</formula>
    </cfRule>
    <cfRule type="containsText" dxfId="143" priority="149" stopIfTrue="1" operator="containsText" text="PASS">
      <formula>NOT(ISERROR(SEARCH("PASS",L58)))</formula>
    </cfRule>
    <cfRule type="containsText" dxfId="142" priority="150" stopIfTrue="1" operator="containsText" text="FAIL">
      <formula>NOT(ISERROR(SEARCH("FAIL",L58)))</formula>
    </cfRule>
  </conditionalFormatting>
  <conditionalFormatting sqref="M57">
    <cfRule type="containsText" dxfId="141" priority="143" operator="containsText" text="BLOCKED">
      <formula>NOT(ISERROR(SEARCH("BLOCKED",M57)))</formula>
    </cfRule>
    <cfRule type="containsText" dxfId="140" priority="144" stopIfTrue="1" operator="containsText" text="IN PROGRESS">
      <formula>NOT(ISERROR(SEARCH("IN PROGRESS",M57)))</formula>
    </cfRule>
    <cfRule type="containsText" dxfId="139" priority="145" stopIfTrue="1" operator="containsText" text="PASS">
      <formula>NOT(ISERROR(SEARCH("PASS",M57)))</formula>
    </cfRule>
    <cfRule type="containsText" dxfId="138" priority="146" stopIfTrue="1" operator="containsText" text="FAIL">
      <formula>NOT(ISERROR(SEARCH("FAIL",M57)))</formula>
    </cfRule>
  </conditionalFormatting>
  <conditionalFormatting sqref="M58">
    <cfRule type="containsText" dxfId="137" priority="139" operator="containsText" text="BLOCKED">
      <formula>NOT(ISERROR(SEARCH("BLOCKED",M58)))</formula>
    </cfRule>
    <cfRule type="containsText" dxfId="136" priority="140" stopIfTrue="1" operator="containsText" text="IN PROGRESS">
      <formula>NOT(ISERROR(SEARCH("IN PROGRESS",M58)))</formula>
    </cfRule>
    <cfRule type="containsText" dxfId="135" priority="141" stopIfTrue="1" operator="containsText" text="PASS">
      <formula>NOT(ISERROR(SEARCH("PASS",M58)))</formula>
    </cfRule>
    <cfRule type="containsText" dxfId="134" priority="142" stopIfTrue="1" operator="containsText" text="FAIL">
      <formula>NOT(ISERROR(SEARCH("FAIL",M58)))</formula>
    </cfRule>
  </conditionalFormatting>
  <conditionalFormatting sqref="L54">
    <cfRule type="containsText" dxfId="133" priority="135" operator="containsText" text="BLOCKED">
      <formula>NOT(ISERROR(SEARCH("BLOCKED",L54)))</formula>
    </cfRule>
    <cfRule type="containsText" dxfId="132" priority="136" stopIfTrue="1" operator="containsText" text="IN PROGRESS">
      <formula>NOT(ISERROR(SEARCH("IN PROGRESS",L54)))</formula>
    </cfRule>
    <cfRule type="containsText" dxfId="131" priority="137" stopIfTrue="1" operator="containsText" text="PASS">
      <formula>NOT(ISERROR(SEARCH("PASS",L54)))</formula>
    </cfRule>
    <cfRule type="containsText" dxfId="130" priority="138" stopIfTrue="1" operator="containsText" text="FAIL">
      <formula>NOT(ISERROR(SEARCH("FAIL",L54)))</formula>
    </cfRule>
  </conditionalFormatting>
  <conditionalFormatting sqref="L55:M55">
    <cfRule type="containsText" dxfId="129" priority="131" operator="containsText" text="BLOCKED">
      <formula>NOT(ISERROR(SEARCH("BLOCKED",L55)))</formula>
    </cfRule>
    <cfRule type="containsText" dxfId="128" priority="132" stopIfTrue="1" operator="containsText" text="IN PROGRESS">
      <formula>NOT(ISERROR(SEARCH("IN PROGRESS",L55)))</formula>
    </cfRule>
    <cfRule type="containsText" dxfId="127" priority="133" stopIfTrue="1" operator="containsText" text="PASS">
      <formula>NOT(ISERROR(SEARCH("PASS",L55)))</formula>
    </cfRule>
    <cfRule type="containsText" dxfId="126" priority="134" stopIfTrue="1" operator="containsText" text="FAIL">
      <formula>NOT(ISERROR(SEARCH("FAIL",L55)))</formula>
    </cfRule>
  </conditionalFormatting>
  <conditionalFormatting sqref="M54">
    <cfRule type="containsText" dxfId="125" priority="127" operator="containsText" text="BLOCKED">
      <formula>NOT(ISERROR(SEARCH("BLOCKED",M54)))</formula>
    </cfRule>
    <cfRule type="containsText" dxfId="124" priority="128" stopIfTrue="1" operator="containsText" text="IN PROGRESS">
      <formula>NOT(ISERROR(SEARCH("IN PROGRESS",M54)))</formula>
    </cfRule>
    <cfRule type="containsText" dxfId="123" priority="129" stopIfTrue="1" operator="containsText" text="PASS">
      <formula>NOT(ISERROR(SEARCH("PASS",M54)))</formula>
    </cfRule>
    <cfRule type="containsText" dxfId="122" priority="130" stopIfTrue="1" operator="containsText" text="FAIL">
      <formula>NOT(ISERROR(SEARCH("FAIL",M54)))</formula>
    </cfRule>
  </conditionalFormatting>
  <conditionalFormatting sqref="L60:M61">
    <cfRule type="containsText" dxfId="121" priority="123" operator="containsText" text="BLOCKED">
      <formula>NOT(ISERROR(SEARCH("BLOCKED",L60)))</formula>
    </cfRule>
    <cfRule type="containsText" dxfId="120" priority="124" stopIfTrue="1" operator="containsText" text="IN PROGRESS">
      <formula>NOT(ISERROR(SEARCH("IN PROGRESS",L60)))</formula>
    </cfRule>
    <cfRule type="containsText" dxfId="119" priority="125" stopIfTrue="1" operator="containsText" text="PASS">
      <formula>NOT(ISERROR(SEARCH("PASS",L60)))</formula>
    </cfRule>
    <cfRule type="containsText" dxfId="118" priority="126" stopIfTrue="1" operator="containsText" text="FAIL">
      <formula>NOT(ISERROR(SEARCH("FAIL",L60)))</formula>
    </cfRule>
  </conditionalFormatting>
  <conditionalFormatting sqref="L63:M63">
    <cfRule type="containsText" dxfId="117" priority="119" operator="containsText" text="BLOCKED">
      <formula>NOT(ISERROR(SEARCH("BLOCKED",L63)))</formula>
    </cfRule>
    <cfRule type="containsText" dxfId="116" priority="120" stopIfTrue="1" operator="containsText" text="IN PROGRESS">
      <formula>NOT(ISERROR(SEARCH("IN PROGRESS",L63)))</formula>
    </cfRule>
    <cfRule type="containsText" dxfId="115" priority="121" stopIfTrue="1" operator="containsText" text="PASS">
      <formula>NOT(ISERROR(SEARCH("PASS",L63)))</formula>
    </cfRule>
    <cfRule type="containsText" dxfId="114" priority="122" stopIfTrue="1" operator="containsText" text="FAIL">
      <formula>NOT(ISERROR(SEARCH("FAIL",L63)))</formula>
    </cfRule>
  </conditionalFormatting>
  <conditionalFormatting sqref="L10:L12">
    <cfRule type="containsText" dxfId="113" priority="115" operator="containsText" text="BLOCKED">
      <formula>NOT(ISERROR(SEARCH("BLOCKED",L10)))</formula>
    </cfRule>
    <cfRule type="containsText" dxfId="112" priority="116" stopIfTrue="1" operator="containsText" text="IN PROGRESS">
      <formula>NOT(ISERROR(SEARCH("IN PROGRESS",L10)))</formula>
    </cfRule>
    <cfRule type="containsText" dxfId="111" priority="117" stopIfTrue="1" operator="containsText" text="PASS">
      <formula>NOT(ISERROR(SEARCH("PASS",L10)))</formula>
    </cfRule>
    <cfRule type="containsText" dxfId="110" priority="118" stopIfTrue="1" operator="containsText" text="FAIL">
      <formula>NOT(ISERROR(SEARCH("FAIL",L10)))</formula>
    </cfRule>
  </conditionalFormatting>
  <conditionalFormatting sqref="L25:L28">
    <cfRule type="containsText" dxfId="109" priority="111" operator="containsText" text="BLOCKED">
      <formula>NOT(ISERROR(SEARCH("BLOCKED",L25)))</formula>
    </cfRule>
    <cfRule type="containsText" dxfId="108" priority="112" stopIfTrue="1" operator="containsText" text="IN PROGRESS">
      <formula>NOT(ISERROR(SEARCH("IN PROGRESS",L25)))</formula>
    </cfRule>
    <cfRule type="containsText" dxfId="107" priority="113" stopIfTrue="1" operator="containsText" text="PASS">
      <formula>NOT(ISERROR(SEARCH("PASS",L25)))</formula>
    </cfRule>
    <cfRule type="containsText" dxfId="106" priority="114" stopIfTrue="1" operator="containsText" text="FAIL">
      <formula>NOT(ISERROR(SEARCH("FAIL",L25)))</formula>
    </cfRule>
  </conditionalFormatting>
  <conditionalFormatting sqref="M25:M28">
    <cfRule type="containsText" dxfId="105" priority="107" operator="containsText" text="BLOCKED">
      <formula>NOT(ISERROR(SEARCH("BLOCKED",M25)))</formula>
    </cfRule>
    <cfRule type="containsText" dxfId="104" priority="108" stopIfTrue="1" operator="containsText" text="IN PROGRESS">
      <formula>NOT(ISERROR(SEARCH("IN PROGRESS",M25)))</formula>
    </cfRule>
    <cfRule type="containsText" dxfId="103" priority="109" stopIfTrue="1" operator="containsText" text="PASS">
      <formula>NOT(ISERROR(SEARCH("PASS",M25)))</formula>
    </cfRule>
    <cfRule type="containsText" dxfId="102" priority="110" stopIfTrue="1" operator="containsText" text="FAIL">
      <formula>NOT(ISERROR(SEARCH("FAIL",M25)))</formula>
    </cfRule>
  </conditionalFormatting>
  <conditionalFormatting sqref="L31">
    <cfRule type="containsText" dxfId="101" priority="103" operator="containsText" text="BLOCKED">
      <formula>NOT(ISERROR(SEARCH("BLOCKED",L31)))</formula>
    </cfRule>
    <cfRule type="containsText" dxfId="100" priority="104" stopIfTrue="1" operator="containsText" text="IN PROGRESS">
      <formula>NOT(ISERROR(SEARCH("IN PROGRESS",L31)))</formula>
    </cfRule>
    <cfRule type="containsText" dxfId="99" priority="105" stopIfTrue="1" operator="containsText" text="PASS">
      <formula>NOT(ISERROR(SEARCH("PASS",L31)))</formula>
    </cfRule>
    <cfRule type="containsText" dxfId="98" priority="106" stopIfTrue="1" operator="containsText" text="FAIL">
      <formula>NOT(ISERROR(SEARCH("FAIL",L31)))</formula>
    </cfRule>
  </conditionalFormatting>
  <conditionalFormatting sqref="M31">
    <cfRule type="containsText" dxfId="97" priority="99" operator="containsText" text="BLOCKED">
      <formula>NOT(ISERROR(SEARCH("BLOCKED",M31)))</formula>
    </cfRule>
    <cfRule type="containsText" dxfId="96" priority="100" stopIfTrue="1" operator="containsText" text="IN PROGRESS">
      <formula>NOT(ISERROR(SEARCH("IN PROGRESS",M31)))</formula>
    </cfRule>
    <cfRule type="containsText" dxfId="95" priority="101" stopIfTrue="1" operator="containsText" text="PASS">
      <formula>NOT(ISERROR(SEARCH("PASS",M31)))</formula>
    </cfRule>
    <cfRule type="containsText" dxfId="94" priority="102" stopIfTrue="1" operator="containsText" text="FAIL">
      <formula>NOT(ISERROR(SEARCH("FAIL",M31)))</formula>
    </cfRule>
  </conditionalFormatting>
  <conditionalFormatting sqref="L29:L30">
    <cfRule type="containsText" dxfId="93" priority="95" operator="containsText" text="BLOCKED">
      <formula>NOT(ISERROR(SEARCH("BLOCKED",L29)))</formula>
    </cfRule>
    <cfRule type="containsText" dxfId="92" priority="96" stopIfTrue="1" operator="containsText" text="IN PROGRESS">
      <formula>NOT(ISERROR(SEARCH("IN PROGRESS",L29)))</formula>
    </cfRule>
    <cfRule type="containsText" dxfId="91" priority="97" stopIfTrue="1" operator="containsText" text="PASS">
      <formula>NOT(ISERROR(SEARCH("PASS",L29)))</formula>
    </cfRule>
    <cfRule type="containsText" dxfId="90" priority="98" stopIfTrue="1" operator="containsText" text="FAIL">
      <formula>NOT(ISERROR(SEARCH("FAIL",L29)))</formula>
    </cfRule>
  </conditionalFormatting>
  <conditionalFormatting sqref="M29:M30">
    <cfRule type="containsText" dxfId="89" priority="91" operator="containsText" text="BLOCKED">
      <formula>NOT(ISERROR(SEARCH("BLOCKED",M29)))</formula>
    </cfRule>
    <cfRule type="containsText" dxfId="88" priority="92" stopIfTrue="1" operator="containsText" text="IN PROGRESS">
      <formula>NOT(ISERROR(SEARCH("IN PROGRESS",M29)))</formula>
    </cfRule>
    <cfRule type="containsText" dxfId="87" priority="93" stopIfTrue="1" operator="containsText" text="PASS">
      <formula>NOT(ISERROR(SEARCH("PASS",M29)))</formula>
    </cfRule>
    <cfRule type="containsText" dxfId="86" priority="94" stopIfTrue="1" operator="containsText" text="FAIL">
      <formula>NOT(ISERROR(SEARCH("FAIL",M29)))</formula>
    </cfRule>
  </conditionalFormatting>
  <conditionalFormatting sqref="L32">
    <cfRule type="containsText" dxfId="85" priority="87" operator="containsText" text="BLOCKED">
      <formula>NOT(ISERROR(SEARCH("BLOCKED",L32)))</formula>
    </cfRule>
    <cfRule type="containsText" dxfId="84" priority="88" stopIfTrue="1" operator="containsText" text="IN PROGRESS">
      <formula>NOT(ISERROR(SEARCH("IN PROGRESS",L32)))</formula>
    </cfRule>
    <cfRule type="containsText" dxfId="83" priority="89" stopIfTrue="1" operator="containsText" text="PASS">
      <formula>NOT(ISERROR(SEARCH("PASS",L32)))</formula>
    </cfRule>
    <cfRule type="containsText" dxfId="82" priority="90" stopIfTrue="1" operator="containsText" text="FAIL">
      <formula>NOT(ISERROR(SEARCH("FAIL",L32)))</formula>
    </cfRule>
  </conditionalFormatting>
  <conditionalFormatting sqref="M32">
    <cfRule type="containsText" dxfId="81" priority="83" operator="containsText" text="BLOCKED">
      <formula>NOT(ISERROR(SEARCH("BLOCKED",M32)))</formula>
    </cfRule>
    <cfRule type="containsText" dxfId="80" priority="84" stopIfTrue="1" operator="containsText" text="IN PROGRESS">
      <formula>NOT(ISERROR(SEARCH("IN PROGRESS",M32)))</formula>
    </cfRule>
    <cfRule type="containsText" dxfId="79" priority="85" stopIfTrue="1" operator="containsText" text="PASS">
      <formula>NOT(ISERROR(SEARCH("PASS",M32)))</formula>
    </cfRule>
    <cfRule type="containsText" dxfId="78" priority="86" stopIfTrue="1" operator="containsText" text="FAIL">
      <formula>NOT(ISERROR(SEARCH("FAIL",M32)))</formula>
    </cfRule>
  </conditionalFormatting>
  <conditionalFormatting sqref="L34">
    <cfRule type="containsText" dxfId="77" priority="79" operator="containsText" text="BLOCKED">
      <formula>NOT(ISERROR(SEARCH("BLOCKED",L34)))</formula>
    </cfRule>
    <cfRule type="containsText" dxfId="76" priority="80" stopIfTrue="1" operator="containsText" text="IN PROGRESS">
      <formula>NOT(ISERROR(SEARCH("IN PROGRESS",L34)))</formula>
    </cfRule>
    <cfRule type="containsText" dxfId="75" priority="81" stopIfTrue="1" operator="containsText" text="PASS">
      <formula>NOT(ISERROR(SEARCH("PASS",L34)))</formula>
    </cfRule>
    <cfRule type="containsText" dxfId="74" priority="82" stopIfTrue="1" operator="containsText" text="FAIL">
      <formula>NOT(ISERROR(SEARCH("FAIL",L34)))</formula>
    </cfRule>
  </conditionalFormatting>
  <conditionalFormatting sqref="M34">
    <cfRule type="containsText" dxfId="73" priority="75" operator="containsText" text="BLOCKED">
      <formula>NOT(ISERROR(SEARCH("BLOCKED",M34)))</formula>
    </cfRule>
    <cfRule type="containsText" dxfId="72" priority="76" stopIfTrue="1" operator="containsText" text="IN PROGRESS">
      <formula>NOT(ISERROR(SEARCH("IN PROGRESS",M34)))</formula>
    </cfRule>
    <cfRule type="containsText" dxfId="71" priority="77" stopIfTrue="1" operator="containsText" text="PASS">
      <formula>NOT(ISERROR(SEARCH("PASS",M34)))</formula>
    </cfRule>
    <cfRule type="containsText" dxfId="70" priority="78" stopIfTrue="1" operator="containsText" text="FAIL">
      <formula>NOT(ISERROR(SEARCH("FAIL",M34)))</formula>
    </cfRule>
  </conditionalFormatting>
  <conditionalFormatting sqref="O34">
    <cfRule type="containsText" dxfId="69" priority="71" operator="containsText" text="BLOCKED">
      <formula>NOT(ISERROR(SEARCH("BLOCKED",O34)))</formula>
    </cfRule>
    <cfRule type="containsText" dxfId="68" priority="72" stopIfTrue="1" operator="containsText" text="IN PROGRESS">
      <formula>NOT(ISERROR(SEARCH("IN PROGRESS",O34)))</formula>
    </cfRule>
    <cfRule type="containsText" dxfId="67" priority="73" stopIfTrue="1" operator="containsText" text="PASS">
      <formula>NOT(ISERROR(SEARCH("PASS",O34)))</formula>
    </cfRule>
    <cfRule type="containsText" dxfId="66" priority="74" stopIfTrue="1" operator="containsText" text="FAIL">
      <formula>NOT(ISERROR(SEARCH("FAIL",O34)))</formula>
    </cfRule>
  </conditionalFormatting>
  <conditionalFormatting sqref="O31">
    <cfRule type="containsText" dxfId="65" priority="67" operator="containsText" text="BLOCKED">
      <formula>NOT(ISERROR(SEARCH("BLOCKED",O31)))</formula>
    </cfRule>
    <cfRule type="containsText" dxfId="64" priority="68" stopIfTrue="1" operator="containsText" text="IN PROGRESS">
      <formula>NOT(ISERROR(SEARCH("IN PROGRESS",O31)))</formula>
    </cfRule>
    <cfRule type="containsText" dxfId="63" priority="69" stopIfTrue="1" operator="containsText" text="PASS">
      <formula>NOT(ISERROR(SEARCH("PASS",O31)))</formula>
    </cfRule>
    <cfRule type="containsText" dxfId="62" priority="70" stopIfTrue="1" operator="containsText" text="FAIL">
      <formula>NOT(ISERROR(SEARCH("FAIL",O31)))</formula>
    </cfRule>
  </conditionalFormatting>
  <conditionalFormatting sqref="O25:O27">
    <cfRule type="containsText" dxfId="61" priority="63" operator="containsText" text="BLOCKED">
      <formula>NOT(ISERROR(SEARCH("BLOCKED",O25)))</formula>
    </cfRule>
    <cfRule type="containsText" dxfId="60" priority="64" stopIfTrue="1" operator="containsText" text="IN PROGRESS">
      <formula>NOT(ISERROR(SEARCH("IN PROGRESS",O25)))</formula>
    </cfRule>
    <cfRule type="containsText" dxfId="59" priority="65" stopIfTrue="1" operator="containsText" text="PASS">
      <formula>NOT(ISERROR(SEARCH("PASS",O25)))</formula>
    </cfRule>
    <cfRule type="containsText" dxfId="58" priority="66" stopIfTrue="1" operator="containsText" text="FAIL">
      <formula>NOT(ISERROR(SEARCH("FAIL",O25)))</formula>
    </cfRule>
  </conditionalFormatting>
  <conditionalFormatting sqref="O28">
    <cfRule type="containsText" dxfId="57" priority="59" operator="containsText" text="BLOCKED">
      <formula>NOT(ISERROR(SEARCH("BLOCKED",O28)))</formula>
    </cfRule>
    <cfRule type="containsText" dxfId="56" priority="60" stopIfTrue="1" operator="containsText" text="IN PROGRESS">
      <formula>NOT(ISERROR(SEARCH("IN PROGRESS",O28)))</formula>
    </cfRule>
    <cfRule type="containsText" dxfId="55" priority="61" stopIfTrue="1" operator="containsText" text="PASS">
      <formula>NOT(ISERROR(SEARCH("PASS",O28)))</formula>
    </cfRule>
    <cfRule type="containsText" dxfId="54" priority="62" stopIfTrue="1" operator="containsText" text="FAIL">
      <formula>NOT(ISERROR(SEARCH("FAIL",O28)))</formula>
    </cfRule>
  </conditionalFormatting>
  <conditionalFormatting sqref="L35:M40">
    <cfRule type="containsText" dxfId="53" priority="55" operator="containsText" text="BLOCKED">
      <formula>NOT(ISERROR(SEARCH("BLOCKED",L35)))</formula>
    </cfRule>
    <cfRule type="containsText" dxfId="52" priority="56" stopIfTrue="1" operator="containsText" text="IN PROGRESS">
      <formula>NOT(ISERROR(SEARCH("IN PROGRESS",L35)))</formula>
    </cfRule>
    <cfRule type="containsText" dxfId="51" priority="57" stopIfTrue="1" operator="containsText" text="PASS">
      <formula>NOT(ISERROR(SEARCH("PASS",L35)))</formula>
    </cfRule>
    <cfRule type="containsText" dxfId="50" priority="58" stopIfTrue="1" operator="containsText" text="FAIL">
      <formula>NOT(ISERROR(SEARCH("FAIL",L35)))</formula>
    </cfRule>
  </conditionalFormatting>
  <conditionalFormatting sqref="L13">
    <cfRule type="containsText" dxfId="49" priority="47" operator="containsText" text="BLOCKED">
      <formula>NOT(ISERROR(SEARCH("BLOCKED",L13)))</formula>
    </cfRule>
    <cfRule type="containsText" dxfId="48" priority="48" stopIfTrue="1" operator="containsText" text="IN PROGRESS">
      <formula>NOT(ISERROR(SEARCH("IN PROGRESS",L13)))</formula>
    </cfRule>
    <cfRule type="containsText" dxfId="47" priority="49" stopIfTrue="1" operator="containsText" text="PASS">
      <formula>NOT(ISERROR(SEARCH("PASS",L13)))</formula>
    </cfRule>
    <cfRule type="containsText" dxfId="46" priority="50" stopIfTrue="1" operator="containsText" text="FAIL">
      <formula>NOT(ISERROR(SEARCH("FAIL",L13)))</formula>
    </cfRule>
  </conditionalFormatting>
  <conditionalFormatting sqref="L15:M15 L14 M9:M14 M16:M24">
    <cfRule type="containsText" dxfId="45" priority="43" operator="containsText" text="BLOCKED">
      <formula>NOT(ISERROR(SEARCH("BLOCKED",L9)))</formula>
    </cfRule>
    <cfRule type="containsText" dxfId="44" priority="44" stopIfTrue="1" operator="containsText" text="IN PROGRESS">
      <formula>NOT(ISERROR(SEARCH("IN PROGRESS",L9)))</formula>
    </cfRule>
    <cfRule type="containsText" dxfId="43" priority="45" stopIfTrue="1" operator="containsText" text="PASS">
      <formula>NOT(ISERROR(SEARCH("PASS",L9)))</formula>
    </cfRule>
    <cfRule type="containsText" dxfId="42" priority="46" stopIfTrue="1" operator="containsText" text="FAIL">
      <formula>NOT(ISERROR(SEARCH("FAIL",L9)))</formula>
    </cfRule>
  </conditionalFormatting>
  <conditionalFormatting sqref="O10:O15">
    <cfRule type="containsText" dxfId="41" priority="39" operator="containsText" text="BLOCKED">
      <formula>NOT(ISERROR(SEARCH("BLOCKED",O10)))</formula>
    </cfRule>
    <cfRule type="containsText" dxfId="40" priority="40" stopIfTrue="1" operator="containsText" text="IN PROGRESS">
      <formula>NOT(ISERROR(SEARCH("IN PROGRESS",O10)))</formula>
    </cfRule>
    <cfRule type="containsText" dxfId="39" priority="41" stopIfTrue="1" operator="containsText" text="PASS">
      <formula>NOT(ISERROR(SEARCH("PASS",O10)))</formula>
    </cfRule>
    <cfRule type="containsText" dxfId="38" priority="42" stopIfTrue="1" operator="containsText" text="FAIL">
      <formula>NOT(ISERROR(SEARCH("FAIL",O10)))</formula>
    </cfRule>
  </conditionalFormatting>
  <conditionalFormatting sqref="L17:L23">
    <cfRule type="containsText" dxfId="37" priority="35" operator="containsText" text="BLOCKED">
      <formula>NOT(ISERROR(SEARCH("BLOCKED",L17)))</formula>
    </cfRule>
    <cfRule type="containsText" dxfId="36" priority="36" stopIfTrue="1" operator="containsText" text="IN PROGRESS">
      <formula>NOT(ISERROR(SEARCH("IN PROGRESS",L17)))</formula>
    </cfRule>
    <cfRule type="containsText" dxfId="35" priority="37" stopIfTrue="1" operator="containsText" text="PASS">
      <formula>NOT(ISERROR(SEARCH("PASS",L17)))</formula>
    </cfRule>
    <cfRule type="containsText" dxfId="34" priority="38" stopIfTrue="1" operator="containsText" text="FAIL">
      <formula>NOT(ISERROR(SEARCH("FAIL",L17)))</formula>
    </cfRule>
  </conditionalFormatting>
  <conditionalFormatting sqref="O17:O23">
    <cfRule type="containsText" dxfId="33" priority="31" operator="containsText" text="BLOCKED">
      <formula>NOT(ISERROR(SEARCH("BLOCKED",O17)))</formula>
    </cfRule>
    <cfRule type="containsText" dxfId="32" priority="32" stopIfTrue="1" operator="containsText" text="IN PROGRESS">
      <formula>NOT(ISERROR(SEARCH("IN PROGRESS",O17)))</formula>
    </cfRule>
    <cfRule type="containsText" dxfId="31" priority="33" stopIfTrue="1" operator="containsText" text="PASS">
      <formula>NOT(ISERROR(SEARCH("PASS",O17)))</formula>
    </cfRule>
    <cfRule type="containsText" dxfId="30" priority="34" stopIfTrue="1" operator="containsText" text="FAIL">
      <formula>NOT(ISERROR(SEARCH("FAIL",O17)))</formula>
    </cfRule>
  </conditionalFormatting>
  <conditionalFormatting sqref="O60:O61">
    <cfRule type="containsText" dxfId="29" priority="27" operator="containsText" text="BLOCKED">
      <formula>NOT(ISERROR(SEARCH("BLOCKED",O60)))</formula>
    </cfRule>
    <cfRule type="containsText" dxfId="28" priority="28" stopIfTrue="1" operator="containsText" text="IN PROGRESS">
      <formula>NOT(ISERROR(SEARCH("IN PROGRESS",O60)))</formula>
    </cfRule>
    <cfRule type="containsText" dxfId="27" priority="29" stopIfTrue="1" operator="containsText" text="PASS">
      <formula>NOT(ISERROR(SEARCH("PASS",O60)))</formula>
    </cfRule>
    <cfRule type="containsText" dxfId="26" priority="30" stopIfTrue="1" operator="containsText" text="FAIL">
      <formula>NOT(ISERROR(SEARCH("FAIL",O60)))</formula>
    </cfRule>
  </conditionalFormatting>
  <conditionalFormatting sqref="O66:O68">
    <cfRule type="containsText" dxfId="25" priority="23" operator="containsText" text="BLOCKED">
      <formula>NOT(ISERROR(SEARCH("BLOCKED",O66)))</formula>
    </cfRule>
    <cfRule type="containsText" dxfId="24" priority="24" stopIfTrue="1" operator="containsText" text="IN PROGRESS">
      <formula>NOT(ISERROR(SEARCH("IN PROGRESS",O66)))</formula>
    </cfRule>
    <cfRule type="containsText" dxfId="23" priority="25" stopIfTrue="1" operator="containsText" text="PASS">
      <formula>NOT(ISERROR(SEARCH("PASS",O66)))</formula>
    </cfRule>
    <cfRule type="containsText" dxfId="22" priority="26" stopIfTrue="1" operator="containsText" text="FAIL">
      <formula>NOT(ISERROR(SEARCH("FAIL",O66)))</formula>
    </cfRule>
  </conditionalFormatting>
  <conditionalFormatting sqref="L66:M68">
    <cfRule type="containsText" dxfId="21" priority="19" operator="containsText" text="BLOCKED">
      <formula>NOT(ISERROR(SEARCH("BLOCKED",L66)))</formula>
    </cfRule>
    <cfRule type="containsText" dxfId="20" priority="20" stopIfTrue="1" operator="containsText" text="IN PROGRESS">
      <formula>NOT(ISERROR(SEARCH("IN PROGRESS",L66)))</formula>
    </cfRule>
    <cfRule type="containsText" dxfId="19" priority="21" stopIfTrue="1" operator="containsText" text="PASS">
      <formula>NOT(ISERROR(SEARCH("PASS",L66)))</formula>
    </cfRule>
    <cfRule type="containsText" dxfId="18" priority="22" stopIfTrue="1" operator="containsText" text="FAIL">
      <formula>NOT(ISERROR(SEARCH("FAIL",L66)))</formula>
    </cfRule>
  </conditionalFormatting>
  <conditionalFormatting sqref="O75">
    <cfRule type="containsText" dxfId="17" priority="15" operator="containsText" text="BLOCKED">
      <formula>NOT(ISERROR(SEARCH("BLOCKED",O75)))</formula>
    </cfRule>
    <cfRule type="containsText" dxfId="16" priority="16" stopIfTrue="1" operator="containsText" text="IN PROGRESS">
      <formula>NOT(ISERROR(SEARCH("IN PROGRESS",O75)))</formula>
    </cfRule>
    <cfRule type="containsText" dxfId="15" priority="17" stopIfTrue="1" operator="containsText" text="PASS">
      <formula>NOT(ISERROR(SEARCH("PASS",O75)))</formula>
    </cfRule>
    <cfRule type="containsText" dxfId="14" priority="18" stopIfTrue="1" operator="containsText" text="FAIL">
      <formula>NOT(ISERROR(SEARCH("FAIL",O75)))</formula>
    </cfRule>
  </conditionalFormatting>
  <conditionalFormatting sqref="L79">
    <cfRule type="containsText" dxfId="13" priority="11" operator="containsText" text="BLOCKED">
      <formula>NOT(ISERROR(SEARCH("BLOCKED",L79)))</formula>
    </cfRule>
    <cfRule type="containsText" dxfId="12" priority="12" stopIfTrue="1" operator="containsText" text="IN PROGRESS">
      <formula>NOT(ISERROR(SEARCH("IN PROGRESS",L79)))</formula>
    </cfRule>
    <cfRule type="containsText" dxfId="11" priority="13" stopIfTrue="1" operator="containsText" text="PASS">
      <formula>NOT(ISERROR(SEARCH("PASS",L79)))</formula>
    </cfRule>
    <cfRule type="containsText" dxfId="10" priority="14" stopIfTrue="1" operator="containsText" text="FAIL">
      <formula>NOT(ISERROR(SEARCH("FAIL",L79)))</formula>
    </cfRule>
  </conditionalFormatting>
  <conditionalFormatting sqref="M79">
    <cfRule type="containsText" dxfId="9" priority="7" operator="containsText" text="BLOCKED">
      <formula>NOT(ISERROR(SEARCH("BLOCKED",M79)))</formula>
    </cfRule>
    <cfRule type="containsText" dxfId="8" priority="8" stopIfTrue="1" operator="containsText" text="IN PROGRESS">
      <formula>NOT(ISERROR(SEARCH("IN PROGRESS",M79)))</formula>
    </cfRule>
    <cfRule type="containsText" dxfId="7" priority="9" stopIfTrue="1" operator="containsText" text="PASS">
      <formula>NOT(ISERROR(SEARCH("PASS",M79)))</formula>
    </cfRule>
    <cfRule type="containsText" dxfId="6" priority="10" stopIfTrue="1" operator="containsText" text="FAIL">
      <formula>NOT(ISERROR(SEARCH("FAIL",M79)))</formula>
    </cfRule>
  </conditionalFormatting>
  <conditionalFormatting sqref="O79">
    <cfRule type="containsText" dxfId="5" priority="3" operator="containsText" text="BLOCKED">
      <formula>NOT(ISERROR(SEARCH("BLOCKED",O79)))</formula>
    </cfRule>
    <cfRule type="containsText" dxfId="4" priority="4" stopIfTrue="1" operator="containsText" text="IN PROGRESS">
      <formula>NOT(ISERROR(SEARCH("IN PROGRESS",O79)))</formula>
    </cfRule>
    <cfRule type="containsText" dxfId="3" priority="5" stopIfTrue="1" operator="containsText" text="PASS">
      <formula>NOT(ISERROR(SEARCH("PASS",O79)))</formula>
    </cfRule>
    <cfRule type="containsText" dxfId="2" priority="6" stopIfTrue="1" operator="containsText" text="FAIL">
      <formula>NOT(ISERROR(SEARCH("FAIL",O79)))</formula>
    </cfRule>
  </conditionalFormatting>
  <conditionalFormatting sqref="M240:N317">
    <cfRule type="containsText" dxfId="1" priority="1" operator="containsText" text="FAIL">
      <formula>NOT(ISERROR(SEARCH("FAIL",M240)))</formula>
    </cfRule>
    <cfRule type="containsText" dxfId="0" priority="2" operator="containsText" text="PASS">
      <formula>NOT(ISERROR(SEARCH("PASS",M240)))</formula>
    </cfRule>
  </conditionalFormatting>
  <dataValidations count="1">
    <dataValidation type="list" allowBlank="1" showInputMessage="1" showErrorMessage="1" sqref="M82:O159 O4:O80 L4:M80" xr:uid="{5E24434B-B498-46B7-91F5-2041EB177DE8}">
      <formula1>"PASS, FAIL, IN PROGRESS, BLOCKED,"</formula1>
    </dataValidation>
  </dataValidations>
  <hyperlinks>
    <hyperlink ref="P24" r:id="rId1" display="38484" xr:uid="{FF9E86CD-56EC-4149-A0BE-C4E49A360454}"/>
    <hyperlink ref="P29" r:id="rId2" xr:uid="{1948E869-F10B-4FF9-AADB-240018564D89}"/>
    <hyperlink ref="P30" r:id="rId3" xr:uid="{98EF3F56-96DA-4DBF-B0BC-F2ACA283D458}"/>
    <hyperlink ref="P9" r:id="rId4" display="38485" xr:uid="{B0AE43D8-6452-4268-8EBF-7772B100E31B}"/>
    <hyperlink ref="P16" r:id="rId5" display="38485" xr:uid="{355CECBD-BC78-484A-A674-B6CDCCAD54C7}"/>
    <hyperlink ref="P56" r:id="rId6" xr:uid="{88346BFB-BA93-421C-8BEC-4D4FD36AA378}"/>
    <hyperlink ref="P59" r:id="rId7" xr:uid="{7054B445-BA2C-4285-94A2-B20B97231BAA}"/>
    <hyperlink ref="P62" r:id="rId8" xr:uid="{592FC5E6-D31E-4526-888E-616B26A94D5B}"/>
    <hyperlink ref="P79" r:id="rId9" display="38491" xr:uid="{0B21A970-9549-45A1-B7BA-E74915CF28BC}"/>
    <hyperlink ref="P78" r:id="rId10" display="38491" xr:uid="{C19D0D18-624A-4229-AED2-69239D43C7D6}"/>
    <hyperlink ref="P76" r:id="rId11" display="38491" xr:uid="{B62E0D3F-5A68-4D9C-8690-7EC0EBD6BE01}"/>
    <hyperlink ref="P77" r:id="rId12" xr:uid="{B7C9481F-D9FB-4167-B206-B6AEEA6BC3E1}"/>
    <hyperlink ref="P69" r:id="rId13" display="38493" xr:uid="{3CE339D1-69AA-4940-9B8D-D8ED5A8A95EB}"/>
    <hyperlink ref="P70:P71" r:id="rId14" display="38493" xr:uid="{09D49ABB-1100-4ECC-95BD-9090F4EBFACF}"/>
    <hyperlink ref="P74" r:id="rId15" display="38494" xr:uid="{192756CB-0E35-44B8-AFAE-4F5B36D8D5F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AB0CD1DD65FF45ACCBA0C60D1867E8" ma:contentTypeVersion="17" ma:contentTypeDescription="Create a new document." ma:contentTypeScope="" ma:versionID="9b8b9fc55244cc43035c853b0fde500e">
  <xsd:schema xmlns:xsd="http://www.w3.org/2001/XMLSchema" xmlns:xs="http://www.w3.org/2001/XMLSchema" xmlns:p="http://schemas.microsoft.com/office/2006/metadata/properties" xmlns:ns2="fa6523cc-f9d2-4d22-b899-9712b14156b8" xmlns:ns3="14bdffc1-a38a-4965-b8c7-6b995394fa38" targetNamespace="http://schemas.microsoft.com/office/2006/metadata/properties" ma:root="true" ma:fieldsID="965d4105b9913476a602caf9f8528410" ns2:_="" ns3:_="">
    <xsd:import namespace="fa6523cc-f9d2-4d22-b899-9712b14156b8"/>
    <xsd:import namespace="14bdffc1-a38a-4965-b8c7-6b995394f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523cc-f9d2-4d22-b899-9712b1415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ac5745c-5c93-4373-b075-94cdddb688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dffc1-a38a-4965-b8c7-6b995394f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5adecdc-87ea-4187-aeab-fa79453d2e31}" ma:internalName="TaxCatchAll" ma:showField="CatchAllData" ma:web="14bdffc1-a38a-4965-b8c7-6b995394f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bdffc1-a38a-4965-b8c7-6b995394fa38" xsi:nil="true"/>
    <lcf76f155ced4ddcb4097134ff3c332f xmlns="fa6523cc-f9d2-4d22-b899-9712b1415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72EAE2-B8B9-410A-873F-F301C70119E6}"/>
</file>

<file path=customXml/itemProps2.xml><?xml version="1.0" encoding="utf-8"?>
<ds:datastoreItem xmlns:ds="http://schemas.openxmlformats.org/officeDocument/2006/customXml" ds:itemID="{F585868A-75EE-4F82-A28F-7A0DB9037D43}"/>
</file>

<file path=customXml/itemProps3.xml><?xml version="1.0" encoding="utf-8"?>
<ds:datastoreItem xmlns:ds="http://schemas.openxmlformats.org/officeDocument/2006/customXml" ds:itemID="{A7512958-8316-4FBD-B63C-5F8DBEEA0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RAIMI BIN ROSMAN</dc:creator>
  <cp:keywords/>
  <dc:description/>
  <cp:lastModifiedBy>SYAHIRAH TAQINAH BINTI MOHD SUFIAN</cp:lastModifiedBy>
  <cp:revision/>
  <dcterms:created xsi:type="dcterms:W3CDTF">2026-02-16T01:24:10Z</dcterms:created>
  <dcterms:modified xsi:type="dcterms:W3CDTF">2026-05-18T05:00:02Z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0x010100D5AB0CD1DD65FF45ACCBA0C60D1867E8</vt:lpwstr>
  </property>
  <property fmtid="{D5CDD505-2E9C-101B-9397-08002B2CF9AE}" pid="3" name="MediaServiceImageTags">
    <vt:lpwstr/>
  </property>
</Properties>
</file>