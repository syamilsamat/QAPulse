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estinet.sharepoint.com/sites/KSM_FWCMS/Shared Documents/General/Test case/"/>
    </mc:Choice>
  </mc:AlternateContent>
  <xr:revisionPtr revIDLastSave="5727" documentId="8_{6CCD8C8F-EA54-415F-A302-7168B8D9E555}" xr6:coauthVersionLast="47" xr6:coauthVersionMax="47" xr10:uidLastSave="{28A42B38-BE8F-480D-A3E4-8C8D8F3D2A33}"/>
  <bookViews>
    <workbookView xWindow="-120" yWindow="-120" windowWidth="29040" windowHeight="15720" activeTab="1" xr2:uid="{E75AB444-2B5A-43C2-959F-55397AE27B6B}"/>
  </bookViews>
  <sheets>
    <sheet name="Doc Info" sheetId="2" r:id="rId1"/>
    <sheet name="Progress" sheetId="8" r:id="rId2"/>
    <sheet name="eCom Reporting" sheetId="3" r:id="rId3"/>
    <sheet name="eComplaint" sheetId="10" r:id="rId4"/>
    <sheet name="NNS Quota Allocation Reporting" sheetId="4" r:id="rId5"/>
    <sheet name="Quota Application Reporting" sheetId="5" r:id="rId6"/>
    <sheet name="IDM UAT Feedback" sheetId="1" r:id="rId7"/>
    <sheet name="#37022" sheetId="11" r:id="rId8"/>
    <sheet name="IDM - KDNK" sheetId="6" r:id="rId9"/>
    <sheet name="IDM - KESUMA" sheetId="7" r:id="rId10"/>
    <sheet name="Biodata Screening" sheetId="9" r:id="rId11"/>
    <sheet name="Mobile Responsive 1.1" sheetId="12" r:id="rId12"/>
  </sheets>
  <definedNames>
    <definedName name="_xlnm._FilterDatabase" localSheetId="6" hidden="1">'IDM UAT Feedback'!$A$1:$M$1</definedName>
    <definedName name="_xlnm._FilterDatabase" localSheetId="11" hidden="1">'Mobile Responsive 1.1'!#REF!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8" l="1"/>
  <c r="I5" i="8"/>
  <c r="I3" i="8"/>
  <c r="N74" i="11"/>
  <c r="O74" i="11"/>
  <c r="P74" i="11"/>
  <c r="Q74" i="11"/>
  <c r="N94" i="10"/>
  <c r="R109" i="10"/>
  <c r="Q109" i="10"/>
  <c r="O109" i="10"/>
  <c r="N109" i="10"/>
  <c r="P109" i="10"/>
  <c r="P2" i="3"/>
  <c r="N73" i="9"/>
  <c r="N49" i="9"/>
  <c r="N32" i="4"/>
  <c r="R32" i="4"/>
  <c r="Q32" i="4"/>
  <c r="P32" i="4"/>
  <c r="O32" i="4"/>
  <c r="N17" i="4"/>
  <c r="R2" i="4"/>
  <c r="Q2" i="4"/>
  <c r="P2" i="4"/>
  <c r="O2" i="4"/>
  <c r="N2" i="4"/>
  <c r="N2" i="9"/>
  <c r="R110" i="5"/>
  <c r="Q110" i="5"/>
  <c r="P110" i="5"/>
  <c r="O110" i="5"/>
  <c r="N110" i="5"/>
  <c r="R71" i="11"/>
  <c r="Q71" i="11"/>
  <c r="P71" i="11"/>
  <c r="O71" i="11"/>
  <c r="N71" i="11"/>
  <c r="R73" i="9"/>
  <c r="Q73" i="9"/>
  <c r="P73" i="9"/>
  <c r="O73" i="9"/>
  <c r="N108" i="5"/>
  <c r="R108" i="5"/>
  <c r="Q108" i="5"/>
  <c r="P108" i="5"/>
  <c r="O108" i="5"/>
  <c r="R106" i="5"/>
  <c r="Q106" i="5"/>
  <c r="P106" i="5"/>
  <c r="O106" i="5"/>
  <c r="N106" i="5"/>
  <c r="R2" i="5"/>
  <c r="Q2" i="5"/>
  <c r="P2" i="5"/>
  <c r="O2" i="5"/>
  <c r="N2" i="5"/>
  <c r="R21" i="5"/>
  <c r="Q21" i="5"/>
  <c r="P21" i="5"/>
  <c r="O21" i="5"/>
  <c r="N21" i="5"/>
  <c r="R40" i="5"/>
  <c r="Q40" i="5"/>
  <c r="P40" i="5"/>
  <c r="O40" i="5"/>
  <c r="N40" i="5"/>
  <c r="R54" i="5"/>
  <c r="Q54" i="5"/>
  <c r="P54" i="5"/>
  <c r="O54" i="5"/>
  <c r="N54" i="5"/>
  <c r="R69" i="5"/>
  <c r="Q69" i="5"/>
  <c r="P69" i="5"/>
  <c r="O69" i="5"/>
  <c r="N69" i="5"/>
  <c r="R84" i="5"/>
  <c r="Q84" i="5"/>
  <c r="P84" i="5"/>
  <c r="O84" i="5"/>
  <c r="N84" i="5"/>
  <c r="R99" i="5"/>
  <c r="Q99" i="5"/>
  <c r="P99" i="5"/>
  <c r="O99" i="5"/>
  <c r="N99" i="5"/>
  <c r="I6" i="8"/>
  <c r="I7" i="8"/>
  <c r="R94" i="10"/>
  <c r="Q94" i="10"/>
  <c r="P94" i="10"/>
  <c r="O94" i="10"/>
  <c r="R70" i="10"/>
  <c r="Q70" i="10"/>
  <c r="P70" i="10"/>
  <c r="O70" i="10"/>
  <c r="N70" i="10"/>
  <c r="R47" i="10"/>
  <c r="Q47" i="10"/>
  <c r="P47" i="10"/>
  <c r="O47" i="10"/>
  <c r="N47" i="10"/>
  <c r="R26" i="10"/>
  <c r="Q26" i="10"/>
  <c r="P26" i="10"/>
  <c r="O26" i="10"/>
  <c r="N26" i="10"/>
  <c r="R2" i="10"/>
  <c r="R1" i="10" s="1"/>
  <c r="Q2" i="10"/>
  <c r="Q1" i="10" s="1"/>
  <c r="P2" i="10"/>
  <c r="P1" i="10" s="1"/>
  <c r="O2" i="10"/>
  <c r="O1" i="10" s="1"/>
  <c r="N2" i="10"/>
  <c r="O114" i="6"/>
  <c r="R2" i="6"/>
  <c r="Q2" i="6"/>
  <c r="N2" i="6"/>
  <c r="O2" i="6"/>
  <c r="R65" i="11"/>
  <c r="Q65" i="11"/>
  <c r="P65" i="11"/>
  <c r="O65" i="11"/>
  <c r="N65" i="11"/>
  <c r="R41" i="11"/>
  <c r="Q41" i="11"/>
  <c r="P41" i="11"/>
  <c r="O41" i="11"/>
  <c r="N41" i="11"/>
  <c r="R32" i="11"/>
  <c r="Q32" i="11"/>
  <c r="P32" i="11"/>
  <c r="O32" i="11"/>
  <c r="N32" i="11"/>
  <c r="R18" i="11"/>
  <c r="Q18" i="11"/>
  <c r="P18" i="11"/>
  <c r="O18" i="11"/>
  <c r="N18" i="11"/>
  <c r="R8" i="11"/>
  <c r="Q8" i="11"/>
  <c r="P8" i="11"/>
  <c r="O8" i="11"/>
  <c r="N8" i="11"/>
  <c r="R4" i="11"/>
  <c r="Q4" i="11"/>
  <c r="P4" i="11"/>
  <c r="O4" i="11"/>
  <c r="N4" i="11"/>
  <c r="R2" i="11"/>
  <c r="Q2" i="11"/>
  <c r="P2" i="11"/>
  <c r="O2" i="11"/>
  <c r="N2" i="11"/>
  <c r="R1" i="11"/>
  <c r="E5" i="8" s="1"/>
  <c r="Q1" i="11"/>
  <c r="F5" i="8" s="1"/>
  <c r="P1" i="11"/>
  <c r="G5" i="8" s="1"/>
  <c r="O1" i="11"/>
  <c r="D5" i="8" s="1"/>
  <c r="N1" i="11"/>
  <c r="C5" i="8" s="1"/>
  <c r="P34" i="9"/>
  <c r="P49" i="9"/>
  <c r="R49" i="9"/>
  <c r="Q49" i="9"/>
  <c r="O49" i="9"/>
  <c r="N34" i="9"/>
  <c r="R34" i="9"/>
  <c r="Q34" i="9"/>
  <c r="O34" i="9"/>
  <c r="R18" i="9"/>
  <c r="P18" i="9"/>
  <c r="Q18" i="9"/>
  <c r="Q1" i="9" s="1"/>
  <c r="O18" i="9"/>
  <c r="N18" i="9"/>
  <c r="O2" i="9"/>
  <c r="P2" i="9"/>
  <c r="P1" i="9" s="1"/>
  <c r="G8" i="8" s="1"/>
  <c r="R2" i="9"/>
  <c r="Q2" i="9"/>
  <c r="F8" i="8"/>
  <c r="R2" i="1"/>
  <c r="Q2" i="1"/>
  <c r="P2" i="1"/>
  <c r="O2" i="1"/>
  <c r="N2" i="1"/>
  <c r="R1" i="1"/>
  <c r="Q1" i="1"/>
  <c r="P1" i="1"/>
  <c r="O1" i="1"/>
  <c r="N1" i="1"/>
  <c r="P2" i="6"/>
  <c r="P134" i="7"/>
  <c r="R134" i="7"/>
  <c r="Q134" i="7"/>
  <c r="O134" i="7"/>
  <c r="N134" i="7"/>
  <c r="R112" i="7"/>
  <c r="Q112" i="7"/>
  <c r="P112" i="7"/>
  <c r="O112" i="7"/>
  <c r="N112" i="7"/>
  <c r="R88" i="7"/>
  <c r="Q88" i="7"/>
  <c r="P88" i="7"/>
  <c r="O88" i="7"/>
  <c r="N88" i="7"/>
  <c r="R66" i="7"/>
  <c r="Q66" i="7"/>
  <c r="P66" i="7"/>
  <c r="O66" i="7"/>
  <c r="N66" i="7"/>
  <c r="R2" i="7"/>
  <c r="Q2" i="7"/>
  <c r="P2" i="7"/>
  <c r="O2" i="7"/>
  <c r="N2" i="7"/>
  <c r="P116" i="6"/>
  <c r="R116" i="6"/>
  <c r="Q116" i="6"/>
  <c r="O116" i="6"/>
  <c r="N116" i="6"/>
  <c r="P114" i="6"/>
  <c r="R114" i="6"/>
  <c r="Q114" i="6"/>
  <c r="N114" i="6"/>
  <c r="P90" i="6"/>
  <c r="R90" i="6"/>
  <c r="Q90" i="6"/>
  <c r="O90" i="6"/>
  <c r="N90" i="6"/>
  <c r="P68" i="6"/>
  <c r="R68" i="6"/>
  <c r="Q68" i="6"/>
  <c r="O68" i="6"/>
  <c r="N68" i="6"/>
  <c r="R1" i="6"/>
  <c r="E6" i="8" s="1"/>
  <c r="Q1" i="6"/>
  <c r="F6" i="8" s="1"/>
  <c r="O1" i="6"/>
  <c r="D6" i="8" s="1"/>
  <c r="N1" i="6"/>
  <c r="C6" i="8" s="1"/>
  <c r="R1" i="5"/>
  <c r="E4" i="8" s="1"/>
  <c r="Q1" i="5"/>
  <c r="F4" i="8" s="1"/>
  <c r="P1" i="5"/>
  <c r="G4" i="8" s="1"/>
  <c r="O1" i="5"/>
  <c r="D4" i="8" s="1"/>
  <c r="N1" i="5"/>
  <c r="C4" i="8" s="1"/>
  <c r="R17" i="4"/>
  <c r="Q17" i="4"/>
  <c r="P17" i="4"/>
  <c r="O17" i="4"/>
  <c r="R1" i="4"/>
  <c r="E3" i="8" s="1"/>
  <c r="Q1" i="4"/>
  <c r="F3" i="8" s="1"/>
  <c r="P1" i="4"/>
  <c r="G3" i="8" s="1"/>
  <c r="O1" i="4"/>
  <c r="D3" i="8" s="1"/>
  <c r="N1" i="4"/>
  <c r="C3" i="8" s="1"/>
  <c r="R14" i="3"/>
  <c r="Q14" i="3"/>
  <c r="P14" i="3"/>
  <c r="O14" i="3"/>
  <c r="N14" i="3"/>
  <c r="R2" i="3"/>
  <c r="Q2" i="3"/>
  <c r="O2" i="3"/>
  <c r="N2" i="3"/>
  <c r="R1" i="3"/>
  <c r="E2" i="8" s="1"/>
  <c r="Q1" i="3"/>
  <c r="F2" i="8" s="1"/>
  <c r="P1" i="3"/>
  <c r="O1" i="3"/>
  <c r="D2" i="8" s="1"/>
  <c r="N1" i="3"/>
  <c r="O1" i="9" l="1"/>
  <c r="D8" i="8" s="1"/>
  <c r="R1" i="9"/>
  <c r="E8" i="8" s="1"/>
  <c r="G2" i="8"/>
  <c r="N1" i="9"/>
  <c r="C8" i="8" s="1"/>
  <c r="N1" i="10"/>
  <c r="C2" i="8" s="1"/>
  <c r="B5" i="8"/>
  <c r="H5" i="8" s="1"/>
  <c r="B3" i="8"/>
  <c r="B4" i="8"/>
  <c r="B8" i="8"/>
  <c r="I8" i="8" s="1"/>
  <c r="B2" i="8"/>
  <c r="H2" i="8" s="1"/>
  <c r="P1" i="6"/>
  <c r="G6" i="8" s="1"/>
  <c r="N1" i="7"/>
  <c r="C7" i="8" s="1"/>
  <c r="C9" i="8" s="1"/>
  <c r="O1" i="7"/>
  <c r="D7" i="8" s="1"/>
  <c r="D9" i="8" s="1"/>
  <c r="P1" i="7"/>
  <c r="G7" i="8" s="1"/>
  <c r="Q1" i="7"/>
  <c r="F7" i="8" s="1"/>
  <c r="F9" i="8" s="1"/>
  <c r="R1" i="7"/>
  <c r="E7" i="8" s="1"/>
  <c r="E9" i="8" s="1"/>
  <c r="H8" i="8"/>
  <c r="H4" i="8"/>
  <c r="H3" i="8" l="1"/>
  <c r="I2" i="8"/>
  <c r="B6" i="8"/>
  <c r="G9" i="8"/>
  <c r="B7" i="8"/>
  <c r="H6" i="8" l="1"/>
  <c r="B9" i="8"/>
  <c r="I9" i="8" s="1"/>
  <c r="H7" i="8"/>
  <c r="H9" i="8"/>
</calcChain>
</file>

<file path=xl/sharedStrings.xml><?xml version="1.0" encoding="utf-8"?>
<sst xmlns="http://schemas.openxmlformats.org/spreadsheetml/2006/main" count="5922" uniqueCount="1602">
  <si>
    <t>Review</t>
  </si>
  <si>
    <t>Review Log</t>
  </si>
  <si>
    <t>Ref. No.: BSB-QA-FWCMS-153-CRD-V1.0</t>
  </si>
  <si>
    <t>Project Name</t>
  </si>
  <si>
    <t>FWCMS Tech Refresh - 34384</t>
  </si>
  <si>
    <t>Document Information</t>
  </si>
  <si>
    <t>Sl #</t>
  </si>
  <si>
    <t>Date</t>
  </si>
  <si>
    <t>Updated By</t>
  </si>
  <si>
    <t xml:space="preserve">Update Summary </t>
  </si>
  <si>
    <t>Reviewed By</t>
  </si>
  <si>
    <t>Reviewed Date</t>
  </si>
  <si>
    <t>Raihan</t>
  </si>
  <si>
    <t>Draft TC</t>
  </si>
  <si>
    <t>Faisal</t>
  </si>
  <si>
    <t>Update TC</t>
  </si>
  <si>
    <t>Module</t>
  </si>
  <si>
    <t>Total</t>
  </si>
  <si>
    <t>Passed</t>
  </si>
  <si>
    <t>Failed</t>
  </si>
  <si>
    <t>Blocked</t>
  </si>
  <si>
    <t>In Progress</t>
  </si>
  <si>
    <t>Not Executed</t>
  </si>
  <si>
    <t>Pass Completion (%)</t>
  </si>
  <si>
    <t>Total Test Completion (%)</t>
  </si>
  <si>
    <t xml:space="preserve">eComplaint Reporting </t>
  </si>
  <si>
    <t>+syamil &amp; raimi</t>
  </si>
  <si>
    <t>NNS Quota Allocation Reporting</t>
  </si>
  <si>
    <t>Qina</t>
  </si>
  <si>
    <t xml:space="preserve">Quota Application Reporting </t>
  </si>
  <si>
    <t>IDM UAT Feedback</t>
  </si>
  <si>
    <t>Yhuvan</t>
  </si>
  <si>
    <t>IDM - KDNK</t>
  </si>
  <si>
    <t>IDM - KESUMA / PERKESO</t>
  </si>
  <si>
    <t>Biodata Screening</t>
  </si>
  <si>
    <t>Syasya</t>
  </si>
  <si>
    <t>TOTAL</t>
  </si>
  <si>
    <t xml:space="preserve"> </t>
  </si>
  <si>
    <t>Case ID</t>
  </si>
  <si>
    <t>Redmine User Story</t>
  </si>
  <si>
    <t>Tracker</t>
  </si>
  <si>
    <t>Scenario</t>
  </si>
  <si>
    <t>Pre Condition</t>
  </si>
  <si>
    <t>Case</t>
  </si>
  <si>
    <t>Steps</t>
  </si>
  <si>
    <t>Test Data</t>
  </si>
  <si>
    <t>Expected Result</t>
  </si>
  <si>
    <t>Result</t>
  </si>
  <si>
    <t>Redmine Defect</t>
  </si>
  <si>
    <t>Additional/Comments/Issues</t>
  </si>
  <si>
    <t>QA PIC</t>
  </si>
  <si>
    <t>eComplaint- Monthly Complaint Report</t>
  </si>
  <si>
    <t>TC.TR.RPTeCom.001</t>
  </si>
  <si>
    <r>
      <rPr>
        <sz val="11"/>
        <color rgb="FF000000"/>
        <rFont val="Aptos Narrow"/>
        <scheme val="minor"/>
      </rPr>
      <t>#28118
#</t>
    </r>
    <r>
      <rPr>
        <sz val="11"/>
        <color rgb="FFFF0000"/>
        <rFont val="Aptos Narrow"/>
        <scheme val="minor"/>
      </rPr>
      <t>35137</t>
    </r>
  </si>
  <si>
    <t>User Story</t>
  </si>
  <si>
    <t>Test Search Form</t>
  </si>
  <si>
    <t>User Role:
MENTERI_JTKSM_ADMIN
KSM_JTK_HQ_ADMIN
KSM_STATE_ADMIN
KSM_STATE_USER
JTKSM_OC_ALL
JTKSRWK_OC_ALL
JTKSBH_OC_ALL
KSM_JTKSRWK_ADMIN
KSM_JTKSBH_ADMIN</t>
  </si>
  <si>
    <t>Verify all labels</t>
  </si>
  <si>
    <t>Following must be correct :
a. Spelling
b. Font (Standard)
c. Color (Standard)
d. Translation (Locale)</t>
  </si>
  <si>
    <t>PASS</t>
  </si>
  <si>
    <t>MENTERI_JTKSM_ADMIN - sahi.kesuma2908@yopmail.com - ok
KSM_JTK_HQ_ADMIN - sahi.automation9279@yopmail.com - ok
KSM_STATE_ADMIN - sahitest.auto2820@yopmail.com - ok
KSM_STATE_USER - sahitest.auto2760@yopmail.com - ok 
JTKSM_OC_ALL - sahijtksm.auto3642@yopmail.com- ok
JTKSRWK_OC_ALL - sahitest.auto7408@yopmail.com- ok
JTKSBH_OC_ALL - sahitest.auto3733@yopmail.com - ok
KSM_JTKSRWK_ADMIN - sahitest.auto6118@yopmail.com - ok
KSM_JTKSBH_ADMIN - sahitest.auto5265@yopmail.com - ok</t>
  </si>
  <si>
    <t>FAISAL</t>
  </si>
  <si>
    <t>TC.TR.RPTeCom.002</t>
  </si>
  <si>
    <t>Verify alignments</t>
  </si>
  <si>
    <t xml:space="preserve">All labels / fields are properly aligned </t>
  </si>
  <si>
    <t>TC.TR.RPTeCom.003</t>
  </si>
  <si>
    <t>Verify breadcrumbs</t>
  </si>
  <si>
    <t>Breadcrumbs as per page title with correct hierarchy</t>
  </si>
  <si>
    <t>TC.TR.RPTeCom.004</t>
  </si>
  <si>
    <t>Check Single Search Criteria</t>
  </si>
  <si>
    <t>Search each of search criteria</t>
  </si>
  <si>
    <t>Successfully search as per criteria selected</t>
  </si>
  <si>
    <t>TC.TR.RPTeCom.005</t>
  </si>
  <si>
    <t>Check Combination of Search Criteria</t>
  </si>
  <si>
    <t>Search combination of search criteria</t>
  </si>
  <si>
    <t>TC.TR.RPTeCom.006</t>
  </si>
  <si>
    <t>Verify Search Result</t>
  </si>
  <si>
    <t>Verify column headers</t>
  </si>
  <si>
    <r>
      <t>All required columns should be available with appropriate labels.
*</t>
    </r>
    <r>
      <rPr>
        <b/>
        <i/>
        <sz val="11"/>
        <color rgb="FF000000"/>
        <rFont val="Aptos Narrow"/>
        <scheme val="minor"/>
      </rPr>
      <t>All search criteria value should have a column in result table. Start/ End date should be represented by 1 date column only.</t>
    </r>
  </si>
  <si>
    <t>TC.TR.RPTeCom.007</t>
  </si>
  <si>
    <t>Verify search result data</t>
  </si>
  <si>
    <t>Data displayed list should be filtered according to selected criteria</t>
  </si>
  <si>
    <t>TC.TR.RPTeCom.008</t>
  </si>
  <si>
    <t>Verify total record count</t>
  </si>
  <si>
    <t>Total record count should be displayed</t>
  </si>
  <si>
    <t>TC.TR.RPTeCom.009</t>
  </si>
  <si>
    <t>Pagination</t>
  </si>
  <si>
    <r>
      <t>Pagination should be enabled if there are too many rows (</t>
    </r>
    <r>
      <rPr>
        <i/>
        <sz val="11"/>
        <color rgb="FF000000"/>
        <rFont val="Aptos Narrow"/>
        <scheme val="minor"/>
      </rPr>
      <t>15 rows per page</t>
    </r>
    <r>
      <rPr>
        <sz val="11"/>
        <color rgb="FF000000"/>
        <rFont val="Aptos Narrow"/>
        <scheme val="minor"/>
      </rPr>
      <t>)</t>
    </r>
  </si>
  <si>
    <t>TC.TR.RPTeCom.010</t>
  </si>
  <si>
    <t>Navigate pagination</t>
  </si>
  <si>
    <r>
      <rPr>
        <b/>
        <sz val="11"/>
        <color rgb="FF000000"/>
        <rFont val="Aptos Narrow"/>
        <scheme val="minor"/>
      </rPr>
      <t>Next, Previous, First and Last page</t>
    </r>
    <r>
      <rPr>
        <sz val="11"/>
        <color rgb="FF000000"/>
        <rFont val="Aptos Narrow"/>
        <scheme val="minor"/>
      </rPr>
      <t xml:space="preserve"> pagination functionality should be working</t>
    </r>
  </si>
  <si>
    <t>TC.TR.RPTeCom.011</t>
  </si>
  <si>
    <t>Reset button</t>
  </si>
  <si>
    <t>Enter search parameter and reset.</t>
  </si>
  <si>
    <t>All fields should be cleared</t>
  </si>
  <si>
    <t>eComplaint- Complaint Summary by Stage</t>
  </si>
  <si>
    <t>TC.TR.RPTeCom.012</t>
  </si>
  <si>
    <r>
      <rPr>
        <sz val="11"/>
        <color rgb="FF000000"/>
        <rFont val="Aptos Narrow"/>
        <scheme val="minor"/>
      </rPr>
      <t>#28119
#</t>
    </r>
    <r>
      <rPr>
        <sz val="11"/>
        <color rgb="FFFF0000"/>
        <rFont val="Aptos Narrow"/>
        <scheme val="minor"/>
      </rPr>
      <t>35138</t>
    </r>
  </si>
  <si>
    <t>User Role:
KSM_JTK_HQ_ADMIN
KSM_STATE_ADMIN
JTKSM_OC_ALL
JTKSRWK_OC_ALL
JTKSBH_OC_ALL
KSM_JTKSRWK_ADMIN
KSM_JTKSBH_ADMIN</t>
  </si>
  <si>
    <t>37612
37708</t>
  </si>
  <si>
    <t>TC.TR.RPTeCom.013</t>
  </si>
  <si>
    <t>TC.TR.RPTeCom.014</t>
  </si>
  <si>
    <t>TC.TR.RPTeCom.015</t>
  </si>
  <si>
    <t>37744 </t>
  </si>
  <si>
    <t>TC.TR.RPTeCom.016</t>
  </si>
  <si>
    <t>TC.TR.RPTeCom.017</t>
  </si>
  <si>
    <t>TC.TR.RPTeCom.018</t>
  </si>
  <si>
    <t>TC.TR.RPTeCom.019</t>
  </si>
  <si>
    <t>TC.TR.RPTeCom.020</t>
  </si>
  <si>
    <t>Verify Complaint</t>
  </si>
  <si>
    <t>TC.TR.eCom.001</t>
  </si>
  <si>
    <t>#28105</t>
  </si>
  <si>
    <t>User Role: 
JTKSM_OC_ALL</t>
  </si>
  <si>
    <t>37823
37826</t>
  </si>
  <si>
    <t>TC.TR.eCom.002</t>
  </si>
  <si>
    <t>TC.TR.eCom.003</t>
  </si>
  <si>
    <t>TC.TR.eCom.004</t>
  </si>
  <si>
    <t>TC.TR.eCom.005</t>
  </si>
  <si>
    <t>TC.TR.eCom.006</t>
  </si>
  <si>
    <t>End date less than start date</t>
  </si>
  <si>
    <t>Unable to search and display proper error message</t>
  </si>
  <si>
    <t>TC.TR.eCom.007</t>
  </si>
  <si>
    <t>End date more than start date</t>
  </si>
  <si>
    <t>Able to search</t>
  </si>
  <si>
    <t>TC.TR.eCom.008</t>
  </si>
  <si>
    <t>End date equal start date</t>
  </si>
  <si>
    <t>TC.TR.eCom.009</t>
  </si>
  <si>
    <t>missing breadcrump</t>
  </si>
  <si>
    <t>TC.TR.eCom.010</t>
  </si>
  <si>
    <t>TC.TR.eCom.011</t>
  </si>
  <si>
    <t>TC.TR.eCom.012</t>
  </si>
  <si>
    <t>TC.TR.eCom.013</t>
  </si>
  <si>
    <t>TC.TR.eCom.014</t>
  </si>
  <si>
    <t>37748 </t>
  </si>
  <si>
    <t>TC.TR.eCom.015</t>
  </si>
  <si>
    <t>#28106</t>
  </si>
  <si>
    <t>Application Details</t>
  </si>
  <si>
    <t>TC.TR.eCom.016</t>
  </si>
  <si>
    <t>Verify pre-populated data</t>
  </si>
  <si>
    <t>Available data should auto populate by default based on data in DB</t>
  </si>
  <si>
    <t>37787 </t>
  </si>
  <si>
    <t>TC.TR.eCom.017</t>
  </si>
  <si>
    <t>Result : Verify</t>
  </si>
  <si>
    <t>1. Remarks is mandatory to fill
2. Employer received email verified.</t>
  </si>
  <si>
    <t>TC.TR.eCom.018</t>
  </si>
  <si>
    <t>Result : Verification Unsuccessful</t>
  </si>
  <si>
    <t>1. Application status :  
2. Employer will received an email</t>
  </si>
  <si>
    <t>WFWJ0877244613</t>
  </si>
  <si>
    <t>TC.TR.eCom.019</t>
  </si>
  <si>
    <t>Submit without entering any mandatory fields</t>
  </si>
  <si>
    <t>Display proper mandatory field error message</t>
  </si>
  <si>
    <t>TC.TR.eCom.020</t>
  </si>
  <si>
    <t>Verify Assign to Inspector listing</t>
  </si>
  <si>
    <t>List out all assign inspector</t>
  </si>
  <si>
    <t>TC.TR.eCom.021</t>
  </si>
  <si>
    <t>Verify popup message</t>
  </si>
  <si>
    <t>Success message as per requirement / standard. Check case &amp; spelling.</t>
  </si>
  <si>
    <t>No message for uccess/unsuccessful</t>
  </si>
  <si>
    <t>TC.TR.eCom.022</t>
  </si>
  <si>
    <t>#35189</t>
  </si>
  <si>
    <t>View Application</t>
  </si>
  <si>
    <t>TC.TR.eCom.023</t>
  </si>
  <si>
    <t>Inspect Complaint</t>
  </si>
  <si>
    <t>TC.TR.eCom.024</t>
  </si>
  <si>
    <t>#28108</t>
  </si>
  <si>
    <t>User Role: 
JTKSM_OC_ALL - Ketua Pejabat
JTKSM_INSPECTOR - Pegawai Penyiasat FWe &amp; WFW
JTKSM_INSPECTOR WFW - Pegawai Penyiasat WFW</t>
  </si>
  <si>
    <t>37825 </t>
  </si>
  <si>
    <t>TC.TR.eCom.025</t>
  </si>
  <si>
    <t>TC.TR.eCom.026</t>
  </si>
  <si>
    <t>TC.TR.eCom.027</t>
  </si>
  <si>
    <t>TC.TR.eCom.028</t>
  </si>
  <si>
    <t>TC.TR.eCom.029</t>
  </si>
  <si>
    <t>TC.TR.eCom.030</t>
  </si>
  <si>
    <t>TC.TR.eCom.031</t>
  </si>
  <si>
    <t>TC.TR.eCom.032</t>
  </si>
  <si>
    <t>TC.TR.eCom.033</t>
  </si>
  <si>
    <t>TC.TR.eCom.034</t>
  </si>
  <si>
    <t>TC.TR.eCom.035</t>
  </si>
  <si>
    <t>TC.TR.eCom.036</t>
  </si>
  <si>
    <t>TC.TR.eCom.037</t>
  </si>
  <si>
    <t>TC.TR.eCom.038</t>
  </si>
  <si>
    <t>Test popup doc view funtionality for Borang F</t>
  </si>
  <si>
    <t>At Action column. Click icon document</t>
  </si>
  <si>
    <t>All standard features should be working (Maximize/Minimize/Download/Zoom/Scroll/Print)</t>
  </si>
  <si>
    <t>TC.TR.eCom.039</t>
  </si>
  <si>
    <t>#28109</t>
  </si>
  <si>
    <r>
      <rPr>
        <u/>
        <sz val="11"/>
        <color rgb="FF467886"/>
        <rFont val="Aptos Narrow"/>
        <scheme val="minor"/>
      </rPr>
      <t xml:space="preserve">#37777
37778
37779
</t>
    </r>
    <r>
      <rPr>
        <b/>
        <u/>
        <sz val="11"/>
        <color rgb="FF467886"/>
        <rFont val="Aptos Narrow"/>
        <scheme val="minor"/>
      </rPr>
      <t xml:space="preserve">37780
</t>
    </r>
    <r>
      <rPr>
        <u/>
        <sz val="11"/>
        <color rgb="FF467886"/>
        <rFont val="Aptos Narrow"/>
        <scheme val="minor"/>
      </rPr>
      <t xml:space="preserve">37781 </t>
    </r>
  </si>
  <si>
    <t>TC.TR.eCom.040</t>
  </si>
  <si>
    <t>TC.TR.eCom.041</t>
  </si>
  <si>
    <t>Result : Pending Inspection</t>
  </si>
  <si>
    <t>TC.TR.eCom.043</t>
  </si>
  <si>
    <t>TC.TR.eCom.044</t>
  </si>
  <si>
    <t>Endorse Complaint</t>
  </si>
  <si>
    <t>TC.TR.eCom.045</t>
  </si>
  <si>
    <t>#28111</t>
  </si>
  <si>
    <t>TC.TR.eCom.046</t>
  </si>
  <si>
    <t>TC.TR.eCom.047</t>
  </si>
  <si>
    <t>TC.TR.eCom.048</t>
  </si>
  <si>
    <t>38274 </t>
  </si>
  <si>
    <t>TC.TR.eCom.049</t>
  </si>
  <si>
    <t>TC.TR.eCom.050</t>
  </si>
  <si>
    <t>TC.TR.eCom.051</t>
  </si>
  <si>
    <t>TC.TR.eCom.052</t>
  </si>
  <si>
    <t>TC.TR.eCom.053</t>
  </si>
  <si>
    <t>TC.TR.eCom.054</t>
  </si>
  <si>
    <t>38206 </t>
  </si>
  <si>
    <t>TC.TR.eCom.055</t>
  </si>
  <si>
    <t>TC.TR.eCom.056</t>
  </si>
  <si>
    <t>TC.TR.eCom.057</t>
  </si>
  <si>
    <t>TC.TR.eCom.058</t>
  </si>
  <si>
    <t>TC.TR.eCom.059</t>
  </si>
  <si>
    <t>#28112</t>
  </si>
  <si>
    <t>TC.TR.eCom.060</t>
  </si>
  <si>
    <t>TC.TR.eCom.061</t>
  </si>
  <si>
    <t>Endorsement Status : ENDORSE</t>
  </si>
  <si>
    <t>TC.TR.eCom.062</t>
  </si>
  <si>
    <t>Endorsement Status : REQUIRE RE-INSPECTION</t>
  </si>
  <si>
    <t>TC.TR.eCom.063</t>
  </si>
  <si>
    <t>Further Action Status : INVESTIGATION</t>
  </si>
  <si>
    <t>TC.TR.eCom.064</t>
  </si>
  <si>
    <t>Further Action Status :  SERVICE ADVISOR</t>
  </si>
  <si>
    <t>TC.TR.eCom.065</t>
  </si>
  <si>
    <t>TC.TR.eCom.066</t>
  </si>
  <si>
    <t>Maintenance and Manage Case</t>
  </si>
  <si>
    <t>TC.TR.eCom.067</t>
  </si>
  <si>
    <t>#28122</t>
  </si>
  <si>
    <t>TC.TR.eCom.068</t>
  </si>
  <si>
    <t>TC.TR.eCom.069</t>
  </si>
  <si>
    <t>TC.TR.eCom.070</t>
  </si>
  <si>
    <t>TC.TR.eCom.071</t>
  </si>
  <si>
    <t>TC.TR.eCom.072</t>
  </si>
  <si>
    <t>TC.TR.eCom.073</t>
  </si>
  <si>
    <t>TC.TR.eCom.074</t>
  </si>
  <si>
    <t>TC.TR.eCom.075</t>
  </si>
  <si>
    <t>TC.TR.eCom.076</t>
  </si>
  <si>
    <t>TC.TR.eCom.077</t>
  </si>
  <si>
    <t>TC.TR.eCom.078</t>
  </si>
  <si>
    <t>#28123</t>
  </si>
  <si>
    <t>Pending Verification</t>
  </si>
  <si>
    <t>TC.TR.eCom.079</t>
  </si>
  <si>
    <t>TC.TR.eCom.080</t>
  </si>
  <si>
    <t>Verify Transfer Case radio button</t>
  </si>
  <si>
    <t>Only 1 radio button can be selected at any one time</t>
  </si>
  <si>
    <t>TC.TR.eCom.081</t>
  </si>
  <si>
    <t>TC.TR.eCom.082</t>
  </si>
  <si>
    <t>#28124</t>
  </si>
  <si>
    <t>Pending Re-Inspection</t>
  </si>
  <si>
    <t>TC.TR.eCom.083</t>
  </si>
  <si>
    <t>TC.TR.eCom.084</t>
  </si>
  <si>
    <t>Verify reassign to Inspector</t>
  </si>
  <si>
    <t>TC.TR.eCom.085</t>
  </si>
  <si>
    <t>TC.TR.eCom.086</t>
  </si>
  <si>
    <t>#28125</t>
  </si>
  <si>
    <t>Pending Inspection</t>
  </si>
  <si>
    <t>TC.TR.eCom.087</t>
  </si>
  <si>
    <t>TC.TR.eCom.088</t>
  </si>
  <si>
    <t>TC.TR.eCom.089</t>
  </si>
  <si>
    <t>Global Search</t>
  </si>
  <si>
    <t>TC.TR.eCom.090</t>
  </si>
  <si>
    <t>#37400</t>
  </si>
  <si>
    <t xml:space="preserve">37826
37829 </t>
  </si>
  <si>
    <t>TC.TR.eCom.091</t>
  </si>
  <si>
    <t>TC.TR.eCom.092</t>
  </si>
  <si>
    <t>TC.TR.eCom.093</t>
  </si>
  <si>
    <t>TC.TR.eCom.094</t>
  </si>
  <si>
    <t>TC.TR.eCom.095</t>
  </si>
  <si>
    <t>TC.TR.eCom.096</t>
  </si>
  <si>
    <t>TC.TR.eCom.097</t>
  </si>
  <si>
    <t>TC.TR.eCom.098</t>
  </si>
  <si>
    <t>TC.TR.eCom.099</t>
  </si>
  <si>
    <t>TC.TR.eCom.100</t>
  </si>
  <si>
    <t>TC.TR.eCom.101</t>
  </si>
  <si>
    <t>TC.TR.eCom.102</t>
  </si>
  <si>
    <t>TC.TR.eCom.103</t>
  </si>
  <si>
    <t>eComplaint - Aktiviti Terkini</t>
  </si>
  <si>
    <t>TC.TR.eCom.104</t>
  </si>
  <si>
    <t>eComplaint - Pengesahan eComplaint</t>
  </si>
  <si>
    <t xml:space="preserve">User Role :
1. PENGARAH JTK NEGERI
2. KETUA PEJABAT
3. KETUA PEJABAT (JTK SABAH)
4. KETUA PEJABAT (JTK SARAWAK)
</t>
  </si>
  <si>
    <t>Verify Recent Activity updated for eComplaint</t>
  </si>
  <si>
    <t>TC.TR.eCom.105</t>
  </si>
  <si>
    <t>eComplaint - Siasatan aduan eComplaint</t>
  </si>
  <si>
    <t>User Role:
1. KETUA PEJABAT
2. PEGAWAI PENYIASAT FWE
3. PEGAWAI PENYIASAT WFW
4. KETUA PEJABAT (JTK SABAH)
5. PEGAWAI PENYIASAT WFW (JTK SABAH)
6. KETUA PEJABAT (JTK SARAWAK)
7. PEGAWAI PENYIASAT WFW (JTK SARAWAK)</t>
  </si>
  <si>
    <t>TC.TR.eCom.106</t>
  </si>
  <si>
    <t>eComplaint - Perakuan aduan eComplaint</t>
  </si>
  <si>
    <t>User Role:
1. KETUA PEJABAT
2. KETUA PEJABAT (JTK SABAH)
3. KETUA PEJABAT (JTK SARAWAK)</t>
  </si>
  <si>
    <t>38297 </t>
  </si>
  <si>
    <t>NNS Quota Allocation Report - By Sector</t>
  </si>
  <si>
    <t>TC.TR.RPTNNS.001</t>
  </si>
  <si>
    <t>#35127</t>
  </si>
  <si>
    <t>User Role:
-SUPER_ADMIN</t>
  </si>
  <si>
    <t>#38104
#38113</t>
  </si>
  <si>
    <t>QINA</t>
  </si>
  <si>
    <t>TC.TR.RPTNNS.002</t>
  </si>
  <si>
    <t>#38110
#38111
#38149</t>
  </si>
  <si>
    <t>TC.TR.RPTNNS.003</t>
  </si>
  <si>
    <t>TC.TR.RPTNNS.004</t>
  </si>
  <si>
    <t>TC.TR.RPTNNS.005</t>
  </si>
  <si>
    <t>#38114
#38119</t>
  </si>
  <si>
    <t>TC.TR.RPTNNS.006</t>
  </si>
  <si>
    <t>#38110
#38111
#38114
#38149</t>
  </si>
  <si>
    <t>TC.TR.RPTNNS.007</t>
  </si>
  <si>
    <t>TC.TR.RPTNNS.008</t>
  </si>
  <si>
    <t>TC.TR.RPTNNS.009</t>
  </si>
  <si>
    <t>All required columns should be available with appropriate labels.</t>
  </si>
  <si>
    <t>TC.TR.RPTNNS.010</t>
  </si>
  <si>
    <t>TC.TR.RPTNNS.011</t>
  </si>
  <si>
    <t>TC.TR.RPTNNS.012</t>
  </si>
  <si>
    <t>TC.TR.RPTNNS.013</t>
  </si>
  <si>
    <t>Print Button</t>
  </si>
  <si>
    <t>Successfully generate pdf document</t>
  </si>
  <si>
    <t>BLOCKED</t>
  </si>
  <si>
    <t>#38124</t>
  </si>
  <si>
    <t>TC.TR.RPTNNS.014</t>
  </si>
  <si>
    <t>Export Button</t>
  </si>
  <si>
    <t>Successfully generate excel document</t>
  </si>
  <si>
    <t>NNS Quota Allocation Report - Top 10 Employers</t>
  </si>
  <si>
    <t>TC.TR.RPTNNS.015</t>
  </si>
  <si>
    <t>#35128</t>
  </si>
  <si>
    <t>TC.TR.RPTNNS.016</t>
  </si>
  <si>
    <t>#38145
#38127
#38150</t>
  </si>
  <si>
    <t>TC.TR.RPTNNS.017</t>
  </si>
  <si>
    <t>TC.TR.RPTNNS.018</t>
  </si>
  <si>
    <t>#38134</t>
  </si>
  <si>
    <t>TC.TR.RPTNNS.019</t>
  </si>
  <si>
    <t>TC.TR.RPTNNS.020</t>
  </si>
  <si>
    <t>#38127
#38150</t>
  </si>
  <si>
    <t>TC.TR.RPTNNS.021</t>
  </si>
  <si>
    <t>TC.TR.RPTNNS.022</t>
  </si>
  <si>
    <t>TC.TR.RPTNNS.023</t>
  </si>
  <si>
    <t>TC.TR.RPTNNS.024</t>
  </si>
  <si>
    <t>TC.TR.RPTNNS.025</t>
  </si>
  <si>
    <t>#38134
#38153</t>
  </si>
  <si>
    <t>TC.TR.RPTNNS.026</t>
  </si>
  <si>
    <t>#38139</t>
  </si>
  <si>
    <t>TC.TR.RPTNNS.027</t>
  </si>
  <si>
    <t>TC.TR.RPTNNS.028</t>
  </si>
  <si>
    <t>#38127</t>
  </si>
  <si>
    <t>NNS Quota Allocation Report - Transaction Report</t>
  </si>
  <si>
    <t>TC.TR.RPTNNS.029</t>
  </si>
  <si>
    <t>#35129</t>
  </si>
  <si>
    <t>TC.TR.RPTNNS.030</t>
  </si>
  <si>
    <t>#38146
#38151</t>
  </si>
  <si>
    <t>TC.TR.RPTNNS.031</t>
  </si>
  <si>
    <t>TC.TR.RPTNNS.032</t>
  </si>
  <si>
    <t>TC.TR.RPTNNS.033</t>
  </si>
  <si>
    <t>#38152</t>
  </si>
  <si>
    <t>TC.TR.RPTNNS.034</t>
  </si>
  <si>
    <t>#38147</t>
  </si>
  <si>
    <t>TC.TR.RPTNNS.035</t>
  </si>
  <si>
    <t>TC.TR.RPTNNS.036</t>
  </si>
  <si>
    <t>TC.TR.RPTNNS.037</t>
  </si>
  <si>
    <t>TC.TR.RPTNNS.038</t>
  </si>
  <si>
    <t>TC.TR.RPTNNS.039</t>
  </si>
  <si>
    <t>#38156</t>
  </si>
  <si>
    <t>TC.TR.RPTNNS.040</t>
  </si>
  <si>
    <t>TC.TR.RPTNNS.041</t>
  </si>
  <si>
    <t>TC.TR.RPTNNS.042</t>
  </si>
  <si>
    <t>TC.TR.RPTNNS.043</t>
  </si>
  <si>
    <t>#38157</t>
  </si>
  <si>
    <t>TC.TR.RPTNNS.044</t>
  </si>
  <si>
    <t>Quota Application Report - Summary Page</t>
  </si>
  <si>
    <t>TC.TR.RPTeQuora.001</t>
  </si>
  <si>
    <t>#34384
#35117
#35130
#35131
#37382
#37471</t>
  </si>
  <si>
    <t>sahitest.auto2824@yopmail.com</t>
  </si>
  <si>
    <t>#38126</t>
  </si>
  <si>
    <t>TC.TR.RPTeQuora.002</t>
  </si>
  <si>
    <t>TC.TR.RPTeQuora.003</t>
  </si>
  <si>
    <t>#38120</t>
  </si>
  <si>
    <t>SYASYA</t>
  </si>
  <si>
    <t>TC.TR.RPTeQuora.004</t>
  </si>
  <si>
    <t>#38121</t>
  </si>
  <si>
    <t>TC.TR.RPTeQuora.005</t>
  </si>
  <si>
    <t>TC.TR.RPTeQuora.006</t>
  </si>
  <si>
    <t>#38123</t>
  </si>
  <si>
    <t>TC.TR.RPTeQuora.007</t>
  </si>
  <si>
    <t>TC.TR.RPTeQuora.008</t>
  </si>
  <si>
    <t>TC.TR.RPTeQuora.009</t>
  </si>
  <si>
    <t>TC.TR.RPTeQuora.010</t>
  </si>
  <si>
    <t>#38128</t>
  </si>
  <si>
    <t>TC.TR.RPTeQuora.011</t>
  </si>
  <si>
    <t>TC.TR.RPTeQuora.012</t>
  </si>
  <si>
    <t>TC.TR.RPTeQuora.013</t>
  </si>
  <si>
    <t>TC.TR.RPTeQuora.014</t>
  </si>
  <si>
    <t>TC.TR.RPTeQuora.015</t>
  </si>
  <si>
    <t>Approver Slip</t>
  </si>
  <si>
    <t>View Approver slip</t>
  </si>
  <si>
    <t>Successfully view approver slip</t>
  </si>
  <si>
    <t>#38144</t>
  </si>
  <si>
    <t>TC.TR.RPTeQuora.016</t>
  </si>
  <si>
    <t>Verify Application</t>
  </si>
  <si>
    <t>Verify application</t>
  </si>
  <si>
    <t>Successfully verify application</t>
  </si>
  <si>
    <t>TC.TR.RPTeQuora.017</t>
  </si>
  <si>
    <t>TC.TR.RPTeQuora.018</t>
  </si>
  <si>
    <t>Quota Application Report - Quota Application (Biasa)</t>
  </si>
  <si>
    <t>TC.TR.RPTeQuora.019</t>
  </si>
  <si>
    <t xml:space="preserve">#35131
</t>
  </si>
  <si>
    <t>TC.TR.RPTeQuora.020</t>
  </si>
  <si>
    <t>TC.TR.RPTeQuora.021</t>
  </si>
  <si>
    <t>TC.TR.RPTeQuora.022</t>
  </si>
  <si>
    <t>TC.TR.RPTeQuora.023</t>
  </si>
  <si>
    <t>TC.TR.RPTeQuora.024</t>
  </si>
  <si>
    <t>TC.TR.RPTeQuora.025</t>
  </si>
  <si>
    <t>TC.TR.RPTeQuora.026</t>
  </si>
  <si>
    <t>TC.TR.RPTeQuora.027</t>
  </si>
  <si>
    <t>TC.TR.RPTeQuora.028</t>
  </si>
  <si>
    <t>TC.TR.RPTeQuora.029</t>
  </si>
  <si>
    <t>TC.TR.RPTeQuora.030</t>
  </si>
  <si>
    <t>TC.TR.RPTeQuora.031</t>
  </si>
  <si>
    <t>TC.TR.RPTeQuora.032</t>
  </si>
  <si>
    <t>TC.TR.RPTeQuora.033</t>
  </si>
  <si>
    <t>TC.TR.RPTeQuora.034</t>
  </si>
  <si>
    <t>TC.TR.RPTeQuora.035</t>
  </si>
  <si>
    <t>Verify Print and Export Result</t>
  </si>
  <si>
    <t>TC.TR.RPTeQuora.036</t>
  </si>
  <si>
    <t>Top 5 Application by Job Category</t>
  </si>
  <si>
    <t>TC.TR.RPTeQuora.037</t>
  </si>
  <si>
    <t>#35132</t>
  </si>
  <si>
    <t>TC.TR.RPTeQuora.038</t>
  </si>
  <si>
    <t>TC.TR.RPTeQuora.039</t>
  </si>
  <si>
    <t>TC.TR.RPTeQuora.040</t>
  </si>
  <si>
    <t>TC.TR.RPTeQuora.042</t>
  </si>
  <si>
    <t>TC.TR.RPTeQuora.043</t>
  </si>
  <si>
    <t>TC.TR.RPTeQuora.044</t>
  </si>
  <si>
    <t>TC.TR.RPTeQuora.045</t>
  </si>
  <si>
    <t>TC.TR.RPTeQuora.046</t>
  </si>
  <si>
    <t>TC.TR.RPTeQuora.047</t>
  </si>
  <si>
    <t>TC.TR.RPTeQuora.048</t>
  </si>
  <si>
    <t>TC.TR.RPTeQuora.049</t>
  </si>
  <si>
    <t>TC.TR.RPTeQuora.050</t>
  </si>
  <si>
    <t>Total Quota Application by Reg Agency</t>
  </si>
  <si>
    <t>TC.TR.RPTeQuora.051</t>
  </si>
  <si>
    <t>#35133</t>
  </si>
  <si>
    <t>User ROle:
-SUPER_ADMIN</t>
  </si>
  <si>
    <t>TC.TR.RPTeQuora.052</t>
  </si>
  <si>
    <t>TC.TR.RPTeQuora.053</t>
  </si>
  <si>
    <t>TC.TR.RPTeQuora.054</t>
  </si>
  <si>
    <t>TC.TR.RPTeQuora.055</t>
  </si>
  <si>
    <t>TC.TR.RPTeQuora.056</t>
  </si>
  <si>
    <t>TC.TR.RPTeQuora.057</t>
  </si>
  <si>
    <t>TC.TR.RPTeQuora.058</t>
  </si>
  <si>
    <t>TC.TR.RPTeQuora.059</t>
  </si>
  <si>
    <t>TC.TR.RPTeQuora.060</t>
  </si>
  <si>
    <t>TC.TR.RPTeQuora.061</t>
  </si>
  <si>
    <t>TC.TR.RPTeQuora.062</t>
  </si>
  <si>
    <t>TC.TR.RPTeQuora.063</t>
  </si>
  <si>
    <t>TC.TR.RPTeQuora.064</t>
  </si>
  <si>
    <t>Total Quota Application by State</t>
  </si>
  <si>
    <t>TC.TR.RPTeQuora.065</t>
  </si>
  <si>
    <t>#35134</t>
  </si>
  <si>
    <t>User Role:
-SUPER_ADMIN
-KSM_ADMIN
-KSM_UPP_EQ_ADMIN
-KDN_LVL_1_USR
-KDN_LVL_2_ADM
-KSM_USER
-JTK_ADMIN
-JTK_USER</t>
  </si>
  <si>
    <t>38205 </t>
  </si>
  <si>
    <t>TC.TR.RPTeQuora.066</t>
  </si>
  <si>
    <t>TC.TR.RPTeQuora.067</t>
  </si>
  <si>
    <t>TC.TR.RPTeQuora.068</t>
  </si>
  <si>
    <t>TC.TR.RPTeQuora.069</t>
  </si>
  <si>
    <t>TC.TR.RPTeQuora.070</t>
  </si>
  <si>
    <t>TC.TR.RPTeQuora.071</t>
  </si>
  <si>
    <t>TC.TR.RPTeQuora.072</t>
  </si>
  <si>
    <t>TC.TR.RPTeQuora.073</t>
  </si>
  <si>
    <t>TC.TR.RPTeQuora.074</t>
  </si>
  <si>
    <t>TC.TR.RPTeQuora.075</t>
  </si>
  <si>
    <t>TC.TR.RPTeQuora.076</t>
  </si>
  <si>
    <t>TC.TR.RPTeQuora.077</t>
  </si>
  <si>
    <t>TC.TR.RPTeQuora.078</t>
  </si>
  <si>
    <t>Total Quota Application by Status</t>
  </si>
  <si>
    <t>TC.TR.RPTeQuora.079</t>
  </si>
  <si>
    <t>#35135</t>
  </si>
  <si>
    <t>User Role:
-SUPER_ADMIN
-KSM_ADMIN
-KSM_UPP_EQ_ADMIN
-KDN_LVL_1_USR
-KSM_USER
-JTK_ADMIN
-JTK_USER</t>
  </si>
  <si>
    <t>TC.TR.RPTeQuora.080</t>
  </si>
  <si>
    <t>TC.TR.RPTeQuora.081</t>
  </si>
  <si>
    <t>TC.TR.RPTeQuora.082</t>
  </si>
  <si>
    <t>TC.TR.RPTeQuora.083</t>
  </si>
  <si>
    <t>TC.TR.RPTeQuora.084</t>
  </si>
  <si>
    <t>TC.TR.RPTeQuora.085</t>
  </si>
  <si>
    <t>TC.TR.RPTeQuora.086</t>
  </si>
  <si>
    <t>TC.TR.RPTeQuora.087</t>
  </si>
  <si>
    <t>TC.TR.RPTeQuora.088</t>
  </si>
  <si>
    <t>TC.TR.RPTeQuora.089</t>
  </si>
  <si>
    <t>TC.TR.RPTeQuora.090</t>
  </si>
  <si>
    <t>TC.TR.RPTeQuora.091</t>
  </si>
  <si>
    <t>TC.TR.RPTeQuora.092</t>
  </si>
  <si>
    <t>eQuota - Aktiviti Terkini</t>
  </si>
  <si>
    <t>TC.TR.RPTeQuora.093</t>
  </si>
  <si>
    <t>#37537
#37187</t>
  </si>
  <si>
    <t>Document Verification Quota (Normal)</t>
  </si>
  <si>
    <t>User Role :
eQuota - Pengesahan Dokumen Kuota
1. OSCKDN_ADMIN
2. OSCKDN_OFFCR_ADM
3. OSCKDN_PT</t>
  </si>
  <si>
    <t>Verify Recent Activity updated for Document Verification Quota (Normal)</t>
  </si>
  <si>
    <t>Recent Activity at Homepage updated</t>
  </si>
  <si>
    <t>#38158
#38159</t>
  </si>
  <si>
    <t>TC.TR.RPTeQuora.094</t>
  </si>
  <si>
    <t>Document Verification Quota (CBC)</t>
  </si>
  <si>
    <t>User Role:
eQuota - Pengesahan Dokumen Kuota (CBC)
1. OSCKDN_ADMIN
2. OSCKDN_OFFCR_ADM</t>
  </si>
  <si>
    <t>Verify Recent Activity updated for Document Verification Quota (CBC)</t>
  </si>
  <si>
    <t>TC.TR.RPTeQuora.095</t>
  </si>
  <si>
    <t>Document Verification Pre-Quota</t>
  </si>
  <si>
    <t>User Role: 
eQuota - Pengesahan Dokumen Pra-Kuota
1. OSCKDN_ADMIN
2. OSCKDN_OFFCR_ADM
3. OSCKDN_PT</t>
  </si>
  <si>
    <t>Verify Recent Activity updated for Document Verification Pre-Quota</t>
  </si>
  <si>
    <t>TC.TR.RPTeQuora.096</t>
  </si>
  <si>
    <t>Sector Configuration (Quota)</t>
  </si>
  <si>
    <t>User Role:
eQuota - Konfigurasi Sektor
1. OSCKDN_ADMIN
2. OSCKDN_OFFCR_ADM</t>
  </si>
  <si>
    <t>Verify Recent Activity updated for Sector Configuration (Quota)</t>
  </si>
  <si>
    <t>#38241</t>
  </si>
  <si>
    <t>TC.TR.RPTeQuora.097</t>
  </si>
  <si>
    <t>Update Interview Date</t>
  </si>
  <si>
    <t>User Role: 
eQuota - Kemas Kini Tarikh Temuduga
1. OSCKDN_ADMIN
2. OSCKDN_PT</t>
  </si>
  <si>
    <t>Verify Recent Activity updated for Update Interview Date</t>
  </si>
  <si>
    <t>TC.TR.RPTeQuora.098</t>
  </si>
  <si>
    <t>AKS Recommendation</t>
  </si>
  <si>
    <t>eQuota - Pengesyoran Pra Kuota
1. MOA_USER
2. KPDNKK_USER
3. MOTAC_USER
4. MOT_USER
5. MPIC_USER
6. NRE_USER
7. CIDB_USER
8. MITI_USER
9. AKS_KDN_USER</t>
  </si>
  <si>
    <t>Verify Recent Activity updated for AKS Recommendation</t>
  </si>
  <si>
    <t>FWe Approval (Configuration Emp Blacklist) - Aktiviti Terkini</t>
  </si>
  <si>
    <t>TC.TR.RPTeQuora.099</t>
  </si>
  <si>
    <t>#37537
#37464</t>
  </si>
  <si>
    <t>Configuration Emp Blacklist</t>
  </si>
  <si>
    <t>User Role :
PTADBIR_ID_JTKSM</t>
  </si>
  <si>
    <t xml:space="preserve">Verify Recent Activity updated for FWe Approval (Configuration Emp Blacklist) </t>
  </si>
  <si>
    <t>Recent Activity at Homepage updated
BM:
Tetapan Baharu Senarai Hitam Majikan
Majikan (nama Majikan - ROC) telah diaktifkan
BI:
New Configuration Employer Blacklist
Employer (employer name – ROC) has been activated</t>
  </si>
  <si>
    <t>#38164</t>
  </si>
  <si>
    <t>MYFutureJobs - Aktivit Terkini</t>
  </si>
  <si>
    <t>TC.TR.RPTeQuora.100</t>
  </si>
  <si>
    <t>#37537
#37465</t>
  </si>
  <si>
    <t>MyFutureJobs verification</t>
  </si>
  <si>
    <t>User Role :
1. PERKESO_HQ
2. PERKESO_ADMIN_USER</t>
  </si>
  <si>
    <t xml:space="preserve">Verify Recent Activity updated for MyFutureJobs </t>
  </si>
  <si>
    <t>#38317</t>
  </si>
  <si>
    <t>Notifikasi / Notification</t>
  </si>
  <si>
    <t>TC.TR.RPTeQuora.101</t>
  </si>
  <si>
    <t>#37537
#37538</t>
  </si>
  <si>
    <t xml:space="preserve">Notificastion </t>
  </si>
  <si>
    <t>Verify Notification updated</t>
  </si>
  <si>
    <t>Notification at Homepage updated</t>
  </si>
  <si>
    <t>TC.TR.JIMFEEDBACK.001</t>
  </si>
  <si>
    <t>#36087</t>
  </si>
  <si>
    <t>Pop up Message</t>
  </si>
  <si>
    <t>Check message in Bahasa Melayu and English
for OTP Pop Up message</t>
  </si>
  <si>
    <t>1. Click on daftar
2. Fill all the details needed
3. Click Hantar
4. Request OTP
5. Observe</t>
  </si>
  <si>
    <t>ENG.
You can only regenerate the OTP after 15 minutes
MY.
Anda hanya boleh menjana semula OTP selepas 15 minit</t>
  </si>
  <si>
    <t>YHUVAN  / LUQMAN</t>
  </si>
  <si>
    <t>TC.TR.JIMFEEDBACK.002</t>
  </si>
  <si>
    <t>Check message in Bahasa Melayu and English for OTP Pop Up message</t>
  </si>
  <si>
    <t>1. Click on daftar
2. Fill all the details needed
3. Click Hantar
4. Request OTP
5. Wait another 15 minutes request another OTP
6. Observe</t>
  </si>
  <si>
    <t>TC.TR.JIMFEEDBACK.003</t>
  </si>
  <si>
    <t>#36088</t>
  </si>
  <si>
    <t>Jabatan/Agensi Label</t>
  </si>
  <si>
    <t>Check Jabatan/Agensi Label in
Bahasa Melayu and English</t>
  </si>
  <si>
    <t>1. Click on daftar
2. Observe the Jabatan/Agensi Label</t>
  </si>
  <si>
    <t>Eng.
Department/ Agency
My.
Jabatan/ Agensi</t>
  </si>
  <si>
    <t>TC.TR.JIMFEEDBACK.004</t>
  </si>
  <si>
    <t>Check user that have
PRE_REG_IND = NULL
SELECT * FROM sppa_env2.IDM_USER_GROUP;</t>
  </si>
  <si>
    <t>1. Login with the user that have PRE_REG_IND = NULL
2. Click on Pengurusan Pengguna &gt; Urus Pengguna
3. Click on Cipta Pengguna
4. Observe</t>
  </si>
  <si>
    <t>TC.TR.JIMFEEDBACK.005</t>
  </si>
  <si>
    <t>#36089</t>
  </si>
  <si>
    <t>Sokongan / Kelulusan label</t>
  </si>
  <si>
    <t>Check on column 'Tindakan' action button</t>
  </si>
  <si>
    <t>1. Login
2. Click on Pengurusan Pengguna
3. Click on Sokongan Permohonan ID
4. Click on '…' column tindakan
5. Observe
Repeat with Kelulusan Permohonan ID and observe</t>
  </si>
  <si>
    <t>Eng.
a. Claim
b. Release
My. (become italic)
a. Claim
b. Release</t>
  </si>
  <si>
    <t>TC.TR.JIMFEEDBACK.006</t>
  </si>
  <si>
    <t>#36090</t>
  </si>
  <si>
    <t>Sokongan / Kelulusan no of row</t>
  </si>
  <si>
    <t>Check on the first Column before Nama
Pengguna</t>
  </si>
  <si>
    <t>1. Login
2. Click on Pengurusan Pengguna
3. Click on Sokongan Permohonan ID
4. Observe
Repeat with Kelulusan Permohonan ID and observe</t>
  </si>
  <si>
    <t>Column No. is added</t>
  </si>
  <si>
    <t>TC.TR.JIMFEEDBACK.007</t>
  </si>
  <si>
    <t>#36091</t>
  </si>
  <si>
    <t>Pendaftaran Pengguna Baharu</t>
  </si>
  <si>
    <t>Check on error message for email missing</t>
  </si>
  <si>
    <t>1. Click on daftar
2. Fill all the details needed except email
3. Click Hantar
4. Observe</t>
  </si>
  <si>
    <t>Eng.
Email Address is required
MY.
Alamat Emel diperlukan</t>
  </si>
  <si>
    <t>TC.TR.JIMFEEDBACK.008</t>
  </si>
  <si>
    <t>1. Click on daftar
2. Fill all the details needed except email
3. Filled in email without following format
4. Observe</t>
  </si>
  <si>
    <t>Error message display
*kindly check for both language</t>
  </si>
  <si>
    <t>TC.TR.JIMFEEDBACK.009</t>
  </si>
  <si>
    <t>#36092</t>
  </si>
  <si>
    <t>Redirect to screen Sokongan / Kelulusan once success claim</t>
  </si>
  <si>
    <t>Check on once user claim the application, it
will redirect the user to Sokongan 
/ Kelulusan Permohonan ID page</t>
  </si>
  <si>
    <t>1. Login
2. Click on Pengurusan Pengguna
3. Click on Sokongan Permohonan ID
4. Click on '…' column tindakan and click claim
5. Observe
Repeat with Kelulusan Permohonan ID and observe</t>
  </si>
  <si>
    <t>TC.TR.JIMFEEDBACK.010</t>
  </si>
  <si>
    <t>#36093</t>
  </si>
  <si>
    <t>Add table Maklumat Peranan Pengguna</t>
  </si>
  <si>
    <t>Check on Table Maklumat Peranan Pengguna</t>
  </si>
  <si>
    <t>1. Click on daftar
2. Select Jabatan/Agensi and Peranan pengguna
3. Observe the Maklumat Peranan Pengguna must be mapped according to the excel given
*Repeat all the process to each available Jabatan/Agensi and Peranan Pengguna</t>
  </si>
  <si>
    <t>Mapped accordingly, refer excel
Automation akan cover most of the part</t>
  </si>
  <si>
    <t>#37410</t>
  </si>
  <si>
    <t>TC.TR.JIMFEEDBACK.011</t>
  </si>
  <si>
    <t>#36094</t>
  </si>
  <si>
    <t>Sokongan / Kelulusan - auto release</t>
  </si>
  <si>
    <t>SELECT * FROM sppa_env2.PRE_IDM_PROFILE;
EDR_CLAIM_BY - SOKONGAN
EDR_CLAIM_DT - SOKONGAN
APR_CLAIM_BY - KELULUSAN
APR_CLAIM_DT - KELULUSAN
all of these column will NULL after 4 days</t>
  </si>
  <si>
    <t>Check on Sokongan / Kelulusan auto release
after 4 days without any action done by the user</t>
  </si>
  <si>
    <t>1. Login
2. Click on Pengurusan Pengguna
3. Click on Sokongan Permohonan ID
4. Click on '…' column tindakan and click claim
5. Change the date of the application to be after 4 days after claim and observe
Repeat with Kelulusan Permohonan ID and observe</t>
  </si>
  <si>
    <t>Application has been auto release and user need to claim once again</t>
  </si>
  <si>
    <t>TC.TR.JIMFEEDBACK.012</t>
  </si>
  <si>
    <t>SELECT * FROM sppa_env2.PRE_IDM_PROFILE;
EDR_CLAIM_BY - SOKONGAN
EDR_CLAIM_DT - SOKONGAN
APR_CLAIM_BY - KELULUSAN
APR_CLAIM_DT - KELULUSAN
all of these column will not be NULL after 3 days</t>
  </si>
  <si>
    <t>Check on Sokongan / Kelulusan auto release
afte 3 days without any action done by the user</t>
  </si>
  <si>
    <t>1. Login
2. Click on Pengurusan Pengguna
3. Click on Sokongan Permohonan ID
4. Click on '…' column tindakan and click claim
5. Change the date of the application to be after 3 days after claim and observe
Repeat with Kelulusan Permohonan ID and observe</t>
  </si>
  <si>
    <t>Application is still on user hand</t>
  </si>
  <si>
    <t>TC.TR.JIMFEEDBACK.013</t>
  </si>
  <si>
    <t>SELECT * FROM sppa_env2.PRE_IDM_PROFILE;
EDR_CLAIM_BY - SOKONGAN
EDR_CLAIM_DT - SOKONGAN
APR_CLAIM_BY - KELULUSAN
APR_CLAIM_DT - KELULUSAN
all of these column will NULL after 5 days</t>
  </si>
  <si>
    <t>Check on Sokongan / Kelulusan auto release
after 5 days without any action done by the user</t>
  </si>
  <si>
    <t>1. Login
2. Click on Pengurusan Pengguna
3. Click on Sokongan Permohonan ID
4. Click on '…' column tindakan and click claim
5. Change the date of the application to be after 5 days after claim and observe
Repeat with Kelulusan Permohonan ID and observe</t>
  </si>
  <si>
    <t>TC.TR.JIMFEEDBACK.014</t>
  </si>
  <si>
    <t>#36509</t>
  </si>
  <si>
    <t>Change Description JIM SECURITY ADMIN</t>
  </si>
  <si>
    <t>PRE_REG_IND = NULL changed it to Y for the selected role
SELECT * FROM sppa_env2.IDM_USER_GROUP;</t>
  </si>
  <si>
    <t>Check on description for JIM SECURITY ADMIN
has been change to JIM ENTRY POINT ADMIN</t>
  </si>
  <si>
    <t>1. Click on daftar
2. Filled all required fills and Select JIM as Jabatan/Agensi
3. Observe the Peranan Pengguna, JIM SECURITY ADMIN must be changed to JIM ENTRY POINT ADMIN</t>
  </si>
  <si>
    <t>JIM SECURITY ADMIN must be changed to JIM ENTRY POINT ADMIN
Kindly check in DB as well SELECT * FROM sppa_env2.IDM_USER_GROUP;</t>
  </si>
  <si>
    <t>TC.TR.JIMFEEDBACK.015</t>
  </si>
  <si>
    <t>Create data from daftar until kelulusan</t>
  </si>
  <si>
    <t>JIM ADMIN
JIM SECURITY ADMIN
JIM OPERATOR
JIM SUPERVISOR
BPA ADMIN
BPA HQ
BPA STATE
BPA BRANCH</t>
  </si>
  <si>
    <t>Check on data has been successfully created without error</t>
  </si>
  <si>
    <t>1. Create data for OSC user one and JIM user one (Manual)
2. Create data for all JIM using automation
Repeat for all JIM User</t>
  </si>
  <si>
    <t>Data Successfully created and can be login in without any issue</t>
  </si>
  <si>
    <t>JABATAN KDN</t>
  </si>
  <si>
    <t>TC.TR.IDM.JAWATAN.001</t>
  </si>
  <si>
    <t>#37022</t>
  </si>
  <si>
    <t>Pendaftaran Pengguna Baru - Jawatan (Mandatory for all level)</t>
  </si>
  <si>
    <t>KDN ADMIN</t>
  </si>
  <si>
    <t>Check all Jawatan Listings
in Borang Online and Pindah Lokasi Pengguna</t>
  </si>
  <si>
    <t>1) Click on Pendaftaran Pengguna 
2) Fill in all relevant user details.
3) Choose KDN as Jabatan
4) Verify all the jawatan for each peranaan under the respective Jabatan</t>
  </si>
  <si>
    <t>SETIAUSAHA BAHAGIAN
SETIAUSAHA PEJABAT
TIMBALAN SETIAUSAHA BAHAGIAN
PEMBANTU SETIAUSAHA PEJABAT
TIMBALAN SETIAUSAHA BAHAGIAN (UNIT OSC PEKERJA ASING)
SETIAUSAHA PEJABAT (UNIT OSC PEKERJA ASING)
KETUA PENOLONG SETIAUSAHA (UNIT OPERASI)
PENOLONG SETIAUSAHA (UNIT OPERASI)
PENOLONG PEGAWAI TADBIR (UNIT OPERASI)
PEMBANTU OPERASI (UNIT OPERASI)</t>
  </si>
  <si>
    <t>YHUVAN</t>
  </si>
  <si>
    <t>JABATAN OSC</t>
  </si>
  <si>
    <t>TC.TR.IDM.JAWATAN.002</t>
  </si>
  <si>
    <t>OSC ADMIN</t>
  </si>
  <si>
    <t>1) Click on Pendaftaran Pengguna 
2) Fill in all relevant user details.
3) Choose OSC as Jabatan
4) Verify all the jawatan for each peranaan under the respective Jabatan</t>
  </si>
  <si>
    <t>TC.TR.IDM.JAWATAN.003</t>
  </si>
  <si>
    <t>OSC OFFICER ADMIN</t>
  </si>
  <si>
    <t>TC.TR.IDM.JAWATAN.004</t>
  </si>
  <si>
    <t>OSC PT</t>
  </si>
  <si>
    <t>JABATAN AKS</t>
  </si>
  <si>
    <t>TC.TR.IDM.JAWATAN.005</t>
  </si>
  <si>
    <t>CIDB USER</t>
  </si>
  <si>
    <t>1) Click on Pendaftaran Pengguna 
2) Fill in all relevant user details.
3) Choose AKS as Jabatan
4) Verify all the jawatan for each peranaan under the respective Jabatan</t>
  </si>
  <si>
    <t>KETUA PEGAWAI EKSEKUTIF
TIMBALAN KETUA PEGAWAI EKSEKUTIF
PENGARAH
TIMBALAN PENGARAH
PENGURUS
PENOLONG PENGURUS
PEGAWAI TADBIR
PEGAWAI CIDB
PEGAWAI VERIFIKASI
PENOLONG PEGAWAI TADBIR
PEMBANTU TADBIR (AM / KEWANGAN)
PEMBANTU OPERASI
PEGAWAI KAUNTER CIDB</t>
  </si>
  <si>
    <t>TC.TR.IDM.JAWATAN.006</t>
  </si>
  <si>
    <t>MITI USER</t>
  </si>
  <si>
    <t>PEGAWAI MITI
PENGARAH
TIMBALAN PENGARAH
PTD
PEGAWAI TEKNIKAL
PEGAWAI PENTADBIRAN
PEGAWAI PENGUAT KUASA</t>
  </si>
  <si>
    <t>TC.TR.IDM.JAWATAN.007</t>
  </si>
  <si>
    <t>KPK USER</t>
  </si>
  <si>
    <t>PEGAWAI KPK
PENGARAH
TIMBALAN PENGARAH
PTD
PEGAWAI TEKNIKAL
PEGAWAI PENTADBIRAN
PEGAWAI PENGUAT KUASA</t>
  </si>
  <si>
    <t>TC.TR.IDM.JAWATAN.008</t>
  </si>
  <si>
    <t>KPKM USER</t>
  </si>
  <si>
    <t>PEGAWAI KPKM
PENGARAH
TIMBALAN PENGARAH
PTD
PEGAWAI TEKNIKAL
PEGAWAI PENTADBIRAN
PEGAWAI PENGUAT KUASA</t>
  </si>
  <si>
    <t>TC.TR.IDM.JAWATAN.009</t>
  </si>
  <si>
    <t>NRES USER</t>
  </si>
  <si>
    <t>PEGAWAI NRES
PENGARAH
TIMBALAN PENGARAH
PTD
PEGAWAI TEKNIKAL
PEGAWAI PENTADBIRAN
PEGAWAI PENGUAT KUASA</t>
  </si>
  <si>
    <t>TC.TR.IDM.JAWATAN.010</t>
  </si>
  <si>
    <t>KPDN USER</t>
  </si>
  <si>
    <t>PEGAWAI KPDN
PENGARAH
TIMBALAN PENGARAH
PTD
PEGAWAI TEKNIKAL
PEGAWAI PENTADBIRAN
PEGAWAI PENGUAT KUASA</t>
  </si>
  <si>
    <t>TC.TR.IDM.JAWATAN.011</t>
  </si>
  <si>
    <t>MOT USER</t>
  </si>
  <si>
    <t>PEGAWAI MOT
PENGARAH
TIMBALAN PENGARAH
PTD
PEGAWAI TEKNIKAL
PEGAWAI PENTADBIRAN
PEGAWAI PENGUAT KUASA</t>
  </si>
  <si>
    <t>TC.TR.IDM.JAWATAN.012</t>
  </si>
  <si>
    <t>MOTAC USER</t>
  </si>
  <si>
    <t>PEGAWAI MOTAC
PENGARAH
TIMBALAN PENGARAH
PTD
PEGAWAI TEKNIKAL
PEGAWAI PENTADBIRAN
PEGAWAI PENGUAT KUASA</t>
  </si>
  <si>
    <t>TC.TR.IDM.JAWATAN.013</t>
  </si>
  <si>
    <t>KDN USER</t>
  </si>
  <si>
    <t>PEGAWAI KDN
PENGARAH
TIMBALAN PENGARAH
PTD
PEGAWAI TEKNIKAL
PEGAWAI PENTADBIRAN
PEGAWAI PENGUAT KUASA</t>
  </si>
  <si>
    <t>JABATAN JIM</t>
  </si>
  <si>
    <t>TC.TR.IDM.JAWATAN.014</t>
  </si>
  <si>
    <t>JIM ADMIN</t>
  </si>
  <si>
    <t>1) Click on Pendaftaran Pengguna 
2) Fill in all relevant user details.
3) Choose JIM as Jabatan
4) Verify all the jawatan for each peranaan under the respective Jabatan</t>
  </si>
  <si>
    <t>PEGAWAI IMIGRESEN
PENGARAH
TIMBALAN PENGARAH
KETUA BAHAGIAN
PEGAWAI TADBIR DAN DIPLOMATIK (PTD)
PEGAWAI KESELAMATAN
PEGAWAI PENGUAT KUASA
PEGAWAI PEMERIKSA IMIGRESEN
PEGAWAI OPERASI
PEGAWAI TEKNOLOGI MAKLUMAT
PEGAWAI KHIDMAT PELANGGAN</t>
  </si>
  <si>
    <t>TC.TR.IDM.JAWATAN.015</t>
  </si>
  <si>
    <t>BPA ADMIN</t>
  </si>
  <si>
    <t>TC.TR.IDM.JAWATAN.016</t>
  </si>
  <si>
    <t>BPA HQ</t>
  </si>
  <si>
    <t>TC.TR.IDM.JAWATAN.017</t>
  </si>
  <si>
    <t>BPA STATE</t>
  </si>
  <si>
    <t>TC.TR.IDM.JAWATAN.018</t>
  </si>
  <si>
    <t>BPA BRANCH</t>
  </si>
  <si>
    <t>TC.TR.IDM.JAWATAN.019</t>
  </si>
  <si>
    <t>ENFORCEMENT ADMIN</t>
  </si>
  <si>
    <t>TC.TR.IDM.JAWATAN.020</t>
  </si>
  <si>
    <t>ENFORCEMENT USER (PUTRAJAYA)</t>
  </si>
  <si>
    <t>TC.TR.IDM.JAWATAN.021</t>
  </si>
  <si>
    <t>ENFORCEMENT MOBILE ADMIN</t>
  </si>
  <si>
    <t>TC.TR.IDM.JAWATAN.022</t>
  </si>
  <si>
    <t>ENFORCEMENT STATE ADMIN</t>
  </si>
  <si>
    <t>TC.TR.IDM.JAWATAN.023</t>
  </si>
  <si>
    <t>ENFORCEMENT STATE USER</t>
  </si>
  <si>
    <t>TC.TR.IDM.JAWATAN.024</t>
  </si>
  <si>
    <t>JIM ENTRY POINT ADMIN</t>
  </si>
  <si>
    <t>TC.TR.IDM.JAWATAN.025</t>
  </si>
  <si>
    <t>JIM SUPERVISOR</t>
  </si>
  <si>
    <t>TC.TR.IDM.JAWATAN.026</t>
  </si>
  <si>
    <t>JIM OPERATOR</t>
  </si>
  <si>
    <t>JABATAN KDNKK</t>
  </si>
  <si>
    <t>TC.TR.IDM.JAWATAN.027</t>
  </si>
  <si>
    <t>KDN SECURITY ADMIN</t>
  </si>
  <si>
    <t>1) Click on Pendaftaran Pengguna 
2) Fill in all relevant user details.
3) Choose KDNKK as Jabatan
4) Verify all the jawatan for each peranaan under the respective Jabatan</t>
  </si>
  <si>
    <t>PEGAWAI KDN
PEGAWAI KESELAMATAN
PENGARAH
TIMBALAN PENGARAH
KETUA BAHAGIAN
PEGAWAI TADBIR DAN DIPLOMATIK (PTD)
PEGAWAI PENGUAT KUASA
PEGAWAI PENYIASAT
PEGAWAI OPERASI
PEGAWAI TEKNOLOGI MAKLUMAT</t>
  </si>
  <si>
    <t>TC.TR.IDM.JAWATAN.028</t>
  </si>
  <si>
    <t>KDN SECURITY OPERATOR</t>
  </si>
  <si>
    <t>TC.TR.IDM.JAWATAN.029</t>
  </si>
  <si>
    <t>KDNKK APPROVER</t>
  </si>
  <si>
    <t>TC.TR.IDM.JAWATAN.030</t>
  </si>
  <si>
    <t>KDNKK OPERATOR</t>
  </si>
  <si>
    <t>#38148</t>
  </si>
  <si>
    <t>KDNKK operator option is not available in Borang Online dropdown
Waiting for Kak Ain to confirm</t>
  </si>
  <si>
    <t>TC.TR.IDM.JAWATAN.031</t>
  </si>
  <si>
    <t>KDNKK APPROVER AND OPERATOR</t>
  </si>
  <si>
    <t>TC.TR.IDM.JAWATAN.032</t>
  </si>
  <si>
    <t>KDNKK SUPERSIVOR</t>
  </si>
  <si>
    <t>TC.TR.IDM.JAWATAN.033</t>
  </si>
  <si>
    <t>KDNKK VERIFIER</t>
  </si>
  <si>
    <t>TC.TR.IDM.JAWATAN.034</t>
  </si>
  <si>
    <t>KDNKK EQM APPROVER</t>
  </si>
  <si>
    <t>JABATAN JTKSM</t>
  </si>
  <si>
    <t>TC.TR.IDM.JAWATAN.035</t>
  </si>
  <si>
    <t>KESUMA ADMIN</t>
  </si>
  <si>
    <t>1) Click on Pendaftaran Pengguna 
2) Fill in all relevant user details.
3) Choose JTKSM as Jabatan
4) Verify all the jawatan for each peranaan under the respective Jabatan</t>
  </si>
  <si>
    <t>KETUA PEJABAT
PENOLONG PENGARAH TENAGA KERJA KANAN
PENOLONG PENGARAH KANAN
KPP
PPTKK
PPP
PEGAWAI PERHUBUNGAN PERUSAHAAN
TIMBALAN PENGARAH NEGERI
PENOLONG PENGARAH KANAN TENAGA KERJA
PEN. PENGARAH JTK KANAN</t>
  </si>
  <si>
    <t>TC.TR.IDM.JAWATAN.036</t>
  </si>
  <si>
    <t>PENTADBIR ID DAN PEGAWAI BAHAGIAN PEKERJA ASING</t>
  </si>
  <si>
    <t>TC.TR.IDM.JAWATAN.037</t>
  </si>
  <si>
    <t>PENTADBIR ID (JTKSM)</t>
  </si>
  <si>
    <t>TC.TR.IDM.JAWATAN.038</t>
  </si>
  <si>
    <t>PENGARAH BAHAGIAN PEKERJA ASING</t>
  </si>
  <si>
    <t>TC.TR.IDM.JAWATAN.039</t>
  </si>
  <si>
    <t>PEGAWAI BAHAGIAN PEKERJA ASING</t>
  </si>
  <si>
    <t>TC.TR.IDM.JAWATAN.040</t>
  </si>
  <si>
    <t>PENGARAH BAHAGIAN STANDARD PERBURUHAN</t>
  </si>
  <si>
    <t>TC.TR.IDM.JAWATAN.041</t>
  </si>
  <si>
    <t>PEGAWAI BAHAGIAN STANDARD PERBURUHAN</t>
  </si>
  <si>
    <t>TC.TR.IDM.JAWATAN.042</t>
  </si>
  <si>
    <t>PENGARAH JTK NEGERI</t>
  </si>
  <si>
    <t>TC.TR.IDM.JAWATAN.043</t>
  </si>
  <si>
    <t>PERSON IN CHARGE (PIC) NEGERI</t>
  </si>
  <si>
    <t>TC.TR.IDM.JAWATAN.044</t>
  </si>
  <si>
    <t>KETUA PEJABAT</t>
  </si>
  <si>
    <t>TC.TR.IDM.JAWATAN.045</t>
  </si>
  <si>
    <t>PEGAWAI PENYIASAT FWE &amp; WFW</t>
  </si>
  <si>
    <t>TC.TR.IDM.JAWATAN.046</t>
  </si>
  <si>
    <t>PEGAWAI PENYIASAT FWE</t>
  </si>
  <si>
    <t>TC.TR.IDM.JAWATAN.047</t>
  </si>
  <si>
    <t>PEGAWAI PENYIASAT WFW</t>
  </si>
  <si>
    <t>TC.TR.IDM.JAWATAN.048</t>
  </si>
  <si>
    <t>PENTADBIR ID (JTK SABAH)</t>
  </si>
  <si>
    <t>TC.TR.IDM.JAWATAN.049</t>
  </si>
  <si>
    <t>PERSON IN CHARGE (PIC) JTK SABAH</t>
  </si>
  <si>
    <t>TC.TR.IDM.JAWATAN.050</t>
  </si>
  <si>
    <t>KETUA PEJABAT (JTK SABAH)</t>
  </si>
  <si>
    <t>TC.TR.IDM.JAWATAN.051</t>
  </si>
  <si>
    <t>PEGAWAI PENYIASAT WFW (JTK SABAH)</t>
  </si>
  <si>
    <t>TC.TR.IDM.JAWATAN.052</t>
  </si>
  <si>
    <t>PENTADBIR ID (JTK SARAWAK)</t>
  </si>
  <si>
    <t>TC.TR.IDM.JAWATAN.053</t>
  </si>
  <si>
    <t>PERSON IN CHARGE (PIC) JTK SARAWAK</t>
  </si>
  <si>
    <t>TC.TR.IDM.JAWATAN.054</t>
  </si>
  <si>
    <t>KETUA PEJABAT (JTK SARAWAK)</t>
  </si>
  <si>
    <t>TC.TR.IDM.JAWATAN.055</t>
  </si>
  <si>
    <t>PEGAWAI PENYIASAT WFW (JTK SARAWAK)</t>
  </si>
  <si>
    <t>TC.TR.IDM.JAWATAN.056</t>
  </si>
  <si>
    <t>WFW (UKK - KSM)</t>
  </si>
  <si>
    <t>TC.TR.IDM.JAWATAN.057</t>
  </si>
  <si>
    <t>KSM MENTERI</t>
  </si>
  <si>
    <t>JABATAN PERKESO</t>
  </si>
  <si>
    <t>TC.TR.IDM.JAWATAN.058</t>
  </si>
  <si>
    <t>PENTADBIR ID PERKESO</t>
  </si>
  <si>
    <t>1) Click on Pendaftaran Pengguna 
2) Fill in all relevant user details.
3) Choose PERKESO as Jabatan
4) Verify all the jawatan for each peranaan under the respective Jabatan</t>
  </si>
  <si>
    <t>KETUA PEGAWAI EKSEKUTIF
TIMBALAN KETUA PEGAWAI EKSEKUTIF
PENGARAH
TIMBALAN PENGARAH
PEGAWAI TADBIR
PEGAWAI SUMBER MANUSIA
PEGAWAI PERKESO
PEGAWAI PEMERIKSA / PEGAWAI PENYIASAT
PENOLONG PEGAWAI TADBIR
PENOLONG PEGAWAI KESELAMATAN SOSIAL
PEMBANTU TADBIR (AM / KEWANGAN)
PEMBANTU OPERASI
KERANI
PEGAWAI KAUNTER PERKESO</t>
  </si>
  <si>
    <t>TC.TR.IDM.JAWATAN.059</t>
  </si>
  <si>
    <t>PERKESO – ADMIN</t>
  </si>
  <si>
    <t>TC.TR.IDM.JAWATAN.060</t>
  </si>
  <si>
    <t>PERKESO ADMIN USER</t>
  </si>
  <si>
    <t>TC.TR.IDM.JAWATAN.061</t>
  </si>
  <si>
    <t>PERKESO STATE ADMIN</t>
  </si>
  <si>
    <t>TC.TR.IDM.JAWATAN.062</t>
  </si>
  <si>
    <t>PERKESO STATE USER</t>
  </si>
  <si>
    <t>IDM - Aktiviti Terkini</t>
  </si>
  <si>
    <t>TC.TR.IDM.JAWATAN.063</t>
  </si>
  <si>
    <t>#37537
#37466</t>
  </si>
  <si>
    <t>IDM -  ID endoresement</t>
  </si>
  <si>
    <t>User Role :
1. KDN ADMIN
2. KDN SECURITY ADMIN
3. JIM ADMIN
4. OSC ADMIN
5. JIM ENTRY POINT ADMIN
6. ENFORCEMENT ADMIN
7. BPA ADMIN
8. OSC OFFICER ADMIN
9. BPA_STATE
10. ENFORCEMENT STATE ADMIN</t>
  </si>
  <si>
    <t>Verify Recent Activity updated for ID endorsement</t>
  </si>
  <si>
    <t>#38287</t>
  </si>
  <si>
    <t>TC.TR.IDM.JAWATAN.064</t>
  </si>
  <si>
    <t>IDM -  ID Approval</t>
  </si>
  <si>
    <t>User Role :
1. KDN ADMIN
2. KDN SECURITY ADMIN
3. JIM ADMIN
4. OSC ADMIN
5. ENFORCEMENT ADMIN
7. BPA ADMIN</t>
  </si>
  <si>
    <t>Verify Recent Activity updated for ID Approval</t>
  </si>
  <si>
    <t>EMAIL - KESUMA ADMIN &amp; KDN ADMIN</t>
  </si>
  <si>
    <t>TC.TR.IDM.JAWATAN.065</t>
  </si>
  <si>
    <t>#38273</t>
  </si>
  <si>
    <t>New Email Template</t>
  </si>
  <si>
    <t>User role : Kesuma Admin</t>
  </si>
  <si>
    <t>Verify email for Kesuma Admin is updated from Sokongan to kelulusan only after user has been aprroved in internal portal</t>
  </si>
  <si>
    <t>Email updated as in the new template</t>
  </si>
  <si>
    <t>#38302</t>
  </si>
  <si>
    <t>TC.TR.IDM.JAWATAN.066</t>
  </si>
  <si>
    <t>User role : KDN Admin</t>
  </si>
  <si>
    <t>Verify email for KDN Admin is updated from Sokongan to kelulusan only after user has been aprroved in internal portal</t>
  </si>
  <si>
    <t>TC.TR.IDM.001</t>
  </si>
  <si>
    <t>#37022
#37057</t>
  </si>
  <si>
    <t>Pendaftaran Pengguna Baru</t>
  </si>
  <si>
    <t>Check All labels &amp; Links</t>
  </si>
  <si>
    <t>1. Redirect to Registration Screen when click "Daftar"
2. Display All labels as per requirement
3. Menu Mengurus Pengguna has been changed to Pengurusan Pengguna</t>
  </si>
  <si>
    <t xml:space="preserve">
KDN Security Operator - PASS
KDNKK Approver - PASS
KDNKK APPROVER AND OPERATOR - PASS
KDNK SUPERVISOR - PASS
KDNKK VERIFIER  - PASS
KDNKK EQM APPROVER - PASS
KDNKK OPERATOR - PASS
KDNKK SECURITY ADMIN - PASS</t>
  </si>
  <si>
    <t>YHUVAN / LUQMAN</t>
  </si>
  <si>
    <t>TC.TR.IDM.002</t>
  </si>
  <si>
    <t>Pendaftaran Pengguna Baru - Zon Lokasi (Mandatory for all level)</t>
  </si>
  <si>
    <t xml:space="preserve">1. Details save in PRE_IDM_PROFILE
2. Able to register user:
</t>
  </si>
  <si>
    <t>Verify default selection</t>
  </si>
  <si>
    <t>1. Default display placeholder "Semenanjung Malaysia"
2. Option:
Semenanjung Malaysia
Sabah
Sarawak</t>
  </si>
  <si>
    <t>TC.TR.IDM.003</t>
  </si>
  <si>
    <t>Check for duplicate selection</t>
  </si>
  <si>
    <t>Selection list should not have duplicates</t>
  </si>
  <si>
    <t>TC.TR.IDM.004</t>
  </si>
  <si>
    <t>Check selection labels</t>
  </si>
  <si>
    <t>Selection list should be standardized (check uppercase/lowercase or unrelated symbols)</t>
  </si>
  <si>
    <t>TC.TR.IDM.005</t>
  </si>
  <si>
    <t>Select from dropdown list</t>
  </si>
  <si>
    <t>Selected value should be displayed in field</t>
  </si>
  <si>
    <t>TC.TR.IDM.006</t>
  </si>
  <si>
    <t>Pendaftaran Pengguna Baru - Agensi Kerajaan (Mandatory for all level)</t>
  </si>
  <si>
    <t>1. Default display placeholder "- Sila Pilih -"
2. Option:
KEMENTERIAN DALAM NEGERI
ONE STOP CENTRE (OSC)
AGENSI KAWAL SELIA (AKS)
JABATAN IMIGRESEN MALAYSIA (JIM)
KEMENTERIAN DALAM NEGERI - KESELAMATAN (KDNKK)
KEMENTERIAN SUMBER MANUSIA (KESUMA)
PERKESO</t>
  </si>
  <si>
    <t>TC.TR.IDM.007</t>
  </si>
  <si>
    <t>TC.TR.IDM.008</t>
  </si>
  <si>
    <t>TC.TR.IDM.009</t>
  </si>
  <si>
    <t>TC.TR.IDM.010</t>
  </si>
  <si>
    <t>Pendaftaran Pengguna Baru - Lokasi Pejabat (Mandatory for all level)</t>
  </si>
  <si>
    <t>1. Default display placeholder "- Sila Pilih -"
2. Option:
Ibu Pejabat
Cawangan</t>
  </si>
  <si>
    <t>TC.TR.IDM.011</t>
  </si>
  <si>
    <t>TC.TR.IDM.012</t>
  </si>
  <si>
    <t>TC.TR.IDM.013</t>
  </si>
  <si>
    <t>TC.TR.IDM.014</t>
  </si>
  <si>
    <t>Pendaftaran Pengguna Baru - Jabatan (Mandatory for all level)</t>
  </si>
  <si>
    <t>1. Default display placeholder  "- Sila Pilih -"
2. Option:
KEMENTERIAN DALAM NEGERI
ONE STOP CENTRE (OSC)
AGENSI KAWAL SELIA (AKS)
JABATAN IMIGRESEN MALAYSIA (JIM)
KEMENTERIAN DALAM NEGERI - KESELAMATAN (KDNKK)
KEMENTERIAN SUMBER MANUSIA (KESUMA)
PERKESO</t>
  </si>
  <si>
    <t>TC.TR.IDM.015</t>
  </si>
  <si>
    <t>TC.TR.IDM.016</t>
  </si>
  <si>
    <t>TC.TR.IDM.017</t>
  </si>
  <si>
    <t>TC.TR.IDM.018</t>
  </si>
  <si>
    <t>Pendaftaran Pengguna Baru - Nama (Mandatory for all level)</t>
  </si>
  <si>
    <t>Enter minimum of 1 character and max 255 characters</t>
  </si>
  <si>
    <t>Able to enter minimum of 1 character and 255 maximum characters length and success to register</t>
  </si>
  <si>
    <t>TC.TR.IDM.019</t>
  </si>
  <si>
    <t>Verify default to capital letter</t>
  </si>
  <si>
    <t>Default or auto to capital letter</t>
  </si>
  <si>
    <t>TC.TR.IDM.020</t>
  </si>
  <si>
    <t>Enter combination character type</t>
  </si>
  <si>
    <t>Able to enter combination of alphabet and special character</t>
  </si>
  <si>
    <t>TC.TR.IDM.021</t>
  </si>
  <si>
    <t>Pendaftaran Pengguna Baru - Nombor Telefon (Mandatory for all level)</t>
  </si>
  <si>
    <t>Enter 11 numbers (maximum = 11 numbers)</t>
  </si>
  <si>
    <t>Able to enter 11 numbers length</t>
  </si>
  <si>
    <t>TC.TR.IDM.022</t>
  </si>
  <si>
    <t>Enter 12 numbers</t>
  </si>
  <si>
    <t>Unable to enter 12 numbers length</t>
  </si>
  <si>
    <t>TC.TR.IDM.023</t>
  </si>
  <si>
    <t>Enter alphabets</t>
  </si>
  <si>
    <t>1. Unable to enter alphabets
2. Display proper error message</t>
  </si>
  <si>
    <t>TC.TR.IDM.024</t>
  </si>
  <si>
    <t>Verify place holder name in No. Telefon are correct in cipta pengguna page</t>
  </si>
  <si>
    <t>example value:
BM
cth: 0123456789
BI
e.g.:  0123456789</t>
  </si>
  <si>
    <t>TC.TR.IDM.025</t>
  </si>
  <si>
    <t>Pendaftaran Pengguna Baru - Tarikh Lahir (Mandatory for all level)</t>
  </si>
  <si>
    <t>Select from date picker</t>
  </si>
  <si>
    <t>1. Able to click/select date from date calendar
2. Verify date format is correct (dd/mm/yyyy)
3. Disable selection of future date</t>
  </si>
  <si>
    <t>TC.TR.IDM.026</t>
  </si>
  <si>
    <t>Pendaftaran Pengguna Baru - Jantina (Mandatory for all level)</t>
  </si>
  <si>
    <t>Select radio button</t>
  </si>
  <si>
    <t>1. Initially not be pre-selected 
2. Only 1 radio button can be selected at any one time
Option: 
Lelaki
Perempuan</t>
  </si>
  <si>
    <t>TC.TR.IDM.027</t>
  </si>
  <si>
    <t>Change selection</t>
  </si>
  <si>
    <t>User should be able to freely change between selection</t>
  </si>
  <si>
    <t>TC.TR.IDM.028</t>
  </si>
  <si>
    <t>Pendaftaran Pengguna Baru - Emel (Mandatory for all level)</t>
  </si>
  <si>
    <t>Enter invalid format</t>
  </si>
  <si>
    <t>Display proper error message</t>
  </si>
  <si>
    <t>TC.TR.IDM.029</t>
  </si>
  <si>
    <t>Enter existing email (email need to be unique)</t>
  </si>
  <si>
    <r>
      <t xml:space="preserve">Display proper error message:
</t>
    </r>
    <r>
      <rPr>
        <b/>
        <sz val="12"/>
        <color rgb="FF000000"/>
        <rFont val="Aptos Narrow"/>
        <family val="2"/>
        <scheme val="minor"/>
      </rPr>
      <t>"Alamat e-mel ini telah didaftarkan. Sila gunakan alamat e-mel lain utk pendaftaran"</t>
    </r>
  </si>
  <si>
    <t>TC.TR.IDM.030</t>
  </si>
  <si>
    <t>Verify place holder name in email are correct in cipta pengguna page</t>
  </si>
  <si>
    <t>1. Open gov5v2 link
2. Login using the setup group role user
3. Click on Mengurus Pengguna &gt; cipta pengguna
4. Click on email and observe</t>
  </si>
  <si>
    <t>test any of the group role code that have PRE_REG_IND = 'Y'
change to it NULL
SELECT * FROM sppa_env2.IDM_USER_GROUP;</t>
  </si>
  <si>
    <t>example value:
BM
cth: abcd@gov.com.my
BI
e.g.: abcd@gov.com.my</t>
  </si>
  <si>
    <t>TC.TR.IDM.031</t>
  </si>
  <si>
    <r>
      <t xml:space="preserve">1. Default display placeholder </t>
    </r>
    <r>
      <rPr>
        <b/>
        <sz val="12"/>
        <color rgb="FF000000"/>
        <rFont val="Aptos Narrow"/>
        <scheme val="minor"/>
      </rPr>
      <t xml:space="preserve">"-Sila Pilih-"
</t>
    </r>
    <r>
      <rPr>
        <sz val="12"/>
        <color rgb="FF000000"/>
        <rFont val="Aptos Narrow"/>
        <scheme val="minor"/>
      </rPr>
      <t>2. Option:
SETIAUSAHA BAHAGIAN
SETIAUSAHA PEJABAT
TIMBALAN SETIAUSAHA BAHAGIAN
PEMBANTU SETIAUSAHA PEJABAT
TIMBALAN SETIAUSAHA BAHAGIAN (UNIT OSC PEKERJA ASING)
SETIAUSAHA PEJABAT (UNIT OSC PEKERJA ASING)
KETUA PENOLONG SETIAUSAHA (UNIT OPERASI)
PENOLONG SETIAUSAHA (UNIT OPERASI)
PENOLONG PEGAWAI TADBIR (UNIT OPERASI)
PEMBANTU OPERASI (UNIT OPERASI)</t>
    </r>
  </si>
  <si>
    <t>TC.TR.IDM.032</t>
  </si>
  <si>
    <t>TC.TR.IDM.033</t>
  </si>
  <si>
    <t>TC.TR.IDM.034</t>
  </si>
  <si>
    <t>TC.TR.IDM.035</t>
  </si>
  <si>
    <t>Pendaftaran Pengguna Baru - No MyKad (Mandatory for all level)</t>
  </si>
  <si>
    <t>TC.TR.IDM.036</t>
  </si>
  <si>
    <t>Enter existing mykad number (mykad need to be unique)</t>
  </si>
  <si>
    <t>TC.TR.IDM.037</t>
  </si>
  <si>
    <t>Verify place holder name in No. MyKad are correct in cipta pengguna page</t>
  </si>
  <si>
    <t>1. Open gov5v2 link
2. Login using the setup group role user
3. Click on Mengurus Pengguna &gt; cipta pengguna
4. Click on No. MyKad and observe</t>
  </si>
  <si>
    <t>example value:
BM
cth: No. MyKad
BI
e.g.: MyKad No.</t>
  </si>
  <si>
    <t>TC.TR.IDM.038</t>
  </si>
  <si>
    <t>Pendaftaran Pengguna Baru - Peranan Pengguna (Mandatory for all level)</t>
  </si>
  <si>
    <r>
      <rPr>
        <sz val="12"/>
        <color rgb="FF000000"/>
        <rFont val="Aptos Narrow"/>
        <scheme val="minor"/>
      </rPr>
      <t xml:space="preserve">1. Default display placeholder </t>
    </r>
    <r>
      <rPr>
        <b/>
        <sz val="12"/>
        <color rgb="FF000000"/>
        <rFont val="Aptos Narrow"/>
        <scheme val="minor"/>
      </rPr>
      <t xml:space="preserve">"-Sila Pilih-"
</t>
    </r>
    <r>
      <rPr>
        <sz val="12"/>
        <color rgb="FF000000"/>
        <rFont val="Aptos Narrow"/>
        <scheme val="minor"/>
      </rPr>
      <t>2. Option:
a. KDN Security Admin
b. KDN Security Operator
c. KNDKK Approver
d. KDNKK Operator
e. KDNKK Approver and Operator
f. KDNKK Supervisor
g. KDNKK Verifier
h. KDNKK EQM Approver</t>
    </r>
  </si>
  <si>
    <t>TC.TR.IDM.039</t>
  </si>
  <si>
    <t>TC.TR.IDM.040</t>
  </si>
  <si>
    <t>TC.TR.IDM.041</t>
  </si>
  <si>
    <t>TC.TR.IDM.042</t>
  </si>
  <si>
    <t>Pendaftaran Pengguna Baru - Dokumen Sokongan (Mandatory field for Level 2 only)</t>
  </si>
  <si>
    <t>Upload invalid file type</t>
  </si>
  <si>
    <t>TC.TR.IDM.043</t>
  </si>
  <si>
    <t>Upload file larger than maximum allowed</t>
  </si>
  <si>
    <t>TC.TR.IDM.044</t>
  </si>
  <si>
    <t>Re-upload another file after first time upload</t>
  </si>
  <si>
    <t>Allow re-upload</t>
  </si>
  <si>
    <t>TC.TR.IDM.045</t>
  </si>
  <si>
    <t>Remove uploaded file (Remove button)</t>
  </si>
  <si>
    <t>Field empty after remove</t>
  </si>
  <si>
    <t>TC.TR.IDM.046</t>
  </si>
  <si>
    <t>Viewback file uploaded</t>
  </si>
  <si>
    <t>Uploaded files should remain in fields when viewback</t>
  </si>
  <si>
    <t>TC.TR.IDM.047</t>
  </si>
  <si>
    <t>Verify tooltip is display for Dokumen Sokongan field</t>
  </si>
  <si>
    <t>Tooltip display successfully</t>
  </si>
  <si>
    <t>TC.TR.IDM.048</t>
  </si>
  <si>
    <t>Pendaftaran Pengguna Baru - Keterangan Tugasan (Mandatory for all level)</t>
  </si>
  <si>
    <t>Enter maximum character (maximum = 1000 characters)</t>
  </si>
  <si>
    <t>Able to save maximum characters</t>
  </si>
  <si>
    <t>TC.TR.IDM.049</t>
  </si>
  <si>
    <t>Able to enter combination of alphabet,numeric and special character</t>
  </si>
  <si>
    <t>x`</t>
  </si>
  <si>
    <t>TC.TR.IDM.050</t>
  </si>
  <si>
    <t>Submit Button</t>
  </si>
  <si>
    <t>Submit with all mandatory field</t>
  </si>
  <si>
    <t>1. System able to submit application
2. Success message as per requirement (Green)
3. Receive Email: Subject &gt; "Permohonan Permohonan ID dihantar untuk Sokongan"</t>
  </si>
  <si>
    <t>TC.TR.IDM.051</t>
  </si>
  <si>
    <t>Verify submit without mandatory field</t>
  </si>
  <si>
    <t>Display proper error message (Red)</t>
  </si>
  <si>
    <t>TC.TR.IDM.052</t>
  </si>
  <si>
    <t>Verify submit Registration of status "Pending Endorsement"</t>
  </si>
  <si>
    <t>Display proper error message in pop up message box (Red):
"Permohonan Permohonan ID masih dalam proses sokongan. Pendaftaran baharu tidak dibenarkan"</t>
  </si>
  <si>
    <t>#37531</t>
  </si>
  <si>
    <t>TC.TR.IDM.053</t>
  </si>
  <si>
    <t>Verify submit Registration of status "Pending Approval"</t>
  </si>
  <si>
    <t>Display proper error message in pop up message box (Red):
"Permohonan Permohonan ID masih dalam proses kelulusan. Pendaftaran baharu tidak dibenarkan"</t>
  </si>
  <si>
    <t>TC.TR.IDM.054</t>
  </si>
  <si>
    <t>Verify submit Registration of status "Not Active" (I)</t>
  </si>
  <si>
    <r>
      <rPr>
        <sz val="12"/>
        <color rgb="FF000000"/>
        <rFont val="Aptos Narrow"/>
        <family val="2"/>
        <scheme val="minor"/>
      </rPr>
      <t xml:space="preserve">Display proper error message in pop up message box (Red):
</t>
    </r>
    <r>
      <rPr>
        <b/>
        <sz val="12"/>
        <color rgb="FF000000"/>
        <rFont val="Aptos Narrow"/>
        <family val="2"/>
        <scheme val="minor"/>
      </rPr>
      <t>"ID telah wujud tetapi tidak aktif. Sila berhubung dengan Pentadbir ID untuk mengaktifkan semula ID"</t>
    </r>
  </si>
  <si>
    <t>TC.TR.IDM.055</t>
  </si>
  <si>
    <t>Popup success message</t>
  </si>
  <si>
    <t>Verify content popup message once successfully registered</t>
  </si>
  <si>
    <t>1. Open gov5v2 link
2. Click on Pendaftaran Baharu ID
3. Fill al the required details and observed</t>
  </si>
  <si>
    <t>Tajuk tukar kepada
BM: Pendaftaran Berjaya
BI: Registration Success
---------------------------------------------------------
Ayat dalam die ubah
BM
Pendaftaran telah berjaya dihantar.
Keputusan permohonan akan dimaklumkan melalui emel yang didaftarkan. Terima kasih.
BI
Registration has been successfully submitted.
The result of your application will be sent to the registered email. Thank you.</t>
  </si>
  <si>
    <t>TC.TR.IDM.056</t>
  </si>
  <si>
    <t>Verify content popup message once first time user successfully change password</t>
  </si>
  <si>
    <t>1. Open gov5v2 link
2. Create user from Sokongan until Kelulusan
3. Login as the new user 
4. Enter the new password required
5. Observe</t>
  </si>
  <si>
    <t>BM
Kata laluan anda telah berjaya ditukar. Sila gunakan kata laluan baharu untuk log masuk.
BI
Your password has been successfully changed. Please use your new password to log in.</t>
  </si>
  <si>
    <t>TC.TR.IDM.057</t>
  </si>
  <si>
    <t xml:space="preserve">Fill in form and reset. </t>
  </si>
  <si>
    <t>TC.TR.IDM.058</t>
  </si>
  <si>
    <t>Enter Code</t>
  </si>
  <si>
    <t>Submit without enter code</t>
  </si>
  <si>
    <t>TC.TR.IDM.059</t>
  </si>
  <si>
    <t>Enter with wrong Code</t>
  </si>
  <si>
    <t>TC.TR.IDM.060</t>
  </si>
  <si>
    <t>Enter with correct code</t>
  </si>
  <si>
    <t>Able to continue submit application</t>
  </si>
  <si>
    <t>TC.TR.IDM.061</t>
  </si>
  <si>
    <t>Pengesahan OTP</t>
  </si>
  <si>
    <t>Verify notification message</t>
  </si>
  <si>
    <t>Display proper notification in proper color standard and as per requirement design</t>
  </si>
  <si>
    <t>TC.TR.IDM.062</t>
  </si>
  <si>
    <t xml:space="preserve">Able to click "Mohon OTP" </t>
  </si>
  <si>
    <r>
      <t>Received OTP Email to registered email with Subject &gt;</t>
    </r>
    <r>
      <rPr>
        <b/>
        <sz val="12"/>
        <color rgb="FF000000"/>
        <rFont val="Aptos Narrow"/>
        <family val="2"/>
        <scheme val="minor"/>
      </rPr>
      <t xml:space="preserve"> "OTP"</t>
    </r>
  </si>
  <si>
    <t>TC.TR.IDM.063</t>
  </si>
  <si>
    <t>Check duration of OTP validation</t>
  </si>
  <si>
    <t>TC.TR.IDM.064</t>
  </si>
  <si>
    <t>Enter OTP received from Email</t>
  </si>
  <si>
    <t>Display Success message as per requirement (Green)</t>
  </si>
  <si>
    <t>TC.TR.IDM.065</t>
  </si>
  <si>
    <t>Check change content for email pengaktifan ID</t>
  </si>
  <si>
    <t>Verify change content for email pengaktifan ID</t>
  </si>
  <si>
    <t xml:space="preserve">1.Create user from sokongan and until kelulusan
2. Observe in the email once kelulusan has been lulus. </t>
  </si>
  <si>
    <t>Subject: Pengaktifan Akaun Pengguna
=====content=======
Kepada &lt;OSC OFFICER ADMIN&gt;,
Dimaklumkan bahawa akaun ID anda telah diwujudkan dalam sistem FWCMS.
Berikut adalah maklumat ID anda:
ID Pengguna : raimioscadmin@yopmail.com
Kata Laluan Sementara : #&amp;d9t65#357*
Sila log masuk ke portal berikut : https://gov2.fwcms.my
Setelah berjaya log masuk, anda dikehendaki menukar kata laluan sementara kepada kata laluan baharu bagi tujuan keselamatan.
Terima Kasih
PENTADBIR SISTEM</t>
  </si>
  <si>
    <t>Sokongan Permohonan ID</t>
  </si>
  <si>
    <t>TC.TR.IDM.067</t>
  </si>
  <si>
    <t>#37058</t>
  </si>
  <si>
    <t>Menu Pengurusan Pengguna &gt; Sokongan Permohonan ID</t>
  </si>
  <si>
    <t>User Related:</t>
  </si>
  <si>
    <t>Verify new Sub Menu = Sokongan Permohonan ID under Pengurusan Pengguna</t>
  </si>
  <si>
    <t>1. KDN ADMIN can Endorsed &amp; Approved Level 3 (Endorse &amp; Approve must be different User)
2. OSC KDN ADMIN can Endorsed &amp; Approved Level 4 (Endorse &amp; Approve must be different User)
3. OSC OFFICER ADMIN can Endorsed Level 5 only
4. BPA ADMIN can endorsed and approved
5. JIM SECURITY ADMIN can Endorsed Level 5 only
6. BPA STATE can endorsed only</t>
  </si>
  <si>
    <t>TC.TR.IDM.068</t>
  </si>
  <si>
    <t>Verify lower level can be Endorsed/Approved by 1 upper Level (Level 3) of other parent</t>
  </si>
  <si>
    <t>Not Allowed to Endorsed/Approved by other parent</t>
  </si>
  <si>
    <t>TC.TR.IDM.069</t>
  </si>
  <si>
    <t xml:space="preserve">Verify to Endorsed &amp; Approved by different User  (who can Endorsed &amp; Approved) </t>
  </si>
  <si>
    <t>Cannot Endorsed &amp; Approved by SAME User</t>
  </si>
  <si>
    <t>TC.TR.IDM.070</t>
  </si>
  <si>
    <t xml:space="preserve">Verify to Endorsed &amp; Approved  if having 1 user only (who can Endorsed &amp; Approved) </t>
  </si>
  <si>
    <t>Must have at least 2 users as Endorser &amp; Approver</t>
  </si>
  <si>
    <t>TC.TR.IDM.071</t>
  </si>
  <si>
    <t>Sokongan Permohonan ID - Claim / Release Application</t>
  </si>
  <si>
    <t>1. For Registration other than Level 2
2. Level 2 will not be Endorsed</t>
  </si>
  <si>
    <t>Result List with Status - Menunggu Sokongan</t>
  </si>
  <si>
    <t>1. Having Action option to:
Tuntut Tugasan
Kemaskini 
Lepaskan Tugasan
2. Able to function properly for all Actions
3. Once claimed, it will redirect to update page.</t>
  </si>
  <si>
    <t>TC.TR.IDM.072</t>
  </si>
  <si>
    <t>Sokongan Permohonan ID - Only View Application</t>
  </si>
  <si>
    <t>Result List with Status - Selesai</t>
  </si>
  <si>
    <t>1. Having Action option to:
Papar Profil
2. Able to function properly for all Actions</t>
  </si>
  <si>
    <t>TC.TR.IDM.073</t>
  </si>
  <si>
    <t>Senarai Sokongan Permohonan ID</t>
  </si>
  <si>
    <t>Check All Labels</t>
  </si>
  <si>
    <t>All labels as per requirement</t>
  </si>
  <si>
    <t>TC.TR.IDM.074</t>
  </si>
  <si>
    <t>Check Single Search Criteria by: 
a. Fullname
b. User Role Group
c. Status</t>
  </si>
  <si>
    <t>TC.TR.IDM.075</t>
  </si>
  <si>
    <t>Check Combination of Search Criteria by: 
a. Fullname
b. User Role Group
c. Status</t>
  </si>
  <si>
    <t>TC.TR.IDM.076</t>
  </si>
  <si>
    <t>Reset</t>
  </si>
  <si>
    <t>All criteria and list reset</t>
  </si>
  <si>
    <t>TC.TR.IDM.077</t>
  </si>
  <si>
    <t>Result List By Default </t>
  </si>
  <si>
    <t>All labels Fields should be auto-populated according to requirements:
a. Nama 
b. Peranan Pengguna
c. Negeri
d. Cawangan
e. Tarikh Dipohon
f. Sokongan Oleh
g. Kelulusan Oleh
h. Status
i. Tindakan (Menunggu Pengesahan / Selesai / Ditolak)</t>
  </si>
  <si>
    <t>TC.TR.IDM.078</t>
  </si>
  <si>
    <t>Maklumat Sokongan Permohonan ID</t>
  </si>
  <si>
    <t>TC.TR.IDM.079</t>
  </si>
  <si>
    <t>Disable non-editable fields</t>
  </si>
  <si>
    <r>
      <t xml:space="preserve">Fields that cannot be updated should be </t>
    </r>
    <r>
      <rPr>
        <b/>
        <sz val="12"/>
        <color rgb="FF000000"/>
        <rFont val="Aptos Narrow"/>
        <family val="2"/>
        <scheme val="minor"/>
      </rPr>
      <t xml:space="preserve">not editable </t>
    </r>
  </si>
  <si>
    <t>TC.TR.IDM.080</t>
  </si>
  <si>
    <t>Radio button are shown based on the pre registration</t>
  </si>
  <si>
    <t>TC.TR.IDM.081</t>
  </si>
  <si>
    <t>Change selection Jawatan</t>
  </si>
  <si>
    <t>User cannot be able to freely change between selection</t>
  </si>
  <si>
    <t>TC.TR.IDM.082</t>
  </si>
  <si>
    <t>Option = Sokong (Bahagian Sokongan)</t>
  </si>
  <si>
    <t>In Sokongan Permohonan ID
Message to display if Sokong "Sokongan Permohonan ID telah berjaya Disokong."</t>
  </si>
  <si>
    <t>TC.TR.IDM.083</t>
  </si>
  <si>
    <t>Option = Tolak (Bahagian Sokongan)</t>
  </si>
  <si>
    <t xml:space="preserve">Message to display if Tolak "Sokongan Permohonan ID telah Ditolak"
</t>
  </si>
  <si>
    <t>TC.TR.IDM.084</t>
  </si>
  <si>
    <t>Viewback after click Hantar</t>
  </si>
  <si>
    <t>Latest updated data displayed correctly when viewback &amp; disable</t>
  </si>
  <si>
    <t>TC.TR.IDM.085</t>
  </si>
  <si>
    <t>Check Label status</t>
  </si>
  <si>
    <t>Verify label status has been changed inside lihat profil / kemaskini</t>
  </si>
  <si>
    <t>1. Create user which need to be sokong
2. Login as the Penyokong user
3. Lihat profil to the newly created user</t>
  </si>
  <si>
    <t>1. status DISOKONG has been changed to SOKONG
2. status SOKONGAN DITOLAK has been changed to TOLAK</t>
  </si>
  <si>
    <t>TC.TR.IDM.086</t>
  </si>
  <si>
    <t>Verify label status has been changed inside Sokongan Permohonan ID page</t>
  </si>
  <si>
    <t>1. Create user which need to be sokong
2. Login as the Penyokong user
3. Observe the Status name</t>
  </si>
  <si>
    <t>1. status DISOKONG has been changed to SOKONG
2. status SOKONGAN DITOLAK has been changed to TOLAK
3. status MENUNGGU PENGESAHAN to MENUNGGU SOKONGAN</t>
  </si>
  <si>
    <t>TC.TR.IDM.087</t>
  </si>
  <si>
    <t>1. Create user which need to be sokong
2. Login as the Penyokong user
3. Click status &gt; Observe</t>
  </si>
  <si>
    <t>Kelulusan Permohonan ID</t>
  </si>
  <si>
    <t>TC.TR.IDM.088</t>
  </si>
  <si>
    <t>#37059</t>
  </si>
  <si>
    <t>Menu Pengurusan Pengguna &gt; Kelulusan Permohonan ID</t>
  </si>
  <si>
    <t>Verify new Sub Menu = Kelulusan Permohonan ID under Pengurusan Pengguna</t>
  </si>
  <si>
    <t>1. SUPERADMIN can Approved Level 2 only
2. KDN ADMIN can Endorsed &amp; Approved Level 3 (Endorse &amp; Approve must be different User)
3. OSC KDN ADMIN can Endorsed &amp; Approved Level 4 (Endorse &amp; Approve must be different User)
4. JIM ADMIN can Approved Level 5 only
5. BPA ADMIN can Approved Level 6</t>
  </si>
  <si>
    <t>TC.TR.IDM.089</t>
  </si>
  <si>
    <t>TC.TR.IDM.090</t>
  </si>
  <si>
    <t>TC.TR.IDM.091</t>
  </si>
  <si>
    <t>TC.TR.IDM.092</t>
  </si>
  <si>
    <t>Permohonan Kelulusan ID - Claim / Release Application</t>
  </si>
  <si>
    <t>1. For Registration Level 2
2. other Level that has been Endorsed</t>
  </si>
  <si>
    <t>Result List with Status - Menunggu Kelulusan</t>
  </si>
  <si>
    <t>TC.TR.IDM.093</t>
  </si>
  <si>
    <t>Permohonan Kelulusan ID - Only View Application</t>
  </si>
  <si>
    <t>TC.TR.IDM.094</t>
  </si>
  <si>
    <t>Senarai Kelulusan Permohonan ID</t>
  </si>
  <si>
    <t>TC.TR.IDM.095</t>
  </si>
  <si>
    <t>TC.TR.IDM.096</t>
  </si>
  <si>
    <t>TC.TR.IDM.097</t>
  </si>
  <si>
    <t>TC.TR.IDM.098</t>
  </si>
  <si>
    <t>All labels Fields should be auto-populated according to requirements:
a. Nama Pengguna
b. Peranan Pengguna
c. Negeri
d. Cawangan
e. Tarikh Mohon
f. Pegawai Sokongan
g. Pegawai Pelulus
h. Status
i. Tindakan (Tuntut Tugasan / Kemaskini / Lepaskan Tugasan / Papar Profil)</t>
  </si>
  <si>
    <t>TC.TR.IDM.099</t>
  </si>
  <si>
    <t>Maklumat Kelulusan Permohonan ID</t>
  </si>
  <si>
    <t>TC.TR.IDM.100</t>
  </si>
  <si>
    <t>All fields are non editable</t>
  </si>
  <si>
    <t>TC.TR.IDM.101</t>
  </si>
  <si>
    <t>Select radio button (Bahagian Kelulusan)</t>
  </si>
  <si>
    <t>TC.TR.IDM.102</t>
  </si>
  <si>
    <t>Change selection (Bahagian Kelulusan)</t>
  </si>
  <si>
    <t>TC.TR.IDM.103</t>
  </si>
  <si>
    <t>Option = Lulus (Bahagian Kelulusan)</t>
  </si>
  <si>
    <t>In Kelulusan Permohonan ID
Message to display if Lulus "Kelulusan Permohonan ID telah berjaya Diluluskan."</t>
  </si>
  <si>
    <t>TC.TR.IDM.104</t>
  </si>
  <si>
    <t>Option = Tolak (Bahagian Kelulusan)</t>
  </si>
  <si>
    <t>In Kelulusan Permohonan ID
Message to display if Tolak "Kelulusan Permohonan ID telah Ditolak."</t>
  </si>
  <si>
    <t>TC.TR.IDM.105</t>
  </si>
  <si>
    <t>TC.TR.IDM.106</t>
  </si>
  <si>
    <t>Set N/A for column Pegawai Sokongan and Pegawai Pelulus if data not available</t>
  </si>
  <si>
    <t>Verify N/A is display on  column Pegawai Sokongan and Pegawai Pelulus if data not available</t>
  </si>
  <si>
    <t>1. Open gov5v2 link
2. Click Sokongan Permohonan ID
3. Observe</t>
  </si>
  <si>
    <t>N/A is display when data is not available</t>
  </si>
  <si>
    <t>TC.TR.IDM.107</t>
  </si>
  <si>
    <t>Verify N/A is display on  column Pegawai Pelulus if data not available</t>
  </si>
  <si>
    <t>1. Open gov5v2 link
2. Click Kelulusan Permohonan ID
3. Observe</t>
  </si>
  <si>
    <t>TC.TR.IDM.108</t>
  </si>
  <si>
    <t>Verify label status has been changed inside lihat profil / Kemaskini</t>
  </si>
  <si>
    <t>1. Login as the Kelulusan user
2. Lihat profil to the newly user that has been sokong</t>
  </si>
  <si>
    <t>1. status DISOKONG has been changed to SOKONG
2. status SOKONGAN DITOLAK has been changed to TOLAK
3. status DITOLAK has been changed to TOLAK</t>
  </si>
  <si>
    <t>TC.TR.IDM.109</t>
  </si>
  <si>
    <t>Verify label status has been changed inside Kelulusan Permohonan ID page</t>
  </si>
  <si>
    <t>1. Login as the Pelulus user
2. Observe the Status named</t>
  </si>
  <si>
    <t>1.status DITOLAK has been changed to TOLAK</t>
  </si>
  <si>
    <t>TC.TR.IDM.110</t>
  </si>
  <si>
    <t>Verify label status has been changed inside  Kelulusan Permohonan ID page</t>
  </si>
  <si>
    <t>1. Login as the Pelulus user
2. Click status &gt; Observe</t>
  </si>
  <si>
    <t>TC.TR.IDM.132</t>
  </si>
  <si>
    <t>TC.TR.IDM.133</t>
  </si>
  <si>
    <t>#37060</t>
  </si>
  <si>
    <t>Verify  Cipta Pengguna button is disable</t>
  </si>
  <si>
    <t xml:space="preserve">Verify Cipta Pengguna button </t>
  </si>
  <si>
    <t>1. Open gov5v2 link
2. Login using the setup group role user
3. Click on Mengurus Pengguna
4. Observe</t>
  </si>
  <si>
    <t>Cipta Pengguna is disable</t>
  </si>
  <si>
    <t>TC.TR.IDM.134</t>
  </si>
  <si>
    <t>#37061</t>
  </si>
  <si>
    <t>Update User Registration</t>
  </si>
  <si>
    <t>Update by user (Self-Update)</t>
  </si>
  <si>
    <t>#37608</t>
  </si>
  <si>
    <t>TC.TR.IDM.135</t>
  </si>
  <si>
    <t>Update by Admin (Urus Pengguna)</t>
  </si>
  <si>
    <t>KESUMA ADMIN - PASS
PTADBIR_ID_PERKESO - PASS 
PERKESO_STATE_ADMIN - PASS 
 PERKESO_STATE_USER - PASS  
PERKESO_ADMIN_USER - PASS 
PERKESO_HQ - PASS
KSM MENTERI - PASS
KSM_JTK_USER - PASS
JTKSM_INSPECTOR_WFW - PASS
KSM_JTKSM_ADMIN - PASS 
JTKSM_OC_ALL - PASS
JTKSM_ADMIN_EQUOTA - PASS
JTKSM_INSPECTOR_FWe - PASS
JTKSM_INSPECTOR - PASS
KP_APPRVL_ENDORSE - PASS
KSM_STATE_ADMIN - PASS
KSM_STATE_USER - PASS
PTADBIR_ID_JTKSM - PASS
PTADBIR_PEG_ID_BPA - PASS
KSM_JTK_HQ_ADMIN - PASS</t>
  </si>
  <si>
    <r>
      <rPr>
        <sz val="12"/>
        <color rgb="FF000000"/>
        <rFont val="Aptos Narrow"/>
        <scheme val="minor"/>
      </rPr>
      <t xml:space="preserve">1. Default display placeholder </t>
    </r>
    <r>
      <rPr>
        <b/>
        <sz val="12"/>
        <color rgb="FF000000"/>
        <rFont val="Aptos Narrow"/>
        <scheme val="minor"/>
      </rPr>
      <t xml:space="preserve">"Semenanjung Malaysia"
</t>
    </r>
    <r>
      <rPr>
        <sz val="12"/>
        <color rgb="FF000000"/>
        <rFont val="Aptos Narrow"/>
        <scheme val="minor"/>
      </rPr>
      <t>2. Option:
Semenanjung Malaysia
Sabah
Sarawak</t>
    </r>
  </si>
  <si>
    <t>1. Default display placeholder "- Sila Pilih -"
2. Option:
KEMENTERIAN DALAM NEGERI (KDN)
KEMENTERIAN SUMBER MANUSIA (KESUMA)
PERKESO</t>
  </si>
  <si>
    <t>1. Default display placeholder  "- Sila Pilih -"
2. Option:
JABATAN TENAGA KERJA SEMENANJUNG MALAYSIA (JTKSM)
PERKESO</t>
  </si>
  <si>
    <r>
      <t xml:space="preserve">1. Default display placeholder </t>
    </r>
    <r>
      <rPr>
        <b/>
        <sz val="12"/>
        <color rgb="FF000000"/>
        <rFont val="Aptos Narrow"/>
        <scheme val="minor"/>
      </rPr>
      <t xml:space="preserve">"-Sila Pilih-"
</t>
    </r>
    <r>
      <rPr>
        <sz val="12"/>
        <color rgb="FF000000"/>
        <rFont val="Aptos Narrow"/>
        <scheme val="minor"/>
      </rPr>
      <t xml:space="preserve">2. Option:
</t>
    </r>
  </si>
  <si>
    <t>1. Open gov2v2 link
2. Click Pendaftaran Baharu
3. Observe</t>
  </si>
  <si>
    <t>1. Open gov2v2 link
2. Click on Pendaftaran Baharu ID
3. Fill al the required details and observed</t>
  </si>
  <si>
    <t>1. Open gov2v2 link
2. Create user from Sokongan until Kelulusan
3. Login as the new user 
4. Enter the new password required
5. Observe</t>
  </si>
  <si>
    <t>#37058
#36980
#36981
#36985
#36986
#37000
#37001
#37002
#37005</t>
  </si>
  <si>
    <r>
      <rPr>
        <b/>
        <sz val="12"/>
        <color rgb="FF000000"/>
        <rFont val="Aptos Narrow"/>
        <scheme val="minor"/>
      </rPr>
      <t xml:space="preserve">User Related:
1. KESUMA
</t>
    </r>
    <r>
      <rPr>
        <sz val="12"/>
        <color rgb="FF000000"/>
        <rFont val="Aptos Narrow"/>
        <scheme val="minor"/>
      </rPr>
      <t xml:space="preserve">Not required for role KESUMA ADMIN
</t>
    </r>
    <r>
      <rPr>
        <b/>
        <sz val="12"/>
        <color rgb="FF000000"/>
        <rFont val="Aptos Narrow"/>
        <scheme val="minor"/>
      </rPr>
      <t xml:space="preserve">2. PENTADBIR ID (JTKSM)
</t>
    </r>
    <r>
      <rPr>
        <sz val="12"/>
        <color rgb="FF000000"/>
        <rFont val="Aptos Narrow"/>
        <scheme val="minor"/>
      </rPr>
      <t xml:space="preserve">a. Pentadbir ID (JTKSM)
- ID Endorsement (Sokongan ID) will be done by KESUMA ADMIN
- ID Approval (Kelulusan ID) will be done by KESUMA ADMIN
b. Pentadbir ID dan Pegawai Bahagian Pekerja Asing
- ID Endorsement (Sokongan ID) will be done by Pentadbir ID (JTKSM)
- ID Approval (Kelulusan ID) will be done by Pentadbir ID (JTKSM)
c. Pengarah Bahagian Pekerja Asing
d. Pegawai Bahagian Pekerja Asing
e. Pengarah Bahagian Standard Perburuhan
f. Pegawai Bahagian Standard Perburuhan
g. Pengarah JTK Negeri
h. Person in Charge (PIC) Negeri
i. Ketua Pejabat
j. Pegawai Penyiasat FWE &amp; WFW
k. Pegawai Penyiasat FWE
l. Pegawai Penyiasat WFW
- ID Endorsement (Sokongan ID) will be done by Pentadbir ID dan Pegawai Bahagian Pekerja Asing
- ID Approval (Kelulusan ID) will be done by Pentadbir ID (JTKSM)
Pengurusan ID (Urus Pengguna)
a. Pentadbir ID can view/update all role (2(c) - 2(l)
- Pentadbir ID (JTKSM)
- Pentadbir ID dan Pegawai Bahagian Pekerja Asing
</t>
    </r>
    <r>
      <rPr>
        <b/>
        <sz val="12"/>
        <color rgb="FF000000"/>
        <rFont val="Aptos Narrow"/>
        <scheme val="minor"/>
      </rPr>
      <t xml:space="preserve">3. PENTADBIR ID JTK SABAH &amp; SARAWAK
</t>
    </r>
    <r>
      <rPr>
        <sz val="12"/>
        <color rgb="FF000000"/>
        <rFont val="Aptos Narrow"/>
        <scheme val="minor"/>
      </rPr>
      <t xml:space="preserve">a. Pentadbir ID (JTK SABAH)
- ID Endorsement (Sokongan ID) will be done by KESUMA ADMIN
- ID Approval (Kelulusan ID) will be done by KESUMA ADMIN
b. Person in Charge (PIC) JTK SABAH
- ID Endorsement (Sokongan ID) will be done by Pentadbir ID (JTK SABAH))
- ID Approval (Kelulusan ID) will be done by Pentadbir ID (JTK SABAH))
c. Ketua Pejabat (JTK SABAH)
d. Pegawai Penyiasat WFW (JTK SABAH)
- ID Endorsement (Sokongan ID) will be done by Person in Charge (PIC) JTK SABAH
- ID Approval (Kelulusan ID) will be done by Pentadbir ID (JTK SABAH)
Pengurusan ID (Urus Pengguna)
Pentadbir ID can view/update all role (3(c) - 3(d)
- Pentadbir ID (JTK SABAH)
- Person in Charge (PIC) JTK SABAH
</t>
    </r>
    <r>
      <rPr>
        <b/>
        <sz val="12"/>
        <color rgb="FF000000"/>
        <rFont val="Aptos Narrow"/>
        <scheme val="minor"/>
      </rPr>
      <t xml:space="preserve">4. WFW (UKK - KSM)
</t>
    </r>
    <r>
      <rPr>
        <sz val="12"/>
        <color rgb="FF000000"/>
        <rFont val="Aptos Narrow"/>
        <scheme val="minor"/>
      </rPr>
      <t xml:space="preserve">- ID Endorsement (Sokongan ID) will be done by KESUMA ADMIN
- ID Approval (Kelulusan ID) will be done by KESUMA ADMIN
</t>
    </r>
    <r>
      <rPr>
        <b/>
        <sz val="12"/>
        <color rgb="FF000000"/>
        <rFont val="Aptos Narrow"/>
        <scheme val="minor"/>
      </rPr>
      <t xml:space="preserve">5. KSM Menteri
</t>
    </r>
    <r>
      <rPr>
        <sz val="12"/>
        <color rgb="FF000000"/>
        <rFont val="Aptos Narrow"/>
        <scheme val="minor"/>
      </rPr>
      <t xml:space="preserve">- ID Endorsement (Sokongan ID) will be done by KESUMA ADMIN
- ID Approval (Kelulusan ID) will be done by KESUMA ADMIN
</t>
    </r>
    <r>
      <rPr>
        <b/>
        <sz val="12"/>
        <color rgb="FF000000"/>
        <rFont val="Aptos Narrow"/>
        <scheme val="minor"/>
      </rPr>
      <t xml:space="preserve">6. PENTADBIR ID PERKESO
</t>
    </r>
    <r>
      <rPr>
        <sz val="12"/>
        <color rgb="FF000000"/>
        <rFont val="Aptos Narrow"/>
        <scheme val="minor"/>
      </rPr>
      <t xml:space="preserve">a. Pentadbir ID PERKESO
- ID Endorsement (Sokongan ID) will be done by KESUMA ADMIN
- ID Approval (Kelulusan ID) will be done by KESUMA ADMIN
b. PERKESO - ADMIN
c. PERKESO ADMIN USER
d. PERKESO STATE ADMIN
e. PERKESO STATE USER
- ID Endorsement (Sokongan ID) will be done by Pentadbir ID PERKESO
- ID Approval (Kelulusan ID) will be done by Pentadbir ID PERKESO
</t>
    </r>
  </si>
  <si>
    <t>#37446
#37456 
#37469</t>
  </si>
  <si>
    <t>PTADBIR_ID_PERKESO - PASS 
PERKESO_STATE_ADMIN - PASS 
 PERKESO_STATE_USER - PASS  
PERKESO_ADMIN_USER - PASS 
PERKESO_HQ - PASS
KSM MENTERI - PASS
KSM_JTK_USER - PASS
JTKSM_INSPECTOR_WFW - PASS
KSM_JTKSM_ADMIN - PASS 
JTKSM_OC_ALL - PASS
JTKSM_ADMIN_EQUOTA - PASS
JTKSM_INSPECTOR_FWe - PASS
JTKSM_INSPECTOR - PASS
KP_APPRVL_ENDORSE - PASS
KSM_STATE_ADMIN - PASS
KSM_STATE_USER - PASS
PTADBIR_ID_JTKSM - PASS
PTADBIR_PEG_ID_BPA - PASS
KSM_JTK_HQ_ADMIN - PASS</t>
  </si>
  <si>
    <t>TC.TR.IDM.066</t>
  </si>
  <si>
    <t>Message to display if Tolak "Sokongan Permohonan ID telah Ditolak"</t>
  </si>
  <si>
    <t>#37059
#36980
#36981
#36985
#36986
#37000
#37001
#37002
#37005</t>
  </si>
  <si>
    <t xml:space="preserve">User Related:
1. KESUMA
Not required for role KESUMA ADMIN
2. PENTADBIR ID (JTKSM)
a. Pentadbir ID (JTKSM)
- ID Endorsement (Sokongan ID) will be done by KESUMA ADMIN
- ID Approval (Kelulusan ID) will be done by KESUMA ADMIN
b. Pentadbir ID dan Pegawai Bahagian Pekerja Asing
- ID Endorsement (Sokongan ID) will be done by Pentadbir ID (JTKSM)
- ID Approval (Kelulusan ID) will be done by Pentadbir ID (JTKSM)
c. Pengarah Bahagian Pekerja Asing
d. Pegawai Bahagian Pekerja Asing
e. Pengarah Bahagian Standard Perburuhan
f. Pegawai Bahagian Standard Perburuhan
g. Pengarah JTK Negeri
h. Person in Charge (PIC) Negeri
i. Ketua Pejabat
j. Pegawai Penyiasat FWE &amp; WFW
k. Pegawai Penyiasat FWE
l. Pegawai Penyiasat WFW
- ID Endorsement (Sokongan ID) will be done by Pentadbir ID dan Pegawai Bahagian Pekerja Asing
- ID Approval (Kelulusan ID) will be done by Pentadbir ID (JTKSM)
Pengurusan ID (Urus Pengguna)
a. Pentadbir ID can view/update all role (2(c) - 2(l)
- Pentadbir ID (JTKSM)
- Pentadbir ID dan Pegawai Bahagian Pekerja Asing
3. PENTADBIR ID JTK SABAH &amp; SARAWAK
a. Pentadbir ID (JTK SABAH)
- ID Endorsement (Sokongan ID) will be done by KESUMA ADMIN
- ID Approval (Kelulusan ID) will be done by KESUMA ADMIN
b. Person in Charge (PIC) JTK SABAH
- ID Endorsement (Sokongan ID) will be done by Pentadbir ID (JTK SABAH))
- ID Approval (Kelulusan ID) will be done by Pentadbir ID (JTK SABAH))
c. Ketua Pejabat (JTK SABAH)
d. Pegawai Penyiasat WFW (JTK SABAH)
- ID Endorsement (Sokongan ID) will be done by Person in Charge (PIC) JTK SABAH
- ID Approval (Kelulusan ID) will be done by Pentadbir ID (JTK SABAH)
Pengurusan ID (Urus Pengguna)
Pentadbir ID can view/update all role (3(c) - 3(d)
- Pentadbir ID (JTK SABAH)
- Person in Charge (PIC) JTK SABAH
4. WFW (UKK - KSM)
- ID Endorsement (Sokongan ID) will be done by KESUMA ADMIN
- ID Approval (Kelulusan ID) will be done by KESUMA ADMIN
5. KSM Menteri
- ID Endorsement (Sokongan ID) will be done by KESUMA ADMIN
- ID Approval (Kelulusan ID) will be done by KESUMA ADMIN
6. PENTADBIR ID PERKESO
a. Pentadbir ID PERKESO
- ID Endorsement (Sokongan ID) will be done by KESUMA ADMIN
- ID Approval (Kelulusan ID) will be done by KESUMA ADMIN
b. PERKESO - ADMIN
c. PERKESO ADMIN USER
d. PERKESO STATE ADMIN
e. PERKESO STATE USER
- ID Endorsement (Sokongan ID) will be done by Pentadbir ID PERKESO
- ID Approval (Kelulusan ID) will be done by Pentadbir ID PERKESO
</t>
  </si>
  <si>
    <t>1. Open gov2v2 link
2. Click Sokongan Permohonan ID
3. Observe</t>
  </si>
  <si>
    <t>1. Open gov2v2 link
2. Click Kelulusan Permohonan ID
3. Observe</t>
  </si>
  <si>
    <t>1. Login as the Kelulusan user
2. Lihat profil to the newly user that has been lulus</t>
  </si>
  <si>
    <t>1. status DILULUS has been changed to LULUS
2. status LULUSAN DITOLAK has been changed to TOLAK
3. status DILULUS has been changed to TOLAK</t>
  </si>
  <si>
    <t>Transfer User Location</t>
  </si>
  <si>
    <t>#36080</t>
  </si>
  <si>
    <t xml:space="preserve">User Role:
</t>
  </si>
  <si>
    <t>PENTADBIR ID DAN PEGAWAI BAHAGIAN PEKERJA ASING - PASS  PTADBIR_ID_JTKSM - PASS 
KSM_JTKSRWK_ADMIN - PASS
PMBT_TADBIR_JTKSRWK - PASS
PTADBIR_ID_PERKESO - PASS
KSM_JTKSBH_ADMIN - PASS
PMBT_TADBIR_JTKSBH - PASS</t>
  </si>
  <si>
    <t>#37418</t>
  </si>
  <si>
    <t>PENTADBIR ID DAN PEGAWAI BAHAGIAN PEKERJA ASING - FAIL PTADBIR_ID_JTKSM - FAIL
KSM_JTKSRWK_ADMIN - FAIL
PTADBIR_ID_PERKESO - FAIL
KSM_JTKSBH_ADMIN - FAIL
PMBT_TADBIR_JTKSBH - FAIL</t>
  </si>
  <si>
    <t>PENTADBIR ID DAN PEGAWAI BAHAGIAN PEKERJA ASING - PASS  PTADBIR_ID_JTKSM - PASS 
KSM_JTKSRWK_ADMIN - PASS
PMBT_TADBIR_JTKSRWK - PASS
PTADBIR_ID_PERKESO - PASS
KSM_JTKSBH_ADMIN - PASS
PMBT_TADBIR_JTKSBH  - PASS</t>
  </si>
  <si>
    <t>TC.TR.IDM.111</t>
  </si>
  <si>
    <t>TC.TR.IDM.112</t>
  </si>
  <si>
    <t>TC.TR.IDM.113</t>
  </si>
  <si>
    <t xml:space="preserve">All required columns should be available with appropriate labels.
</t>
  </si>
  <si>
    <t>TC.TR.IDM.114</t>
  </si>
  <si>
    <t>TC.TR.IDM.115</t>
  </si>
  <si>
    <t>TC.TR.IDM.116</t>
  </si>
  <si>
    <r>
      <rPr>
        <sz val="11"/>
        <color rgb="FF000000"/>
        <rFont val="Aptos Narrow"/>
        <scheme val="minor"/>
      </rPr>
      <t>Pagination should be enabled if there are too many rows (</t>
    </r>
    <r>
      <rPr>
        <i/>
        <sz val="11"/>
        <color rgb="FF000000"/>
        <rFont val="Aptos Narrow"/>
        <scheme val="minor"/>
      </rPr>
      <t>15 rows per page</t>
    </r>
    <r>
      <rPr>
        <sz val="11"/>
        <color rgb="FF000000"/>
        <rFont val="Aptos Narrow"/>
        <scheme val="minor"/>
      </rPr>
      <t>)</t>
    </r>
  </si>
  <si>
    <t>TC.TR.IDM.117</t>
  </si>
  <si>
    <t>TC.TR.IDM.118</t>
  </si>
  <si>
    <t>TC.TR.IDM.119</t>
  </si>
  <si>
    <t>#36082</t>
  </si>
  <si>
    <t>Change location Details</t>
  </si>
  <si>
    <t>#37428</t>
  </si>
  <si>
    <t>TC.TR.IDM.120</t>
  </si>
  <si>
    <t>TC.TR.IDM.121</t>
  </si>
  <si>
    <r>
      <rPr>
        <sz val="11"/>
        <color rgb="FF000000"/>
        <rFont val="Aptos Narrow"/>
        <scheme val="minor"/>
      </rPr>
      <t xml:space="preserve">Fields that cannot be updated should be </t>
    </r>
    <r>
      <rPr>
        <b/>
        <sz val="11"/>
        <color rgb="FF000000"/>
        <rFont val="Aptos Narrow"/>
        <scheme val="minor"/>
      </rPr>
      <t xml:space="preserve">not editable </t>
    </r>
    <r>
      <rPr>
        <sz val="11"/>
        <color rgb="FF000000"/>
        <rFont val="Aptos Narrow"/>
        <scheme val="minor"/>
      </rPr>
      <t>and</t>
    </r>
    <r>
      <rPr>
        <b/>
        <sz val="11"/>
        <color rgb="FF000000"/>
        <rFont val="Aptos Narrow"/>
        <scheme val="minor"/>
      </rPr>
      <t xml:space="preserve"> dimmed</t>
    </r>
  </si>
  <si>
    <t>TC.TR.IDM.122</t>
  </si>
  <si>
    <t>Submit update without changing any fields</t>
  </si>
  <si>
    <t>Display proper error msg and cannot proceed</t>
  </si>
  <si>
    <t>TC.TR.IDM.123</t>
  </si>
  <si>
    <t>Update after changing all editable fields</t>
  </si>
  <si>
    <t>Display success popup and able to proceed</t>
  </si>
  <si>
    <t>TC.TR.IDM.124</t>
  </si>
  <si>
    <t>Update with blank mandatory fields</t>
  </si>
  <si>
    <t>Display mandatory error msg and cannot proceed</t>
  </si>
  <si>
    <t>TC.TR.IDM.125</t>
  </si>
  <si>
    <t>Verify Open Text Field (No restrictions) for remarks</t>
  </si>
  <si>
    <t>TC.TR.IDM.126</t>
  </si>
  <si>
    <t>Verify change location if the user still have task in hand</t>
  </si>
  <si>
    <t>1. System not allow to change location if the user still have task in hand.
2. User / Pentadbir ID required to release task before can proceed change location or officer required to complete their task.</t>
  </si>
  <si>
    <t>TC.TR.IDM.127</t>
  </si>
  <si>
    <t>#36084</t>
  </si>
  <si>
    <t>popup : Lihat Tugasan Belum Selesai</t>
  </si>
  <si>
    <t>TC.TR.IDM.128</t>
  </si>
  <si>
    <t>TC.TR.IDM.129</t>
  </si>
  <si>
    <t>TC.TR.IDM.130</t>
  </si>
  <si>
    <t>Search Criteria MyInbox</t>
  </si>
  <si>
    <t>TC.TR.BIO.001</t>
  </si>
  <si>
    <t>#36071</t>
  </si>
  <si>
    <t>User Role: 
KDNKK_APPROVER</t>
  </si>
  <si>
    <t>FAIL</t>
  </si>
  <si>
    <t>#38080
#38176</t>
  </si>
  <si>
    <t>Action - Pelepasan needs to change to Release
kdnkazra/P@ssw0rd1234 (gov)
htrent - single worker (emp sec)</t>
  </si>
  <si>
    <t>TC.TR.BIO.002</t>
  </si>
  <si>
    <t>#38081</t>
  </si>
  <si>
    <t>TC.TR.BIO.003</t>
  </si>
  <si>
    <t>#38097</t>
  </si>
  <si>
    <t>TC.TR.BIO.004</t>
  </si>
  <si>
    <t>#38154</t>
  </si>
  <si>
    <t>Unable to select Date From or Date Until only</t>
  </si>
  <si>
    <t>TC.TR.BIO.005</t>
  </si>
  <si>
    <t>TC.TR.BIO.006</t>
  </si>
  <si>
    <t>#37788</t>
  </si>
  <si>
    <t>TC.TR.BIO.007</t>
  </si>
  <si>
    <t>TC.TR.BIO.008</t>
  </si>
  <si>
    <t>TC.TR.BIO.009</t>
  </si>
  <si>
    <t>#38080</t>
  </si>
  <si>
    <t>TC.TR.BIO.010</t>
  </si>
  <si>
    <t>TC.TR.BIO.011</t>
  </si>
  <si>
    <t>TC.TR.BIO.012</t>
  </si>
  <si>
    <t>#38109</t>
  </si>
  <si>
    <t>Missing page numbering</t>
  </si>
  <si>
    <t>TC.TR.BIO.013</t>
  </si>
  <si>
    <t>IN PROGRESS</t>
  </si>
  <si>
    <t>IN PROGRESS -  need to create 15+ data to change page</t>
  </si>
  <si>
    <t>TC.TR.BIO.014</t>
  </si>
  <si>
    <t>TC.TR.BIO.015</t>
  </si>
  <si>
    <t>Action  - Release Application</t>
  </si>
  <si>
    <t>Click Release Hyperlink</t>
  </si>
  <si>
    <t>Application release in the MyInbox tab and display in the Pool tab</t>
  </si>
  <si>
    <t>Search Criteria Pool</t>
  </si>
  <si>
    <t>TC.TR.BIO.016</t>
  </si>
  <si>
    <t>#38176 - Claim and Release in Melayu is not Italic,</t>
  </si>
  <si>
    <t>TC.TR.BIO.017</t>
  </si>
  <si>
    <t>TC.TR.BIO.018</t>
  </si>
  <si>
    <t>TC.TR.BIO.019</t>
  </si>
  <si>
    <t>TC.TR.BIO.020</t>
  </si>
  <si>
    <t>TC.TR.BIO.021</t>
  </si>
  <si>
    <t>searching by date</t>
  </si>
  <si>
    <t>TC.TR.BIO.022</t>
  </si>
  <si>
    <t>TC.TR.BIO.023</t>
  </si>
  <si>
    <t>TC.TR.BIO.024</t>
  </si>
  <si>
    <t>TC.TR.BIO.025</t>
  </si>
  <si>
    <t>PENDING FIX ON DATE</t>
  </si>
  <si>
    <t>TC.TR.BIO.026</t>
  </si>
  <si>
    <t>TC.TR.BIO.027</t>
  </si>
  <si>
    <t>TC.TR.BIO.028</t>
  </si>
  <si>
    <t>TC.TR.BIO.029</t>
  </si>
  <si>
    <t>TC.TR.BIO.030</t>
  </si>
  <si>
    <t>Action  - Claim</t>
  </si>
  <si>
    <t>Click Claim Hyperlink</t>
  </si>
  <si>
    <t>Application release in the Pool tab and display in the MyInbox tab</t>
  </si>
  <si>
    <t>Search Criteria History</t>
  </si>
  <si>
    <t>TC.TR.BIO.031</t>
  </si>
  <si>
    <t>#38109
#38178</t>
  </si>
  <si>
    <t>TC.TR.BIO.032</t>
  </si>
  <si>
    <t>TC.TR.BIO.033</t>
  </si>
  <si>
    <t xml:space="preserve">#38313 </t>
  </si>
  <si>
    <t>TC.TR.BIO.034</t>
  </si>
  <si>
    <t xml:space="preserve">#38179 </t>
  </si>
  <si>
    <t>Smart search by employer name not working properly</t>
  </si>
  <si>
    <t>TC.TR.BIO.035</t>
  </si>
  <si>
    <t>TC.TR.BIO.036</t>
  </si>
  <si>
    <t>#38180</t>
  </si>
  <si>
    <t>TC.TR.BIO.037</t>
  </si>
  <si>
    <t>TC.TR.BIO.038</t>
  </si>
  <si>
    <t>#38181</t>
  </si>
  <si>
    <t>No data shows up when start date equals to end date</t>
  </si>
  <si>
    <t>TC.TR.BIO.039</t>
  </si>
  <si>
    <t>Follow env2 headers</t>
  </si>
  <si>
    <t>TC.TR.BIO.040</t>
  </si>
  <si>
    <t>Unable to test since date have yet to be fixed</t>
  </si>
  <si>
    <t>TC.TR.BIO.041</t>
  </si>
  <si>
    <t>TC.TR.BIO.043</t>
  </si>
  <si>
    <t>TC.TR.BIO.044</t>
  </si>
  <si>
    <t>#38309</t>
  </si>
  <si>
    <t>TC.TR.BIO.045</t>
  </si>
  <si>
    <t>TC.TR.BIO.046</t>
  </si>
  <si>
    <t>#36073</t>
  </si>
  <si>
    <t>Worker List tab</t>
  </si>
  <si>
    <t xml:space="preserve">#38166 </t>
  </si>
  <si>
    <t>retest defect and to remove 'SUBMITTED' status</t>
  </si>
  <si>
    <t>TC.TR.BIO.047</t>
  </si>
  <si>
    <t>TC.TR.BIO.048</t>
  </si>
  <si>
    <t>#38165</t>
  </si>
  <si>
    <t>TC.TR.BIO.049</t>
  </si>
  <si>
    <t>Verify worker listing</t>
  </si>
  <si>
    <t>Able to verify worker</t>
  </si>
  <si>
    <t>TC.TR.BIO.050</t>
  </si>
  <si>
    <t>Verify hyperlink Worker Name</t>
  </si>
  <si>
    <t>Screen redirect to worker info</t>
  </si>
  <si>
    <t>TC.TR.BIO.051</t>
  </si>
  <si>
    <t>Verify Officer name listing</t>
  </si>
  <si>
    <t xml:space="preserve">Display correct listing based on db </t>
  </si>
  <si>
    <t>TC.TR.BIO.052</t>
  </si>
  <si>
    <t>Verify submit application will all approved worker</t>
  </si>
  <si>
    <t>Able to submit application</t>
  </si>
  <si>
    <t>TC.TR.BIO.053</t>
  </si>
  <si>
    <t>Verify submit application will mix approved and rejected worker</t>
  </si>
  <si>
    <t>TC.TR.BIO.054</t>
  </si>
  <si>
    <t>#36074</t>
  </si>
  <si>
    <t>Worker Info tab</t>
  </si>
  <si>
    <t>#38168</t>
  </si>
  <si>
    <t>TC.TR.BIO.055</t>
  </si>
  <si>
    <t>TC.TR.BIO.056</t>
  </si>
  <si>
    <t>#36075</t>
  </si>
  <si>
    <t>Passport</t>
  </si>
  <si>
    <t>#38170</t>
  </si>
  <si>
    <t>TC.TR.BIO.057</t>
  </si>
  <si>
    <t>TC.TR.BIO.058</t>
  </si>
  <si>
    <t>#36076</t>
  </si>
  <si>
    <t>Medical Report</t>
  </si>
  <si>
    <t>#38171</t>
  </si>
  <si>
    <t>TC.TR.BIO.059</t>
  </si>
  <si>
    <t>TC.TR.BIO.060</t>
  </si>
  <si>
    <t>View uploaded document</t>
  </si>
  <si>
    <t>Able to viewback uploaded medical report document</t>
  </si>
  <si>
    <t>TC.TR.BIO.061</t>
  </si>
  <si>
    <t>Able to download document</t>
  </si>
  <si>
    <t>#38169</t>
  </si>
  <si>
    <t>TC.TR.BIO.062</t>
  </si>
  <si>
    <t>Verify title of document downloaded</t>
  </si>
  <si>
    <t>Display correct title</t>
  </si>
  <si>
    <t>TC.TR.BIO.063</t>
  </si>
  <si>
    <t>#36077</t>
  </si>
  <si>
    <t>Approval</t>
  </si>
  <si>
    <t>#38172
#38175</t>
  </si>
  <si>
    <t>TC.TR.BIO.064</t>
  </si>
  <si>
    <t>TC.TR.BIO.065</t>
  </si>
  <si>
    <t>Worker Approval result : Approve</t>
  </si>
  <si>
    <t>1. Remarks not mandatory to fill
2. Employer received email verified.</t>
  </si>
  <si>
    <t>TC.TR.BIO.066</t>
  </si>
  <si>
    <t>Worker Approval result : Reject</t>
  </si>
  <si>
    <t xml:space="preserve">#38173 </t>
  </si>
  <si>
    <t>TC.TR.BIO.067</t>
  </si>
  <si>
    <t xml:space="preserve">#38174 </t>
  </si>
  <si>
    <t>TC.TR.BIO.068</t>
  </si>
  <si>
    <t>Biodata Screening - Aktiviti Terkini</t>
  </si>
  <si>
    <t>TC.TR.BIO.069</t>
  </si>
  <si>
    <t>#37537
#37467</t>
  </si>
  <si>
    <t xml:space="preserve">Biodata Screening </t>
  </si>
  <si>
    <t>User Role :
1. KDNKK APPROVER -  [KDNKK_APPROVER]</t>
  </si>
  <si>
    <t xml:space="preserve">Verify Recent Activity updated for Biodata Screening </t>
  </si>
  <si>
    <t>Features</t>
  </si>
  <si>
    <t xml:space="preserve"> Result Browser</t>
  </si>
  <si>
    <t>Safari</t>
  </si>
  <si>
    <t>Chrome</t>
  </si>
  <si>
    <t>Edge</t>
  </si>
  <si>
    <t xml:space="preserve">Iphone </t>
  </si>
  <si>
    <t>TC.TR.MRes.001</t>
  </si>
  <si>
    <t>Landing Page</t>
  </si>
  <si>
    <t>Homepage</t>
  </si>
  <si>
    <t>User logged in</t>
  </si>
  <si>
    <t>Login</t>
  </si>
  <si>
    <t>Verify user can login with valid credentials</t>
  </si>
  <si>
    <t>N/A</t>
  </si>
  <si>
    <t>TC.TR.MRes.002</t>
  </si>
  <si>
    <t>Verify Menu</t>
  </si>
  <si>
    <t>Verify menu is displayed after login</t>
  </si>
  <si>
    <t>TC.TR.MRes.003</t>
  </si>
  <si>
    <t>User is logged in</t>
  </si>
  <si>
    <t>Verify the "Lihat Status" button is displayed and clickable</t>
  </si>
  <si>
    <t>1. Navigate to Home Page
2. Locate "Lihat Status" button
3. Click the button</t>
  </si>
  <si>
    <t>User is navigated to correct status page with relevant data</t>
  </si>
  <si>
    <t>TC.TR.MRes.004</t>
  </si>
  <si>
    <t>User has submitted application</t>
  </si>
  <si>
    <t xml:space="preserve">Verify data accuracyat  Maklumat Pemohon </t>
  </si>
  <si>
    <t>1. Navigate to Home Page
2. Verify dashboard data</t>
  </si>
  <si>
    <t>Correct applicant details are displayed</t>
  </si>
  <si>
    <t>TC.TR.MRes.005</t>
  </si>
  <si>
    <t>Notifications exist</t>
  </si>
  <si>
    <t>Verify notification log is displayed at Aktiviti Terkini</t>
  </si>
  <si>
    <t>1. Navigate to Home Page
2. Verify notificatio Aktiviti Terkini</t>
  </si>
  <si>
    <t>Notification history list is visible</t>
  </si>
  <si>
    <t>TC.TR.MRes.006</t>
  </si>
  <si>
    <t>User has activity history</t>
  </si>
  <si>
    <t>Verify latest activity remarks are displayed at Pemberitahuan</t>
  </si>
  <si>
    <t>1. Navigate to Home Page
2. Verify latest oemberitahuan</t>
  </si>
  <si>
    <t>Latest remarks appear in correct order (most recent first)</t>
  </si>
  <si>
    <t>TC.TR.MRes.007</t>
  </si>
  <si>
    <t>Operational Report</t>
  </si>
  <si>
    <t>Monthly Complaint Report</t>
  </si>
  <si>
    <t>Search monthly complaint report</t>
  </si>
  <si>
    <t xml:space="preserve">Data display in table listing </t>
  </si>
  <si>
    <t>TC.TR.MRes.008</t>
  </si>
  <si>
    <t>Print monthly complaint report</t>
  </si>
  <si>
    <t>Successfully generate PDF file</t>
  </si>
  <si>
    <t>TC.TR.MRes.009</t>
  </si>
  <si>
    <t>Generate excel monthly complaint report</t>
  </si>
  <si>
    <t>Successfully generate excel file</t>
  </si>
  <si>
    <t>TC.TR.MRes.010</t>
  </si>
  <si>
    <t xml:space="preserve">Complaint Summary by Stages
</t>
  </si>
  <si>
    <t>TC.TR.MRes.011</t>
  </si>
  <si>
    <t>TC.TR.MRes.012</t>
  </si>
  <si>
    <t>TC.TR.MRes.013</t>
  </si>
  <si>
    <t xml:space="preserve">Verify Complaint </t>
  </si>
  <si>
    <t>Complaint Verification list</t>
  </si>
  <si>
    <t>Search complaint list</t>
  </si>
  <si>
    <t>TC.TR.MRes.014</t>
  </si>
  <si>
    <t>Verify Table listing result</t>
  </si>
  <si>
    <t>TC.TR.MRes.015</t>
  </si>
  <si>
    <t>TC.TR.MRes.016</t>
  </si>
  <si>
    <t>Search Button</t>
  </si>
  <si>
    <t>TC.TR.MRes.017</t>
  </si>
  <si>
    <t>Update Complaint</t>
  </si>
  <si>
    <t>Successfully update application</t>
  </si>
  <si>
    <t>TC.TR.MRes.018</t>
  </si>
  <si>
    <t>Submission</t>
  </si>
  <si>
    <t>Success submit application and display success message</t>
  </si>
  <si>
    <t>TC.TR.MRes.019</t>
  </si>
  <si>
    <t>Insspect Complaint</t>
  </si>
  <si>
    <t>Complaint Inspection list</t>
  </si>
  <si>
    <t>TC.TR.MRes.020</t>
  </si>
  <si>
    <t>TC.TR.MRes.021</t>
  </si>
  <si>
    <t>TC.TR.MRes.022</t>
  </si>
  <si>
    <t>Download</t>
  </si>
  <si>
    <t>Successfully download Borang F</t>
  </si>
  <si>
    <t>TC.TR.MRes.023</t>
  </si>
  <si>
    <t>TC.TR.MRes.024</t>
  </si>
  <si>
    <t>Complaint Endorsement list</t>
  </si>
  <si>
    <t>TC.TR.MRes.025</t>
  </si>
  <si>
    <t>TC.TR.MRes.026</t>
  </si>
  <si>
    <t>Update Application</t>
  </si>
  <si>
    <t>TC.TR.MRes.027</t>
  </si>
  <si>
    <t>TC.TR.MRes.028</t>
  </si>
  <si>
    <t>TC.TR.MRes.029</t>
  </si>
  <si>
    <t>Maintenance</t>
  </si>
  <si>
    <t>Manage Case</t>
  </si>
  <si>
    <t>TC.TR.MRes.030</t>
  </si>
  <si>
    <t>Transfer by state</t>
  </si>
  <si>
    <t xml:space="preserve">Successfully submit Transfer application </t>
  </si>
  <si>
    <t>TC.TR.MRes.031</t>
  </si>
  <si>
    <t>Transfer by branch</t>
  </si>
  <si>
    <t>TC.TR.MRes.032</t>
  </si>
  <si>
    <t xml:space="preserve">Operational Report </t>
  </si>
  <si>
    <t>Single Search Criteria</t>
  </si>
  <si>
    <t>TC.TR.MRes.033</t>
  </si>
  <si>
    <t xml:space="preserve"> Search Criteria</t>
  </si>
  <si>
    <t>TC.TR.MRes.034</t>
  </si>
  <si>
    <t>TC.TR.MRes.035</t>
  </si>
  <si>
    <t>TC.TR.MRes.036</t>
  </si>
  <si>
    <t>Print button</t>
  </si>
  <si>
    <t>TC.TR.MRes.037</t>
  </si>
  <si>
    <t>Export button</t>
  </si>
  <si>
    <t>Successfully generate excel</t>
  </si>
  <si>
    <t>TC.TR.MRes.038</t>
  </si>
  <si>
    <t>Complaint List</t>
  </si>
  <si>
    <t>TC.TR.MRes.039</t>
  </si>
  <si>
    <t>Search Criteria</t>
  </si>
  <si>
    <t>TC.TR.MRes.040</t>
  </si>
  <si>
    <t>Verify Complaint details</t>
  </si>
  <si>
    <t>Data display as expected</t>
  </si>
  <si>
    <t>TC.TR.MRes.041</t>
  </si>
  <si>
    <t>My Inbox</t>
  </si>
  <si>
    <t>TC.TR.MRes.042</t>
  </si>
  <si>
    <t>System populate applicaion details</t>
  </si>
  <si>
    <t>TC.TR.MRes.043</t>
  </si>
  <si>
    <t xml:space="preserve">Download letter </t>
  </si>
  <si>
    <t xml:space="preserve">successfully downlod document </t>
  </si>
  <si>
    <t>TC.TR.MRes.044</t>
  </si>
  <si>
    <t>Generate Approval letter</t>
  </si>
  <si>
    <t>System successfully generate approval letter</t>
  </si>
  <si>
    <t>TC.TR.MRes.045</t>
  </si>
  <si>
    <t>Pool</t>
  </si>
  <si>
    <t>TC.TR.MRes.046</t>
  </si>
  <si>
    <t>TC.TR.MRes.047</t>
  </si>
  <si>
    <t>Claim Application</t>
  </si>
  <si>
    <t>Data transfer to my inbox and removed from pool</t>
  </si>
  <si>
    <t>TC.TR.MRes.048</t>
  </si>
  <si>
    <t>History</t>
  </si>
  <si>
    <t>TC.TR.MRes.049</t>
  </si>
  <si>
    <t>TC.TR.MRes.050</t>
  </si>
  <si>
    <t>NNS Allocation report</t>
  </si>
  <si>
    <t xml:space="preserve">NNS Quota Allocation by Sector
</t>
  </si>
  <si>
    <t xml:space="preserve">Search NNS quota listing </t>
  </si>
  <si>
    <t>TC.TR.MRes.051</t>
  </si>
  <si>
    <t>Print quota allocation by sector</t>
  </si>
  <si>
    <t>TC.TR.MRes.052</t>
  </si>
  <si>
    <t>Generate excel allocation by sector</t>
  </si>
  <si>
    <t>TC.TR.MRes.053</t>
  </si>
  <si>
    <t xml:space="preserve">NNS Quota Allocation Top 10 Employer
</t>
  </si>
  <si>
    <t>Search NNS quota allocation  top 10 employer</t>
  </si>
  <si>
    <t>TC.TR.MRes.054</t>
  </si>
  <si>
    <t>TC.TR.MRes.055</t>
  </si>
  <si>
    <t>TC.TR.MRes.056</t>
  </si>
  <si>
    <t xml:space="preserve">NNS Quota Allocation Transaction
</t>
  </si>
  <si>
    <t>Search NNS quota Allocation transaction</t>
  </si>
  <si>
    <t>TC.TR.MRes.057</t>
  </si>
  <si>
    <t>TC.TR.MRes.058</t>
  </si>
  <si>
    <t>TC.TR.MRes.059</t>
  </si>
  <si>
    <t>Quota Application report</t>
  </si>
  <si>
    <t>Quota Application</t>
  </si>
  <si>
    <t>Search quota Application</t>
  </si>
  <si>
    <t>TC.TR.MRes.060</t>
  </si>
  <si>
    <t>Print  quota Application</t>
  </si>
  <si>
    <t>TC.TR.MRes.061</t>
  </si>
  <si>
    <t>Generate excel  quota Application</t>
  </si>
  <si>
    <t>TC.TR.MRes.062</t>
  </si>
  <si>
    <t>Quota Application (Khas)</t>
  </si>
  <si>
    <t>Search quota Application (Khas)</t>
  </si>
  <si>
    <t>TC.TR.MRes.063</t>
  </si>
  <si>
    <t>Print Quota Application (Khas)</t>
  </si>
  <si>
    <t>TC.TR.MRes.064</t>
  </si>
  <si>
    <t>Generate excel Quota Application (Khas)</t>
  </si>
  <si>
    <t>TC.TR.MRes.065</t>
  </si>
  <si>
    <t>Quota Application normal</t>
  </si>
  <si>
    <t>Search Quota Application normal</t>
  </si>
  <si>
    <t>TC.TR.MRes.066</t>
  </si>
  <si>
    <t>Print Quota Application normal</t>
  </si>
  <si>
    <t>TC.TR.MRes.067</t>
  </si>
  <si>
    <t>Generate excel Quota Application normal</t>
  </si>
  <si>
    <t>TC.TR.MRes.068</t>
  </si>
  <si>
    <t>Total quota application by state</t>
  </si>
  <si>
    <t>Search Total quota application by state</t>
  </si>
  <si>
    <t>TC.TR.MRes.069</t>
  </si>
  <si>
    <t>Print Total quota application by state</t>
  </si>
  <si>
    <t>TC.TR.MRes.070</t>
  </si>
  <si>
    <t>Generate excel Total quota application by state</t>
  </si>
  <si>
    <t>TC.TR.MRes.071</t>
  </si>
  <si>
    <t>Total quota application by Reg Agency</t>
  </si>
  <si>
    <t>Search Total quota application by Reg Agency</t>
  </si>
  <si>
    <t>TC.TR.MRes.072</t>
  </si>
  <si>
    <t>Print Total quota application by Reg Agency</t>
  </si>
  <si>
    <t>TC.TR.MRes.073</t>
  </si>
  <si>
    <t>Generate excel Total quota application by Reg Agency</t>
  </si>
  <si>
    <t>TC.TR.MRes.074</t>
  </si>
  <si>
    <t xml:space="preserve">Top 5 Quota Application by Job Category
</t>
  </si>
  <si>
    <t>Search Top 5 Quota Application by Job Category</t>
  </si>
  <si>
    <t>TC.TR.MRes.075</t>
  </si>
  <si>
    <t xml:space="preserve">Print quota Top 5 Quota Application by Job Category
</t>
  </si>
  <si>
    <t>TC.TR.MRes.076</t>
  </si>
  <si>
    <t xml:space="preserve">Generate excel Top 5 Quota Application by Job Category
</t>
  </si>
  <si>
    <t>TC.TR.MRes.077</t>
  </si>
  <si>
    <t xml:space="preserve">Total Quota Application by Status
</t>
  </si>
  <si>
    <t>Search Total Quota Application by Status</t>
  </si>
  <si>
    <t>TC.TR.MRes.078</t>
  </si>
  <si>
    <t>Print Total Quota Application by Status</t>
  </si>
  <si>
    <t>TC.TR.MRes.079</t>
  </si>
  <si>
    <t xml:space="preserve">Generate excel Total Quota Application by Status
</t>
  </si>
  <si>
    <t xml:space="preserve">Android </t>
  </si>
  <si>
    <t>TC.TR.MRes.080</t>
  </si>
  <si>
    <t>TC.TR.MRes.081</t>
  </si>
  <si>
    <t>TC.TR.MRes.082</t>
  </si>
  <si>
    <t>TC.TR.MRes.083</t>
  </si>
  <si>
    <t>TC.TR.MRes.084</t>
  </si>
  <si>
    <t>TC.TR.MRes.085</t>
  </si>
  <si>
    <t>TC.TR.MRes.086</t>
  </si>
  <si>
    <t>TC.TR.MRes.087</t>
  </si>
  <si>
    <t>TC.TR.MRes.088</t>
  </si>
  <si>
    <t>TC.TR.MRes.089</t>
  </si>
  <si>
    <t>TC.TR.MRes.090</t>
  </si>
  <si>
    <t>TC.TR.MRes.091</t>
  </si>
  <si>
    <t>TC.TR.MRes.092</t>
  </si>
  <si>
    <t>TC.TR.MRes.093</t>
  </si>
  <si>
    <t>TC.TR.MRes.094</t>
  </si>
  <si>
    <t>TC.TR.MRes.095</t>
  </si>
  <si>
    <t>TC.TR.MRes.096</t>
  </si>
  <si>
    <t>TC.TR.MRes.097</t>
  </si>
  <si>
    <t>TC.TR.MRes.098</t>
  </si>
  <si>
    <t>TC.TR.MRes.099</t>
  </si>
  <si>
    <t>TC.TR.MRes.100</t>
  </si>
  <si>
    <t>TC.TR.MRes.101</t>
  </si>
  <si>
    <t>TC.TR.MRes.102</t>
  </si>
  <si>
    <t>TC.TR.MRes.103</t>
  </si>
  <si>
    <t>TC.TR.MRes.104</t>
  </si>
  <si>
    <t>TC.TR.MRes.105</t>
  </si>
  <si>
    <t>TC.TR.MRes.106</t>
  </si>
  <si>
    <t>TC.TR.MRes.107</t>
  </si>
  <si>
    <t>TC.TR.MRes.108</t>
  </si>
  <si>
    <t>TC.TR.MRes.109</t>
  </si>
  <si>
    <t>TC.TR.MRes.110</t>
  </si>
  <si>
    <t>TC.TR.MRes.111</t>
  </si>
  <si>
    <t>TC.TR.MRes.112</t>
  </si>
  <si>
    <t>TC.TR.MRes.113</t>
  </si>
  <si>
    <t>TC.TR.MRes.114</t>
  </si>
  <si>
    <t>TC.TR.MRes.115</t>
  </si>
  <si>
    <t>TC.TR.MRes.116</t>
  </si>
  <si>
    <t>TC.TR.MRes.117</t>
  </si>
  <si>
    <t>TC.TR.MRes.118</t>
  </si>
  <si>
    <t>TC.TR.MRes.119</t>
  </si>
  <si>
    <t>TC.TR.MRes.120</t>
  </si>
  <si>
    <t>TC.TR.MRes.121</t>
  </si>
  <si>
    <t>TC.TR.MRes.122</t>
  </si>
  <si>
    <t>TC.TR.MRes.123</t>
  </si>
  <si>
    <t>TC.TR.MRes.124</t>
  </si>
  <si>
    <t>TC.TR.MRes.125</t>
  </si>
  <si>
    <t>TC.TR.MRes.126</t>
  </si>
  <si>
    <t>TC.TR.MRes.127</t>
  </si>
  <si>
    <t>TC.TR.MRes.128</t>
  </si>
  <si>
    <t>TC.TR.MRes.129</t>
  </si>
  <si>
    <t>TC.TR.MRes.130</t>
  </si>
  <si>
    <t>TC.TR.MRes.131</t>
  </si>
  <si>
    <t>TC.TR.MRes.132</t>
  </si>
  <si>
    <t>TC.TR.MRes.133</t>
  </si>
  <si>
    <t>TC.TR.MRes.134</t>
  </si>
  <si>
    <t>TC.TR.MRes.135</t>
  </si>
  <si>
    <t>TC.TR.MRes.136</t>
  </si>
  <si>
    <t>TC.TR.MRes.137</t>
  </si>
  <si>
    <t>TC.TR.MRes.138</t>
  </si>
  <si>
    <t>TC.TR.MRes.139</t>
  </si>
  <si>
    <t>TC.TR.MRes.140</t>
  </si>
  <si>
    <t>TC.TR.MRes.141</t>
  </si>
  <si>
    <t>TC.TR.MRes.142</t>
  </si>
  <si>
    <t>TC.TR.MRes.143</t>
  </si>
  <si>
    <t>TC.TR.MRes.144</t>
  </si>
  <si>
    <t>TC.TR.MRes.145</t>
  </si>
  <si>
    <t>TC.TR.MRes.146</t>
  </si>
  <si>
    <t>TC.TR.MRes.147</t>
  </si>
  <si>
    <t>TC.TR.MRes.148</t>
  </si>
  <si>
    <t>TC.TR.MRes.149</t>
  </si>
  <si>
    <t>TC.TR.MRes.150</t>
  </si>
  <si>
    <t>TC.TR.MRes.151</t>
  </si>
  <si>
    <t>TC.TR.MRes.152</t>
  </si>
  <si>
    <t>TC.TR.MRes.153</t>
  </si>
  <si>
    <t>TC.TR.MRes.154</t>
  </si>
  <si>
    <t>TC.TR.MRes.155</t>
  </si>
  <si>
    <t>TC.TR.MRes.156</t>
  </si>
  <si>
    <t>TC.TR.MRes.157</t>
  </si>
  <si>
    <t>TC.TR.MRes.158</t>
  </si>
  <si>
    <t>iPad</t>
  </si>
  <si>
    <t>Android Tablet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</si>
</sst>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40">
    <font>
      <sz val="11"/>
      <color theme="1"/>
      <name val="Aptos Narrow"/>
      <family val="2"/>
      <scheme val="minor"/>
    </font>
    <font>
      <b/>
      <sz val="12"/>
      <color rgb="FFFFFFFF"/>
      <name val="Calibri"/>
      <family val="2"/>
    </font>
    <font>
      <sz val="8"/>
      <name val="Aptos Narrow"/>
      <family val="2"/>
      <scheme val="minor"/>
    </font>
    <font>
      <b/>
      <sz val="10"/>
      <name val="Arial"/>
      <family val="2"/>
    </font>
    <font>
      <sz val="10"/>
      <name val="Arial"/>
      <family val="2"/>
    </font>
    <font>
      <b/>
      <sz val="14"/>
      <name val="Arial"/>
      <family val="2"/>
    </font>
    <font>
      <sz val="10"/>
      <color theme="1"/>
      <name val="Arial"/>
      <family val="2"/>
    </font>
    <font>
      <sz val="11"/>
      <color theme="1"/>
      <name val="Aptos Narrow"/>
      <scheme val="minor"/>
    </font>
    <font>
      <sz val="11"/>
      <color rgb="FF242424"/>
      <name val="Aptos Narrow"/>
      <scheme val="minor"/>
    </font>
    <font>
      <sz val="11"/>
      <color rgb="FF000000"/>
      <name val="Aptos Narrow"/>
      <scheme val="minor"/>
    </font>
    <font>
      <b/>
      <i/>
      <sz val="11"/>
      <color rgb="FF000000"/>
      <name val="Aptos Narrow"/>
      <scheme val="minor"/>
    </font>
    <font>
      <i/>
      <sz val="11"/>
      <color rgb="FF000000"/>
      <name val="Aptos Narrow"/>
      <scheme val="minor"/>
    </font>
    <font>
      <b/>
      <sz val="11"/>
      <color rgb="FF000000"/>
      <name val="Aptos Narrow"/>
      <scheme val="minor"/>
    </font>
    <font>
      <b/>
      <sz val="11"/>
      <color rgb="FFFFFFFF"/>
      <name val="Aptos Narrow"/>
      <scheme val="minor"/>
    </font>
    <font>
      <sz val="11"/>
      <name val="Aptos Narrow"/>
      <scheme val="minor"/>
    </font>
    <font>
      <sz val="12"/>
      <color rgb="FF000000"/>
      <name val="Aptos Narrow"/>
      <family val="2"/>
      <scheme val="minor"/>
    </font>
    <font>
      <sz val="12"/>
      <color theme="1"/>
      <name val="Aptos Narrow"/>
      <family val="2"/>
      <scheme val="minor"/>
    </font>
    <font>
      <b/>
      <sz val="12"/>
      <color rgb="FF000000"/>
      <name val="Aptos Narrow"/>
      <family val="2"/>
      <scheme val="minor"/>
    </font>
    <font>
      <sz val="12"/>
      <color rgb="FF333333"/>
      <name val="Aptos Narrow"/>
      <family val="2"/>
      <scheme val="minor"/>
    </font>
    <font>
      <sz val="12"/>
      <color rgb="FF000000"/>
      <name val="Aptos Narrow"/>
      <scheme val="minor"/>
    </font>
    <font>
      <b/>
      <sz val="12"/>
      <color rgb="FF000000"/>
      <name val="Aptos Narrow"/>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2"/>
      <color rgb="FF000000"/>
      <name val="Calibri"/>
      <family val="2"/>
    </font>
    <font>
      <sz val="11"/>
      <color rgb="FF242424"/>
      <name val="Aptos Narrow"/>
      <family val="2"/>
      <scheme val="minor"/>
    </font>
    <font>
      <sz val="11"/>
      <name val="Aptos Narrow"/>
      <family val="2"/>
      <scheme val="minor"/>
    </font>
    <font>
      <sz val="11"/>
      <color rgb="FF000000"/>
      <name val="Aptos Narrow"/>
    </font>
    <font>
      <sz val="12"/>
      <color theme="1"/>
      <name val="Calibri"/>
      <family val="2"/>
    </font>
    <font>
      <b/>
      <sz val="12"/>
      <name val="Arial"/>
      <family val="2"/>
    </font>
    <font>
      <sz val="11"/>
      <color rgb="FF000000"/>
      <name val="Aptos Narrow"/>
      <family val="2"/>
    </font>
    <font>
      <sz val="11"/>
      <color rgb="FF000000"/>
      <name val="Calibri"/>
      <family val="2"/>
    </font>
    <font>
      <sz val="11"/>
      <color rgb="FFFF0000"/>
      <name val="Aptos Narrow"/>
      <scheme val="minor"/>
    </font>
    <font>
      <b/>
      <sz val="15"/>
      <color rgb="FF555555"/>
      <name val="Trebuchet MS"/>
      <family val="2"/>
    </font>
    <font>
      <u/>
      <sz val="11"/>
      <color theme="10"/>
      <name val="Aptos Narrow"/>
      <family val="2"/>
      <scheme val="minor"/>
    </font>
    <font>
      <sz val="12"/>
      <color rgb="FFFF0000"/>
      <name val="Aptos Narrow"/>
      <family val="2"/>
      <scheme val="minor"/>
    </font>
    <font>
      <b/>
      <sz val="11"/>
      <color rgb="FFFFFFFF"/>
      <name val="Aptos Narrow"/>
      <family val="2"/>
      <scheme val="minor"/>
    </font>
    <font>
      <b/>
      <sz val="15"/>
      <color rgb="FF555555"/>
      <name val="Trebuchet MS"/>
      <charset val="1"/>
    </font>
    <font>
      <u/>
      <sz val="11"/>
      <color rgb="FF467886"/>
      <name val="Aptos Narrow"/>
      <scheme val="minor"/>
    </font>
    <font>
      <b/>
      <u/>
      <sz val="11"/>
      <color rgb="FF467886"/>
      <name val="Aptos Narrow"/>
      <scheme val="minor"/>
    </font>
  </fonts>
  <fills count="12">
    <fill>
      <patternFill patternType="none"/>
    </fill>
    <fill>
      <patternFill patternType="gray125"/>
    </fill>
    <fill>
      <patternFill patternType="solid">
        <fgColor rgb="FF002060"/>
        <bgColor rgb="FF000000"/>
      </patternFill>
    </fill>
    <fill>
      <patternFill patternType="solid">
        <fgColor theme="0" tint="-0.14999847407452621"/>
        <bgColor indexed="64"/>
      </patternFill>
    </fill>
    <fill>
      <patternFill patternType="solid">
        <fgColor indexed="9"/>
        <bgColor indexed="64"/>
      </patternFill>
    </fill>
    <fill>
      <patternFill patternType="solid">
        <fgColor rgb="FFBDD7EE"/>
        <bgColor indexed="64"/>
      </patternFill>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3" tint="0.749992370372631"/>
        <bgColor indexed="64"/>
      </patternFill>
    </fill>
    <fill>
      <patternFill patternType="solid">
        <fgColor rgb="FFFFFF0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indexed="64"/>
      </left>
      <right style="thin">
        <color indexed="64"/>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indexed="64"/>
      </left>
      <right style="thin">
        <color indexed="64"/>
      </right>
      <top style="thin">
        <color rgb="FF000000"/>
      </top>
      <bottom/>
      <diagonal/>
    </border>
    <border>
      <left style="thin">
        <color indexed="64"/>
      </left>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right/>
      <top style="thin">
        <color indexed="64"/>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s>
  <cellStyleXfs count="6">
    <xf numFmtId="0" fontId="0" fillId="0" borderId="0"/>
    <xf numFmtId="0" fontId="3" fillId="0" borderId="5" applyFill="0" applyBorder="0"/>
    <xf numFmtId="0" fontId="4" fillId="0" borderId="0" applyFill="0" applyBorder="0">
      <alignment vertical="center"/>
    </xf>
    <xf numFmtId="0" fontId="4" fillId="0" borderId="0"/>
    <xf numFmtId="0" fontId="4" fillId="0" borderId="0" applyFont="0" applyFill="0" applyBorder="0" applyAlignment="0" applyProtection="0"/>
    <xf numFmtId="0" fontId="34" fillId="0" borderId="0" applyNumberFormat="0" applyFill="0" applyBorder="0" applyAlignment="0" applyProtection="0"/>
  </cellStyleXfs>
  <cellXfs count="568">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0" fillId="4" borderId="0" xfId="0" applyFill="1"/>
    <xf numFmtId="0" fontId="0" fillId="4" borderId="0" xfId="0" applyFill="1" applyAlignment="1">
      <alignment horizontal="center"/>
    </xf>
    <xf numFmtId="0" fontId="6" fillId="4" borderId="0" xfId="0" applyFont="1" applyFill="1" applyAlignment="1">
      <alignment horizontal="right"/>
    </xf>
    <xf numFmtId="0" fontId="0" fillId="0" borderId="0" xfId="0" applyAlignment="1">
      <alignment vertical="center"/>
    </xf>
    <xf numFmtId="0" fontId="7" fillId="0" borderId="0" xfId="0" applyFont="1"/>
    <xf numFmtId="0" fontId="7" fillId="0" borderId="0" xfId="0" applyFont="1" applyAlignment="1">
      <alignment vertical="center"/>
    </xf>
    <xf numFmtId="0" fontId="9" fillId="0" borderId="1" xfId="3" applyFont="1" applyBorder="1" applyAlignment="1">
      <alignment vertical="center" wrapText="1"/>
    </xf>
    <xf numFmtId="0" fontId="13" fillId="2" borderId="1" xfId="3" applyFont="1" applyFill="1" applyBorder="1" applyAlignment="1">
      <alignment horizontal="center" vertical="center" wrapText="1"/>
    </xf>
    <xf numFmtId="0" fontId="13" fillId="2" borderId="1" xfId="3" applyFont="1" applyFill="1" applyBorder="1" applyAlignment="1">
      <alignment horizontal="left" vertical="center" wrapText="1"/>
    </xf>
    <xf numFmtId="0" fontId="7" fillId="0" borderId="0" xfId="3" applyFont="1" applyAlignment="1">
      <alignment horizontal="center" vertical="center"/>
    </xf>
    <xf numFmtId="0" fontId="14" fillId="0" borderId="0" xfId="3" applyFont="1"/>
    <xf numFmtId="0" fontId="12" fillId="0" borderId="0" xfId="3" applyFont="1" applyAlignment="1">
      <alignment horizontal="center" vertical="center" wrapText="1"/>
    </xf>
    <xf numFmtId="0" fontId="7" fillId="0" borderId="1" xfId="3" applyFont="1" applyBorder="1" applyAlignment="1">
      <alignment vertical="center" wrapText="1"/>
    </xf>
    <xf numFmtId="0" fontId="7" fillId="0" borderId="1" xfId="3" applyFont="1" applyBorder="1" applyAlignment="1">
      <alignment vertical="center"/>
    </xf>
    <xf numFmtId="0" fontId="14" fillId="6" borderId="6" xfId="3" applyFont="1" applyFill="1" applyBorder="1" applyAlignment="1">
      <alignment vertical="center" wrapText="1"/>
    </xf>
    <xf numFmtId="0" fontId="12" fillId="0" borderId="1" xfId="3" applyFont="1" applyBorder="1" applyAlignment="1">
      <alignment vertical="center" wrapText="1"/>
    </xf>
    <xf numFmtId="0" fontId="14" fillId="0" borderId="12" xfId="3" applyFont="1" applyBorder="1" applyAlignment="1">
      <alignment vertical="center" wrapText="1"/>
    </xf>
    <xf numFmtId="0" fontId="7" fillId="0" borderId="2" xfId="3" applyFont="1" applyBorder="1" applyAlignment="1">
      <alignment horizontal="center" vertical="center"/>
    </xf>
    <xf numFmtId="0" fontId="14" fillId="0" borderId="0" xfId="3" applyFont="1" applyAlignment="1">
      <alignment vertical="center"/>
    </xf>
    <xf numFmtId="0" fontId="7" fillId="6" borderId="1" xfId="3" applyFont="1" applyFill="1" applyBorder="1" applyAlignment="1">
      <alignment horizontal="left" vertical="center" wrapText="1"/>
    </xf>
    <xf numFmtId="0" fontId="14" fillId="6" borderId="1" xfId="3" applyFont="1" applyFill="1" applyBorder="1" applyAlignment="1">
      <alignment vertical="center" wrapText="1"/>
    </xf>
    <xf numFmtId="0" fontId="14" fillId="0" borderId="1" xfId="3" applyFont="1" applyBorder="1" applyAlignment="1">
      <alignment vertical="center"/>
    </xf>
    <xf numFmtId="0" fontId="9" fillId="0" borderId="1" xfId="3" applyFont="1" applyBorder="1" applyAlignment="1">
      <alignment vertical="center"/>
    </xf>
    <xf numFmtId="0" fontId="14" fillId="0" borderId="1" xfId="3" applyFont="1" applyBorder="1" applyAlignment="1">
      <alignment vertical="center" wrapText="1"/>
    </xf>
    <xf numFmtId="0" fontId="7" fillId="0" borderId="13" xfId="3" applyFont="1" applyBorder="1" applyAlignment="1">
      <alignment horizontal="center" vertical="center"/>
    </xf>
    <xf numFmtId="0" fontId="16" fillId="0" borderId="1" xfId="0" applyFont="1" applyBorder="1" applyAlignment="1">
      <alignment vertical="center" wrapText="1"/>
    </xf>
    <xf numFmtId="0" fontId="15" fillId="6" borderId="1" xfId="0" applyFont="1" applyFill="1" applyBorder="1" applyAlignment="1">
      <alignment horizontal="center" vertical="center" wrapText="1"/>
    </xf>
    <xf numFmtId="0" fontId="15" fillId="6" borderId="2" xfId="0" applyFont="1" applyFill="1" applyBorder="1" applyAlignment="1">
      <alignment vertical="center" wrapText="1"/>
    </xf>
    <xf numFmtId="0" fontId="15" fillId="6" borderId="1" xfId="0" applyFont="1" applyFill="1" applyBorder="1" applyAlignment="1">
      <alignment vertical="center" wrapText="1"/>
    </xf>
    <xf numFmtId="0" fontId="15" fillId="0" borderId="1" xfId="0" applyFont="1" applyBorder="1" applyAlignment="1">
      <alignment vertical="center" wrapText="1"/>
    </xf>
    <xf numFmtId="0" fontId="16" fillId="6" borderId="1" xfId="0" applyFont="1" applyFill="1" applyBorder="1" applyAlignment="1">
      <alignment vertical="center" wrapText="1"/>
    </xf>
    <xf numFmtId="0" fontId="15" fillId="0" borderId="0" xfId="0" applyFont="1" applyAlignment="1">
      <alignment horizontal="center" vertical="center"/>
    </xf>
    <xf numFmtId="0" fontId="16" fillId="0" borderId="0" xfId="0" applyFont="1" applyAlignment="1">
      <alignment horizontal="center" vertical="center" wrapText="1"/>
    </xf>
    <xf numFmtId="0" fontId="16" fillId="0" borderId="0" xfId="0" applyFont="1" applyAlignment="1">
      <alignment vertical="center"/>
    </xf>
    <xf numFmtId="0" fontId="0" fillId="0" borderId="0" xfId="0" applyAlignment="1">
      <alignment vertical="center" wrapText="1"/>
    </xf>
    <xf numFmtId="0" fontId="16" fillId="6" borderId="12" xfId="0" applyFont="1" applyFill="1" applyBorder="1" applyAlignment="1">
      <alignment horizontal="left" vertical="center" wrapText="1"/>
    </xf>
    <xf numFmtId="0" fontId="16" fillId="0" borderId="8" xfId="0" applyFont="1" applyBorder="1" applyAlignment="1">
      <alignment vertical="center" wrapText="1"/>
    </xf>
    <xf numFmtId="0" fontId="19" fillId="6" borderId="1" xfId="0" applyFont="1" applyFill="1" applyBorder="1" applyAlignment="1">
      <alignment vertical="center" wrapText="1"/>
    </xf>
    <xf numFmtId="0" fontId="16" fillId="0" borderId="0" xfId="0" applyFont="1" applyAlignment="1">
      <alignment vertical="center" wrapText="1"/>
    </xf>
    <xf numFmtId="0" fontId="16" fillId="6" borderId="8" xfId="0" applyFont="1" applyFill="1" applyBorder="1" applyAlignment="1">
      <alignment vertical="center" wrapText="1"/>
    </xf>
    <xf numFmtId="0" fontId="16" fillId="6" borderId="1" xfId="0" applyFont="1" applyFill="1" applyBorder="1" applyAlignment="1">
      <alignment horizontal="left" vertical="center" wrapText="1"/>
    </xf>
    <xf numFmtId="0" fontId="15" fillId="7" borderId="12" xfId="0" applyFont="1" applyFill="1" applyBorder="1" applyAlignment="1">
      <alignment vertical="center" wrapText="1"/>
    </xf>
    <xf numFmtId="0" fontId="16" fillId="0" borderId="1" xfId="0" applyFont="1" applyBorder="1" applyAlignment="1">
      <alignment horizontal="left" vertical="center" wrapText="1"/>
    </xf>
    <xf numFmtId="0" fontId="15" fillId="6" borderId="8" xfId="0" applyFont="1" applyFill="1" applyBorder="1" applyAlignment="1">
      <alignment vertical="center" wrapText="1"/>
    </xf>
    <xf numFmtId="0" fontId="16" fillId="6" borderId="12" xfId="0" applyFont="1" applyFill="1" applyBorder="1" applyAlignment="1">
      <alignment vertical="center" wrapText="1"/>
    </xf>
    <xf numFmtId="0" fontId="15" fillId="6" borderId="1" xfId="0" applyFont="1" applyFill="1" applyBorder="1" applyAlignment="1">
      <alignment horizontal="left" vertical="center" wrapText="1"/>
    </xf>
    <xf numFmtId="0" fontId="16" fillId="6" borderId="2" xfId="0" applyFont="1" applyFill="1" applyBorder="1" applyAlignment="1">
      <alignment vertical="center" wrapText="1"/>
    </xf>
    <xf numFmtId="0" fontId="15" fillId="6" borderId="9" xfId="0" applyFont="1" applyFill="1" applyBorder="1" applyAlignment="1">
      <alignment vertical="center" wrapText="1"/>
    </xf>
    <xf numFmtId="0" fontId="15" fillId="6" borderId="12" xfId="0" applyFont="1" applyFill="1" applyBorder="1" applyAlignment="1">
      <alignment horizontal="center" vertical="center" wrapText="1"/>
    </xf>
    <xf numFmtId="0" fontId="16" fillId="0" borderId="15" xfId="0" applyFont="1" applyBorder="1" applyAlignment="1">
      <alignment vertical="center" wrapText="1"/>
    </xf>
    <xf numFmtId="0" fontId="15" fillId="6" borderId="12" xfId="0" applyFont="1" applyFill="1" applyBorder="1" applyAlignment="1">
      <alignment vertical="center" wrapText="1"/>
    </xf>
    <xf numFmtId="0" fontId="15" fillId="0" borderId="12" xfId="0" applyFont="1" applyBorder="1" applyAlignment="1">
      <alignment vertical="center" wrapText="1"/>
    </xf>
    <xf numFmtId="0" fontId="16" fillId="0" borderId="12" xfId="0" applyFont="1" applyBorder="1" applyAlignment="1">
      <alignment vertical="center" wrapText="1"/>
    </xf>
    <xf numFmtId="0" fontId="16" fillId="0" borderId="11" xfId="0" applyFont="1" applyBorder="1" applyAlignment="1">
      <alignment vertical="center" wrapText="1"/>
    </xf>
    <xf numFmtId="0" fontId="16" fillId="6" borderId="4" xfId="0" applyFont="1" applyFill="1" applyBorder="1" applyAlignment="1">
      <alignment vertical="center" wrapText="1"/>
    </xf>
    <xf numFmtId="0" fontId="15" fillId="6" borderId="4" xfId="0" applyFont="1" applyFill="1" applyBorder="1" applyAlignment="1">
      <alignment vertical="center" wrapText="1"/>
    </xf>
    <xf numFmtId="0" fontId="15" fillId="0" borderId="4" xfId="0" applyFont="1" applyBorder="1" applyAlignment="1">
      <alignment vertical="center" wrapText="1"/>
    </xf>
    <xf numFmtId="1" fontId="16" fillId="0" borderId="1" xfId="0" applyNumberFormat="1" applyFont="1" applyBorder="1" applyAlignment="1">
      <alignment horizontal="left" vertical="center" wrapText="1"/>
    </xf>
    <xf numFmtId="0" fontId="16" fillId="6" borderId="6" xfId="0" applyFont="1" applyFill="1" applyBorder="1" applyAlignment="1">
      <alignment vertical="center" wrapText="1"/>
    </xf>
    <xf numFmtId="0" fontId="16" fillId="6" borderId="14" xfId="0" applyFont="1" applyFill="1" applyBorder="1" applyAlignment="1">
      <alignment vertical="center" wrapText="1"/>
    </xf>
    <xf numFmtId="0" fontId="7" fillId="0" borderId="12" xfId="3" applyFont="1" applyBorder="1" applyAlignment="1">
      <alignment horizontal="center" vertical="center"/>
    </xf>
    <xf numFmtId="0" fontId="16" fillId="0" borderId="6" xfId="0" applyFont="1" applyBorder="1" applyAlignment="1">
      <alignment horizontal="left" vertical="center" wrapText="1"/>
    </xf>
    <xf numFmtId="0" fontId="7" fillId="0" borderId="14" xfId="3" applyFont="1" applyBorder="1" applyAlignment="1">
      <alignment horizontal="center" vertical="center"/>
    </xf>
    <xf numFmtId="0" fontId="18" fillId="0" borderId="1" xfId="0" applyFont="1" applyBorder="1" applyAlignment="1">
      <alignment vertical="center" wrapText="1"/>
    </xf>
    <xf numFmtId="0" fontId="16" fillId="0" borderId="2" xfId="0" applyFont="1" applyBorder="1" applyAlignment="1">
      <alignment horizontal="left" vertical="center" wrapText="1"/>
    </xf>
    <xf numFmtId="0" fontId="16" fillId="6" borderId="12" xfId="0" applyFont="1" applyFill="1" applyBorder="1" applyAlignment="1">
      <alignment horizontal="center" vertical="center" wrapText="1"/>
    </xf>
    <xf numFmtId="0" fontId="0" fillId="0" borderId="12" xfId="0" applyBorder="1" applyAlignment="1">
      <alignment vertical="center"/>
    </xf>
    <xf numFmtId="0" fontId="18" fillId="0" borderId="6" xfId="0" applyFont="1" applyBorder="1" applyAlignment="1">
      <alignment vertical="center" wrapText="1"/>
    </xf>
    <xf numFmtId="0" fontId="16" fillId="0" borderId="6" xfId="0" applyFont="1" applyBorder="1" applyAlignment="1">
      <alignment vertical="center" wrapText="1"/>
    </xf>
    <xf numFmtId="0" fontId="15" fillId="6" borderId="14" xfId="0" applyFont="1" applyFill="1" applyBorder="1" applyAlignment="1">
      <alignment vertical="center" wrapText="1"/>
    </xf>
    <xf numFmtId="0" fontId="16" fillId="0" borderId="12" xfId="0" applyFont="1" applyBorder="1" applyAlignment="1">
      <alignment horizontal="left" vertical="center" wrapText="1"/>
    </xf>
    <xf numFmtId="0" fontId="15" fillId="6" borderId="8" xfId="0" applyFont="1" applyFill="1" applyBorder="1" applyAlignment="1">
      <alignment horizontal="center" vertical="center" wrapText="1"/>
    </xf>
    <xf numFmtId="0" fontId="15" fillId="6" borderId="12" xfId="0" applyFont="1" applyFill="1" applyBorder="1" applyAlignment="1">
      <alignment horizontal="left" vertical="center" wrapText="1"/>
    </xf>
    <xf numFmtId="0" fontId="7" fillId="0" borderId="12" xfId="3" applyFont="1" applyBorder="1" applyAlignment="1">
      <alignment horizontal="left" vertical="center" wrapText="1"/>
    </xf>
    <xf numFmtId="0" fontId="14" fillId="6" borderId="12" xfId="3" applyFont="1" applyFill="1" applyBorder="1" applyAlignment="1">
      <alignment vertical="center" wrapText="1"/>
    </xf>
    <xf numFmtId="0" fontId="9" fillId="0" borderId="12" xfId="3" applyFont="1" applyBorder="1" applyAlignment="1">
      <alignment vertical="center" wrapText="1"/>
    </xf>
    <xf numFmtId="0" fontId="12" fillId="0" borderId="12" xfId="3" applyFont="1" applyBorder="1" applyAlignment="1">
      <alignment vertical="center" wrapText="1"/>
    </xf>
    <xf numFmtId="0" fontId="7" fillId="0" borderId="12" xfId="3" applyFont="1" applyBorder="1" applyAlignment="1">
      <alignment vertical="center"/>
    </xf>
    <xf numFmtId="0" fontId="14" fillId="0" borderId="12" xfId="3" applyFont="1" applyBorder="1" applyAlignment="1">
      <alignment vertical="center"/>
    </xf>
    <xf numFmtId="0" fontId="9" fillId="0" borderId="12" xfId="3" applyFont="1" applyBorder="1" applyAlignment="1">
      <alignment vertical="center"/>
    </xf>
    <xf numFmtId="0" fontId="9" fillId="0" borderId="2" xfId="3" applyFont="1" applyBorder="1" applyAlignment="1">
      <alignment vertical="center" wrapText="1"/>
    </xf>
    <xf numFmtId="0" fontId="7" fillId="0" borderId="2" xfId="3" applyFont="1" applyBorder="1" applyAlignment="1">
      <alignment vertical="center"/>
    </xf>
    <xf numFmtId="0" fontId="0" fillId="0" borderId="12" xfId="0" applyBorder="1" applyAlignment="1">
      <alignment vertical="center" wrapText="1"/>
    </xf>
    <xf numFmtId="0" fontId="7" fillId="0" borderId="12" xfId="3" applyFont="1" applyBorder="1" applyAlignment="1">
      <alignment vertical="center" wrapText="1"/>
    </xf>
    <xf numFmtId="0" fontId="12" fillId="0" borderId="22" xfId="3" applyFont="1" applyBorder="1" applyAlignment="1">
      <alignment vertical="center" wrapText="1"/>
    </xf>
    <xf numFmtId="0" fontId="14" fillId="0" borderId="22" xfId="3" applyFont="1" applyBorder="1" applyAlignment="1">
      <alignment vertical="center" wrapText="1"/>
    </xf>
    <xf numFmtId="0" fontId="7" fillId="0" borderId="22" xfId="3" applyFont="1" applyBorder="1" applyAlignment="1">
      <alignment horizontal="center" vertical="center"/>
    </xf>
    <xf numFmtId="0" fontId="7" fillId="0" borderId="22" xfId="3" applyFont="1" applyBorder="1" applyAlignment="1">
      <alignment vertical="center"/>
    </xf>
    <xf numFmtId="0" fontId="7" fillId="0" borderId="15" xfId="3" applyFont="1" applyBorder="1" applyAlignment="1">
      <alignment vertical="center"/>
    </xf>
    <xf numFmtId="0" fontId="0" fillId="0" borderId="14" xfId="0" applyBorder="1" applyAlignment="1">
      <alignment vertical="center" wrapText="1"/>
    </xf>
    <xf numFmtId="0" fontId="7" fillId="0" borderId="14" xfId="3" applyFont="1" applyBorder="1" applyAlignment="1">
      <alignment vertical="center" wrapText="1"/>
    </xf>
    <xf numFmtId="0" fontId="7" fillId="0" borderId="16" xfId="3" applyFont="1" applyBorder="1" applyAlignment="1">
      <alignment horizontal="left" vertical="center" wrapText="1"/>
    </xf>
    <xf numFmtId="0" fontId="7" fillId="0" borderId="23" xfId="3" applyFont="1" applyBorder="1" applyAlignment="1">
      <alignment horizontal="left" vertical="center" wrapText="1"/>
    </xf>
    <xf numFmtId="0" fontId="0" fillId="0" borderId="15" xfId="0" applyBorder="1" applyAlignment="1">
      <alignment vertical="center"/>
    </xf>
    <xf numFmtId="0" fontId="9" fillId="0" borderId="24" xfId="3" applyFont="1" applyBorder="1" applyAlignment="1">
      <alignment vertical="center" wrapText="1"/>
    </xf>
    <xf numFmtId="0" fontId="14" fillId="0" borderId="22" xfId="3" applyFont="1" applyBorder="1" applyAlignment="1">
      <alignment vertical="center"/>
    </xf>
    <xf numFmtId="0" fontId="15" fillId="6" borderId="8" xfId="0" applyFont="1" applyFill="1" applyBorder="1" applyAlignment="1">
      <alignment horizontal="left" vertical="center" wrapText="1"/>
    </xf>
    <xf numFmtId="0" fontId="15" fillId="0" borderId="6" xfId="0" applyFont="1" applyBorder="1" applyAlignment="1">
      <alignment vertical="center" wrapText="1"/>
    </xf>
    <xf numFmtId="0" fontId="16" fillId="0" borderId="8" xfId="0" applyFont="1"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wrapText="1"/>
    </xf>
    <xf numFmtId="0" fontId="4" fillId="0" borderId="1" xfId="3" applyBorder="1"/>
    <xf numFmtId="0" fontId="0" fillId="6" borderId="1" xfId="0" applyFill="1" applyBorder="1" applyAlignment="1">
      <alignment vertical="center"/>
    </xf>
    <xf numFmtId="0" fontId="0" fillId="6" borderId="1" xfId="0" applyFill="1" applyBorder="1" applyAlignment="1">
      <alignment horizontal="left" vertical="center" wrapText="1"/>
    </xf>
    <xf numFmtId="0" fontId="0" fillId="6" borderId="1" xfId="0" applyFill="1" applyBorder="1" applyAlignment="1">
      <alignment vertical="top"/>
    </xf>
    <xf numFmtId="0" fontId="0" fillId="6" borderId="1" xfId="0" applyFill="1" applyBorder="1" applyAlignment="1">
      <alignment vertical="center" wrapText="1"/>
    </xf>
    <xf numFmtId="0" fontId="7" fillId="6" borderId="2" xfId="3" applyFont="1" applyFill="1" applyBorder="1" applyAlignment="1">
      <alignment horizontal="center" vertical="center"/>
    </xf>
    <xf numFmtId="0" fontId="0" fillId="6" borderId="0" xfId="0" applyFill="1" applyAlignment="1">
      <alignment vertical="top"/>
    </xf>
    <xf numFmtId="0" fontId="7" fillId="0" borderId="29" xfId="3" applyFont="1" applyBorder="1" applyAlignment="1">
      <alignment horizontal="left" vertical="center" wrapText="1"/>
    </xf>
    <xf numFmtId="0" fontId="14" fillId="6" borderId="7" xfId="3" applyFont="1" applyFill="1" applyBorder="1" applyAlignment="1">
      <alignment vertical="center" wrapText="1"/>
    </xf>
    <xf numFmtId="0" fontId="7" fillId="6" borderId="8" xfId="3" applyFont="1" applyFill="1" applyBorder="1" applyAlignment="1">
      <alignment horizontal="left" vertical="center" wrapText="1"/>
    </xf>
    <xf numFmtId="0" fontId="14" fillId="6" borderId="8" xfId="3" applyFont="1" applyFill="1" applyBorder="1" applyAlignment="1">
      <alignment vertical="center" wrapText="1"/>
    </xf>
    <xf numFmtId="0" fontId="14" fillId="0" borderId="8" xfId="3" applyFont="1" applyBorder="1" applyAlignment="1">
      <alignment vertical="center"/>
    </xf>
    <xf numFmtId="0" fontId="9" fillId="0" borderId="8" xfId="3" applyFont="1" applyBorder="1" applyAlignment="1">
      <alignment vertical="center" wrapText="1"/>
    </xf>
    <xf numFmtId="0" fontId="9" fillId="0" borderId="9" xfId="3" applyFont="1" applyBorder="1" applyAlignment="1">
      <alignment vertical="center" wrapText="1"/>
    </xf>
    <xf numFmtId="0" fontId="0" fillId="0" borderId="12" xfId="0" applyBorder="1"/>
    <xf numFmtId="0" fontId="0" fillId="0" borderId="14" xfId="0" applyBorder="1"/>
    <xf numFmtId="0" fontId="0" fillId="0" borderId="12" xfId="0" applyBorder="1" applyAlignment="1">
      <alignment wrapText="1"/>
    </xf>
    <xf numFmtId="0" fontId="0" fillId="0" borderId="15" xfId="0" applyBorder="1"/>
    <xf numFmtId="0" fontId="0" fillId="0" borderId="31" xfId="0" applyBorder="1"/>
    <xf numFmtId="0" fontId="0" fillId="0" borderId="15" xfId="0" applyBorder="1" applyAlignment="1">
      <alignment wrapText="1"/>
    </xf>
    <xf numFmtId="0" fontId="0" fillId="0" borderId="14" xfId="0" applyBorder="1" applyAlignment="1">
      <alignment wrapText="1"/>
    </xf>
    <xf numFmtId="0" fontId="0" fillId="6" borderId="1" xfId="0" applyFill="1" applyBorder="1" applyAlignment="1">
      <alignment vertical="top" wrapText="1"/>
    </xf>
    <xf numFmtId="0" fontId="23" fillId="8" borderId="12" xfId="3" applyFont="1" applyFill="1" applyBorder="1" applyAlignment="1">
      <alignment horizontal="left" vertical="center" wrapText="1"/>
    </xf>
    <xf numFmtId="0" fontId="22" fillId="9" borderId="12" xfId="3" applyFont="1" applyFill="1" applyBorder="1" applyAlignment="1">
      <alignment horizontal="center" vertical="center"/>
    </xf>
    <xf numFmtId="0" fontId="23" fillId="9" borderId="12" xfId="3" applyFont="1" applyFill="1" applyBorder="1" applyAlignment="1">
      <alignment vertical="center" wrapText="1"/>
    </xf>
    <xf numFmtId="0" fontId="0" fillId="6" borderId="12" xfId="0" applyFill="1" applyBorder="1" applyAlignment="1">
      <alignment vertical="center" wrapText="1"/>
    </xf>
    <xf numFmtId="0" fontId="0" fillId="0" borderId="32" xfId="0" applyBorder="1"/>
    <xf numFmtId="0" fontId="14" fillId="6" borderId="22" xfId="3" applyFont="1" applyFill="1" applyBorder="1" applyAlignment="1">
      <alignment vertical="center" wrapText="1"/>
    </xf>
    <xf numFmtId="0" fontId="9" fillId="0" borderId="22" xfId="3" applyFont="1" applyBorder="1" applyAlignment="1">
      <alignment vertical="center" wrapText="1"/>
    </xf>
    <xf numFmtId="0" fontId="0" fillId="0" borderId="16" xfId="0" applyBorder="1" applyAlignment="1">
      <alignment vertical="center" wrapText="1"/>
    </xf>
    <xf numFmtId="0" fontId="13" fillId="2" borderId="2" xfId="3" applyFont="1" applyFill="1" applyBorder="1" applyAlignment="1">
      <alignment horizontal="center" vertical="center" wrapText="1"/>
    </xf>
    <xf numFmtId="0" fontId="13" fillId="2" borderId="2" xfId="3" applyFont="1" applyFill="1" applyBorder="1" applyAlignment="1">
      <alignment horizontal="left" vertical="center" wrapText="1"/>
    </xf>
    <xf numFmtId="0" fontId="7" fillId="0" borderId="8" xfId="3" applyFont="1" applyBorder="1" applyAlignment="1">
      <alignment vertical="center"/>
    </xf>
    <xf numFmtId="0" fontId="7" fillId="6" borderId="12" xfId="3" applyFont="1" applyFill="1" applyBorder="1" applyAlignment="1">
      <alignment horizontal="left" vertical="center" wrapText="1"/>
    </xf>
    <xf numFmtId="0" fontId="15" fillId="6" borderId="6" xfId="0" applyFont="1" applyFill="1" applyBorder="1" applyAlignment="1">
      <alignment horizontal="center" vertical="center" wrapText="1"/>
    </xf>
    <xf numFmtId="0" fontId="7" fillId="0" borderId="8" xfId="3" applyFont="1" applyBorder="1" applyAlignment="1">
      <alignment vertical="center" wrapText="1"/>
    </xf>
    <xf numFmtId="0" fontId="9" fillId="0" borderId="14" xfId="3" applyFont="1" applyBorder="1" applyAlignment="1">
      <alignment vertical="center" wrapText="1"/>
    </xf>
    <xf numFmtId="0" fontId="7" fillId="0" borderId="14" xfId="3" applyFont="1" applyBorder="1" applyAlignment="1">
      <alignment vertical="center"/>
    </xf>
    <xf numFmtId="0" fontId="0" fillId="6" borderId="1" xfId="0" applyFill="1" applyBorder="1" applyAlignment="1">
      <alignment horizontal="center" vertical="center"/>
    </xf>
    <xf numFmtId="0" fontId="0" fillId="0" borderId="14" xfId="0" applyBorder="1" applyAlignment="1">
      <alignment vertical="center"/>
    </xf>
    <xf numFmtId="0" fontId="0" fillId="6" borderId="14" xfId="0" applyFill="1" applyBorder="1" applyAlignment="1">
      <alignment vertical="center" wrapText="1"/>
    </xf>
    <xf numFmtId="0" fontId="7" fillId="0" borderId="30" xfId="3" applyFont="1" applyBorder="1" applyAlignment="1">
      <alignment horizontal="center" vertical="center"/>
    </xf>
    <xf numFmtId="0" fontId="0" fillId="0" borderId="22" xfId="0" applyBorder="1" applyAlignment="1">
      <alignment vertical="center"/>
    </xf>
    <xf numFmtId="0" fontId="24" fillId="6" borderId="6" xfId="0" applyFont="1" applyFill="1" applyBorder="1" applyAlignment="1">
      <alignment horizontal="center" vertical="center" wrapText="1"/>
    </xf>
    <xf numFmtId="0" fontId="26" fillId="6" borderId="12" xfId="3" applyFont="1" applyFill="1" applyBorder="1" applyAlignment="1">
      <alignment vertical="center" wrapText="1"/>
    </xf>
    <xf numFmtId="0" fontId="23" fillId="0" borderId="12" xfId="3" applyFont="1" applyBorder="1" applyAlignment="1">
      <alignment vertical="center" wrapText="1"/>
    </xf>
    <xf numFmtId="0" fontId="22" fillId="0" borderId="12" xfId="3" applyFont="1" applyBorder="1" applyAlignment="1">
      <alignment vertical="center" wrapText="1"/>
    </xf>
    <xf numFmtId="0" fontId="26" fillId="0" borderId="12" xfId="3" applyFont="1" applyBorder="1" applyAlignment="1">
      <alignment vertical="center" wrapText="1"/>
    </xf>
    <xf numFmtId="0" fontId="0" fillId="0" borderId="12" xfId="3" applyFont="1" applyBorder="1" applyAlignment="1">
      <alignment horizontal="center" vertical="center"/>
    </xf>
    <xf numFmtId="0" fontId="0" fillId="0" borderId="12" xfId="3" applyFont="1" applyBorder="1" applyAlignment="1">
      <alignment vertical="center"/>
    </xf>
    <xf numFmtId="0" fontId="0" fillId="6" borderId="12" xfId="3" applyFont="1" applyFill="1" applyBorder="1" applyAlignment="1">
      <alignment horizontal="left" vertical="center" wrapText="1"/>
    </xf>
    <xf numFmtId="0" fontId="26" fillId="0" borderId="12" xfId="3" applyFont="1" applyBorder="1" applyAlignment="1">
      <alignment vertical="center"/>
    </xf>
    <xf numFmtId="0" fontId="23" fillId="0" borderId="12" xfId="3" applyFont="1" applyBorder="1" applyAlignment="1">
      <alignment vertical="center"/>
    </xf>
    <xf numFmtId="0" fontId="0" fillId="0" borderId="12" xfId="3" applyFont="1" applyBorder="1" applyAlignment="1">
      <alignment vertical="center" wrapText="1"/>
    </xf>
    <xf numFmtId="0" fontId="7" fillId="0" borderId="6" xfId="3" applyFont="1" applyBorder="1" applyAlignment="1">
      <alignment vertical="center" wrapText="1"/>
    </xf>
    <xf numFmtId="0" fontId="0" fillId="0" borderId="4" xfId="3" applyFont="1" applyBorder="1" applyAlignment="1">
      <alignment vertical="center" wrapText="1"/>
    </xf>
    <xf numFmtId="0" fontId="27" fillId="0" borderId="12" xfId="0" applyFont="1" applyBorder="1" applyAlignment="1">
      <alignment vertical="center" wrapText="1"/>
    </xf>
    <xf numFmtId="0" fontId="12" fillId="5" borderId="1" xfId="3" applyFont="1" applyFill="1" applyBorder="1" applyAlignment="1">
      <alignment horizontal="center" vertical="center" wrapText="1"/>
    </xf>
    <xf numFmtId="0" fontId="16" fillId="6" borderId="6" xfId="0" applyFont="1" applyFill="1" applyBorder="1" applyAlignment="1">
      <alignment horizontal="center" vertical="center" wrapText="1"/>
    </xf>
    <xf numFmtId="0" fontId="12" fillId="5" borderId="2" xfId="3" applyFont="1" applyFill="1" applyBorder="1" applyAlignment="1">
      <alignment horizontal="center" vertical="center" wrapText="1"/>
    </xf>
    <xf numFmtId="0" fontId="12" fillId="5" borderId="3" xfId="3" applyFont="1" applyFill="1" applyBorder="1" applyAlignment="1">
      <alignment horizontal="center" vertical="center" wrapText="1"/>
    </xf>
    <xf numFmtId="0" fontId="12" fillId="5" borderId="4" xfId="3" applyFont="1" applyFill="1" applyBorder="1" applyAlignment="1">
      <alignment horizontal="center" vertical="center" wrapText="1"/>
    </xf>
    <xf numFmtId="0" fontId="28" fillId="0" borderId="33" xfId="0" applyFont="1" applyBorder="1" applyAlignment="1">
      <alignment horizontal="left" vertical="center" wrapText="1"/>
    </xf>
    <xf numFmtId="0" fontId="24" fillId="6" borderId="1" xfId="0" applyFont="1" applyFill="1" applyBorder="1" applyAlignment="1">
      <alignment vertical="center" wrapText="1"/>
    </xf>
    <xf numFmtId="0" fontId="0" fillId="0" borderId="22" xfId="0" applyBorder="1" applyAlignment="1">
      <alignment horizontal="left" vertical="center" wrapText="1"/>
    </xf>
    <xf numFmtId="0" fontId="0" fillId="0" borderId="12" xfId="0" applyBorder="1" applyAlignment="1">
      <alignment horizontal="left" vertical="center" wrapText="1"/>
    </xf>
    <xf numFmtId="0" fontId="0" fillId="0" borderId="22" xfId="0" applyBorder="1" applyAlignment="1">
      <alignment horizontal="center" vertical="center"/>
    </xf>
    <xf numFmtId="0" fontId="0" fillId="0" borderId="22" xfId="0" applyBorder="1" applyAlignment="1">
      <alignment horizontal="center" vertical="center" wrapText="1"/>
    </xf>
    <xf numFmtId="0" fontId="0" fillId="0" borderId="12" xfId="0" applyBorder="1" applyAlignment="1">
      <alignment horizontal="center" vertical="center"/>
    </xf>
    <xf numFmtId="0" fontId="7" fillId="6" borderId="12" xfId="3" applyFont="1" applyFill="1" applyBorder="1" applyAlignment="1">
      <alignment horizontal="center" vertical="center"/>
    </xf>
    <xf numFmtId="0" fontId="7" fillId="6" borderId="22" xfId="3" applyFont="1" applyFill="1" applyBorder="1" applyAlignment="1">
      <alignment horizontal="center" vertical="center"/>
    </xf>
    <xf numFmtId="0" fontId="12" fillId="6" borderId="0" xfId="3" applyFont="1" applyFill="1" applyAlignment="1">
      <alignment horizontal="center" vertical="center" wrapText="1"/>
    </xf>
    <xf numFmtId="0" fontId="7" fillId="6" borderId="0" xfId="3" applyFont="1" applyFill="1" applyAlignment="1">
      <alignment horizontal="center" vertical="center"/>
    </xf>
    <xf numFmtId="0" fontId="0" fillId="6" borderId="0" xfId="0" applyFill="1" applyAlignment="1">
      <alignment vertical="center"/>
    </xf>
    <xf numFmtId="0" fontId="13" fillId="2" borderId="13" xfId="3" applyFont="1" applyFill="1"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30" fillId="0" borderId="1" xfId="0" applyFont="1" applyBorder="1" applyAlignment="1">
      <alignment wrapText="1"/>
    </xf>
    <xf numFmtId="0" fontId="12" fillId="6" borderId="12" xfId="3" applyFont="1" applyFill="1" applyBorder="1" applyAlignment="1">
      <alignment horizontal="center" vertical="center" wrapText="1"/>
    </xf>
    <xf numFmtId="0" fontId="0" fillId="0" borderId="16" xfId="0" applyBorder="1" applyAlignment="1">
      <alignment horizontal="left" vertical="center" wrapText="1"/>
    </xf>
    <xf numFmtId="0" fontId="30" fillId="0" borderId="6" xfId="0" applyFont="1" applyBorder="1" applyAlignment="1">
      <alignment wrapText="1"/>
    </xf>
    <xf numFmtId="0" fontId="0" fillId="0" borderId="16" xfId="0" applyBorder="1"/>
    <xf numFmtId="0" fontId="0" fillId="10" borderId="12" xfId="0" applyFill="1" applyBorder="1"/>
    <xf numFmtId="0" fontId="0" fillId="10" borderId="16" xfId="0" applyFill="1" applyBorder="1"/>
    <xf numFmtId="0" fontId="30" fillId="0" borderId="4" xfId="0" applyFont="1" applyBorder="1" applyAlignment="1">
      <alignment wrapText="1"/>
    </xf>
    <xf numFmtId="0" fontId="30" fillId="0" borderId="1" xfId="0" applyFont="1" applyBorder="1" applyAlignment="1">
      <alignment horizontal="center" vertical="center"/>
    </xf>
    <xf numFmtId="0" fontId="30" fillId="0" borderId="4" xfId="0" applyFont="1" applyBorder="1" applyAlignment="1">
      <alignment horizontal="center" vertical="center" wrapText="1"/>
    </xf>
    <xf numFmtId="0" fontId="30" fillId="0" borderId="4" xfId="0" applyFont="1" applyBorder="1" applyAlignment="1">
      <alignment horizontal="center" vertical="center"/>
    </xf>
    <xf numFmtId="0" fontId="21" fillId="6" borderId="12" xfId="0" applyFont="1" applyFill="1" applyBorder="1" applyAlignment="1">
      <alignment horizontal="center" vertical="center"/>
    </xf>
    <xf numFmtId="0" fontId="0" fillId="0" borderId="22" xfId="0" applyBorder="1"/>
    <xf numFmtId="0" fontId="0" fillId="0" borderId="23" xfId="0" applyBorder="1"/>
    <xf numFmtId="0" fontId="0" fillId="6" borderId="12" xfId="0" applyFill="1" applyBorder="1" applyAlignment="1">
      <alignment horizontal="center" vertical="center"/>
    </xf>
    <xf numFmtId="0" fontId="30" fillId="0" borderId="1" xfId="0" applyFont="1" applyBorder="1" applyAlignment="1">
      <alignment horizontal="center" vertical="center" wrapText="1"/>
    </xf>
    <xf numFmtId="0" fontId="30" fillId="0" borderId="1" xfId="0" applyFont="1" applyBorder="1" applyAlignment="1">
      <alignment horizontal="left" vertical="top" wrapText="1"/>
    </xf>
    <xf numFmtId="0" fontId="30" fillId="0" borderId="4" xfId="0" applyFont="1" applyBorder="1" applyAlignment="1">
      <alignment horizontal="left" vertical="top"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7" fillId="0" borderId="33" xfId="3" applyFont="1" applyBorder="1" applyAlignment="1">
      <alignment horizontal="center" vertical="center"/>
    </xf>
    <xf numFmtId="0" fontId="33" fillId="0" borderId="0" xfId="0" applyFont="1" applyAlignment="1">
      <alignment wrapText="1"/>
    </xf>
    <xf numFmtId="0" fontId="0" fillId="0" borderId="12" xfId="0" applyBorder="1" applyAlignment="1">
      <alignment horizontal="left" vertical="center"/>
    </xf>
    <xf numFmtId="0" fontId="33" fillId="0" borderId="0" xfId="0" applyFont="1"/>
    <xf numFmtId="0" fontId="0" fillId="0" borderId="14" xfId="0" applyBorder="1" applyAlignment="1">
      <alignment horizontal="left" vertical="center" wrapText="1"/>
    </xf>
    <xf numFmtId="0" fontId="12" fillId="0" borderId="14" xfId="3" applyFont="1" applyBorder="1" applyAlignment="1">
      <alignment vertical="center" wrapText="1"/>
    </xf>
    <xf numFmtId="0" fontId="14" fillId="0" borderId="14" xfId="3" applyFont="1" applyBorder="1" applyAlignment="1">
      <alignment vertical="center" wrapText="1"/>
    </xf>
    <xf numFmtId="0" fontId="14" fillId="6" borderId="15" xfId="3" applyFont="1" applyFill="1" applyBorder="1" applyAlignment="1">
      <alignment vertical="center" wrapText="1"/>
    </xf>
    <xf numFmtId="0" fontId="14" fillId="6" borderId="31" xfId="3" applyFont="1" applyFill="1" applyBorder="1" applyAlignment="1">
      <alignment vertical="center" wrapText="1"/>
    </xf>
    <xf numFmtId="0" fontId="12" fillId="0" borderId="30" xfId="3" applyFont="1" applyBorder="1" applyAlignment="1">
      <alignment vertical="center" wrapText="1"/>
    </xf>
    <xf numFmtId="0" fontId="13" fillId="2" borderId="0" xfId="3" applyFont="1" applyFill="1" applyAlignment="1">
      <alignment horizontal="center" vertical="center" wrapText="1"/>
    </xf>
    <xf numFmtId="0" fontId="7" fillId="11" borderId="8" xfId="3" applyFont="1" applyFill="1" applyBorder="1" applyAlignment="1">
      <alignment horizontal="center" vertical="center"/>
    </xf>
    <xf numFmtId="0" fontId="34" fillId="0" borderId="0" xfId="5"/>
    <xf numFmtId="0" fontId="8" fillId="0" borderId="12" xfId="3" applyFont="1" applyBorder="1" applyAlignment="1">
      <alignment horizontal="left" vertical="center" wrapText="1"/>
    </xf>
    <xf numFmtId="0" fontId="7" fillId="0" borderId="20" xfId="3" applyFont="1" applyBorder="1" applyAlignment="1">
      <alignment horizontal="center" vertical="center"/>
    </xf>
    <xf numFmtId="0" fontId="7" fillId="0" borderId="20" xfId="3" applyFont="1" applyBorder="1" applyAlignment="1">
      <alignment horizontal="center" vertical="center" wrapText="1"/>
    </xf>
    <xf numFmtId="0" fontId="0" fillId="0" borderId="31" xfId="0" applyBorder="1" applyAlignment="1">
      <alignment horizontal="left" vertical="center" wrapText="1"/>
    </xf>
    <xf numFmtId="0" fontId="14" fillId="0" borderId="8" xfId="3" applyFont="1" applyBorder="1" applyAlignment="1">
      <alignment vertical="center" wrapText="1"/>
    </xf>
    <xf numFmtId="0" fontId="8" fillId="0" borderId="36" xfId="3" applyFont="1" applyBorder="1" applyAlignment="1">
      <alignment horizontal="left" vertical="center" wrapText="1"/>
    </xf>
    <xf numFmtId="0" fontId="7" fillId="0" borderId="36" xfId="3" applyFont="1" applyBorder="1" applyAlignment="1">
      <alignment horizontal="center" vertical="center" wrapText="1"/>
    </xf>
    <xf numFmtId="0" fontId="12" fillId="0" borderId="32" xfId="3" applyFont="1" applyBorder="1" applyAlignment="1">
      <alignment vertical="center" wrapText="1"/>
    </xf>
    <xf numFmtId="0" fontId="0" fillId="0" borderId="37" xfId="0" applyBorder="1" applyAlignment="1">
      <alignment horizontal="left" vertical="center" wrapText="1"/>
    </xf>
    <xf numFmtId="0" fontId="7" fillId="0" borderId="20" xfId="3" applyFont="1" applyBorder="1" applyAlignment="1">
      <alignment vertical="center" wrapText="1"/>
    </xf>
    <xf numFmtId="0" fontId="7" fillId="0" borderId="30" xfId="3" applyFont="1" applyBorder="1" applyAlignment="1">
      <alignment vertical="center" wrapText="1"/>
    </xf>
    <xf numFmtId="0" fontId="8" fillId="0" borderId="16" xfId="3" applyFont="1" applyBorder="1" applyAlignment="1">
      <alignment horizontal="left" vertical="center" wrapText="1"/>
    </xf>
    <xf numFmtId="0" fontId="4" fillId="0" borderId="39" xfId="3" applyBorder="1"/>
    <xf numFmtId="0" fontId="29" fillId="0" borderId="40" xfId="3" applyFont="1" applyBorder="1"/>
    <xf numFmtId="0" fontId="29" fillId="0" borderId="41" xfId="3" applyFont="1" applyBorder="1"/>
    <xf numFmtId="0" fontId="21" fillId="0" borderId="42" xfId="3" applyFont="1" applyBorder="1"/>
    <xf numFmtId="0" fontId="21" fillId="0" borderId="43" xfId="3" applyFont="1" applyBorder="1"/>
    <xf numFmtId="0" fontId="21" fillId="0" borderId="44" xfId="3" applyFont="1" applyBorder="1"/>
    <xf numFmtId="0" fontId="21" fillId="0" borderId="44" xfId="0" applyFont="1" applyBorder="1"/>
    <xf numFmtId="0" fontId="21" fillId="0" borderId="45" xfId="0" applyFont="1" applyBorder="1"/>
    <xf numFmtId="9" fontId="4" fillId="0" borderId="6" xfId="3" applyNumberFormat="1" applyBorder="1"/>
    <xf numFmtId="9" fontId="29" fillId="0" borderId="46" xfId="3" applyNumberFormat="1" applyFont="1" applyBorder="1"/>
    <xf numFmtId="0" fontId="4" fillId="0" borderId="47" xfId="3" applyBorder="1"/>
    <xf numFmtId="0" fontId="4" fillId="0" borderId="48" xfId="3" applyBorder="1"/>
    <xf numFmtId="9" fontId="4" fillId="0" borderId="49" xfId="3" applyNumberFormat="1" applyBorder="1"/>
    <xf numFmtId="0" fontId="21" fillId="0" borderId="52" xfId="3" applyFont="1" applyBorder="1"/>
    <xf numFmtId="0" fontId="21" fillId="0" borderId="53" xfId="3" applyFont="1" applyBorder="1"/>
    <xf numFmtId="0" fontId="21" fillId="0" borderId="54" xfId="3" applyFont="1" applyBorder="1"/>
    <xf numFmtId="10" fontId="0" fillId="0" borderId="50" xfId="0" applyNumberFormat="1" applyBorder="1"/>
    <xf numFmtId="0" fontId="21" fillId="0" borderId="55" xfId="0" applyFont="1" applyBorder="1"/>
    <xf numFmtId="9" fontId="21" fillId="0" borderId="51" xfId="0" applyNumberFormat="1" applyFont="1" applyBorder="1"/>
    <xf numFmtId="0" fontId="0" fillId="0" borderId="14" xfId="0" applyBorder="1" applyAlignment="1">
      <alignment horizontal="center" vertical="center"/>
    </xf>
    <xf numFmtId="0" fontId="0" fillId="0" borderId="20" xfId="0" applyBorder="1" applyAlignment="1">
      <alignment horizontal="center" vertical="center"/>
    </xf>
    <xf numFmtId="0" fontId="15" fillId="6" borderId="2"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6" fillId="6" borderId="3"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6" fillId="6" borderId="14" xfId="0" applyFont="1" applyFill="1" applyBorder="1" applyAlignment="1">
      <alignment horizontal="left" vertical="center" wrapText="1"/>
    </xf>
    <xf numFmtId="0" fontId="16" fillId="6" borderId="21" xfId="0" applyFont="1" applyFill="1" applyBorder="1" applyAlignment="1">
      <alignment horizontal="center" vertical="center" wrapText="1"/>
    </xf>
    <xf numFmtId="0" fontId="16" fillId="0" borderId="14" xfId="0" applyFont="1" applyBorder="1" applyAlignment="1">
      <alignment horizontal="left" vertical="center" wrapText="1"/>
    </xf>
    <xf numFmtId="0" fontId="16" fillId="0" borderId="22" xfId="0" applyFont="1" applyBorder="1" applyAlignment="1">
      <alignment horizontal="left" vertical="center" wrapText="1"/>
    </xf>
    <xf numFmtId="0" fontId="16" fillId="0" borderId="20" xfId="0" applyFont="1" applyBorder="1" applyAlignment="1">
      <alignment horizontal="left" vertical="center" wrapText="1"/>
    </xf>
    <xf numFmtId="0" fontId="15" fillId="6" borderId="27" xfId="0" applyFont="1" applyFill="1" applyBorder="1" applyAlignment="1">
      <alignment horizontal="left" vertical="center" wrapText="1"/>
    </xf>
    <xf numFmtId="0" fontId="15" fillId="6" borderId="18" xfId="0" applyFont="1" applyFill="1" applyBorder="1" applyAlignment="1">
      <alignment horizontal="left" vertical="center" wrapText="1"/>
    </xf>
    <xf numFmtId="0" fontId="15" fillId="6" borderId="28" xfId="0" applyFont="1" applyFill="1" applyBorder="1" applyAlignment="1">
      <alignment horizontal="left" vertical="center" wrapText="1"/>
    </xf>
    <xf numFmtId="0" fontId="16" fillId="0" borderId="18" xfId="0" applyFont="1" applyBorder="1" applyAlignment="1">
      <alignment horizontal="left" vertical="center" wrapText="1"/>
    </xf>
    <xf numFmtId="0" fontId="15" fillId="6" borderId="20"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16" fillId="6" borderId="27" xfId="0" applyFont="1" applyFill="1" applyBorder="1" applyAlignment="1">
      <alignment horizontal="left" vertical="center" wrapText="1"/>
    </xf>
    <xf numFmtId="0" fontId="16" fillId="6" borderId="18" xfId="0" applyFont="1" applyFill="1" applyBorder="1" applyAlignment="1">
      <alignment horizontal="left" vertical="center" wrapText="1"/>
    </xf>
    <xf numFmtId="0" fontId="16" fillId="6" borderId="20" xfId="0" applyFont="1" applyFill="1" applyBorder="1" applyAlignment="1">
      <alignment horizontal="left" vertical="center" wrapText="1"/>
    </xf>
    <xf numFmtId="0" fontId="16" fillId="6" borderId="22" xfId="0" applyFont="1" applyFill="1" applyBorder="1" applyAlignment="1">
      <alignment horizontal="left" vertical="center" wrapText="1"/>
    </xf>
    <xf numFmtId="0" fontId="19" fillId="6" borderId="14" xfId="0" applyFont="1" applyFill="1" applyBorder="1" applyAlignment="1">
      <alignment horizontal="left" vertical="top" wrapText="1"/>
    </xf>
    <xf numFmtId="0" fontId="19" fillId="6" borderId="20" xfId="0" applyFont="1" applyFill="1" applyBorder="1" applyAlignment="1">
      <alignment horizontal="left" vertical="top" wrapText="1"/>
    </xf>
    <xf numFmtId="0" fontId="19" fillId="6" borderId="37" xfId="0" applyFont="1" applyFill="1" applyBorder="1" applyAlignment="1">
      <alignment horizontal="left" vertical="top" wrapText="1"/>
    </xf>
    <xf numFmtId="0" fontId="19" fillId="6" borderId="20" xfId="0" applyFont="1" applyFill="1" applyBorder="1" applyAlignment="1">
      <alignment horizontal="left" vertical="center" wrapText="1"/>
    </xf>
    <xf numFmtId="0" fontId="19" fillId="6" borderId="22" xfId="0" applyFont="1" applyFill="1" applyBorder="1" applyAlignment="1">
      <alignment horizontal="left" vertical="center" wrapText="1"/>
    </xf>
    <xf numFmtId="0" fontId="16" fillId="6" borderId="18" xfId="0" applyFont="1" applyFill="1" applyBorder="1" applyAlignment="1">
      <alignment horizontal="center" vertical="center"/>
    </xf>
    <xf numFmtId="0" fontId="16" fillId="6" borderId="28" xfId="0" applyFont="1" applyFill="1" applyBorder="1" applyAlignment="1">
      <alignment horizontal="center" vertical="center"/>
    </xf>
    <xf numFmtId="0" fontId="7" fillId="0" borderId="3" xfId="3" applyFont="1" applyBorder="1" applyAlignment="1">
      <alignment horizontal="center" vertical="center"/>
    </xf>
    <xf numFmtId="0" fontId="15" fillId="6" borderId="4" xfId="0" applyFont="1" applyFill="1" applyBorder="1" applyAlignment="1">
      <alignment horizontal="left" vertical="center" wrapText="1"/>
    </xf>
    <xf numFmtId="0" fontId="0" fillId="0" borderId="1" xfId="0" applyBorder="1" applyAlignment="1">
      <alignment horizontal="center" vertical="center" wrapText="1"/>
    </xf>
    <xf numFmtId="0" fontId="16" fillId="6" borderId="1" xfId="0" applyFont="1" applyFill="1" applyBorder="1" applyAlignment="1">
      <alignment horizontal="center" vertical="center" wrapText="1"/>
    </xf>
    <xf numFmtId="0" fontId="16" fillId="0" borderId="9" xfId="0" applyFont="1" applyBorder="1" applyAlignment="1">
      <alignment vertical="center" wrapText="1"/>
    </xf>
    <xf numFmtId="0" fontId="16" fillId="0" borderId="2" xfId="0" applyFont="1" applyBorder="1" applyAlignment="1">
      <alignment vertical="center" wrapText="1"/>
    </xf>
    <xf numFmtId="1" fontId="16" fillId="0" borderId="2" xfId="0" applyNumberFormat="1" applyFont="1" applyBorder="1" applyAlignment="1">
      <alignment horizontal="left" vertical="center" wrapText="1"/>
    </xf>
    <xf numFmtId="0" fontId="18" fillId="0" borderId="2" xfId="0" applyFont="1" applyBorder="1" applyAlignment="1">
      <alignment vertical="center" wrapText="1"/>
    </xf>
    <xf numFmtId="0" fontId="15" fillId="0" borderId="2" xfId="0" applyFont="1" applyBorder="1" applyAlignment="1">
      <alignment vertical="center" wrapText="1"/>
    </xf>
    <xf numFmtId="0" fontId="15" fillId="6" borderId="11" xfId="0" applyFont="1" applyFill="1" applyBorder="1" applyAlignment="1">
      <alignment horizontal="center" vertical="center" wrapText="1"/>
    </xf>
    <xf numFmtId="0" fontId="9" fillId="0" borderId="3" xfId="3" applyFont="1" applyBorder="1" applyAlignment="1">
      <alignment horizontal="left" vertical="center" wrapText="1"/>
    </xf>
    <xf numFmtId="0" fontId="7" fillId="0" borderId="4" xfId="3" applyFont="1" applyBorder="1" applyAlignment="1">
      <alignment horizontal="center" vertical="center"/>
    </xf>
    <xf numFmtId="0" fontId="7" fillId="0" borderId="3" xfId="3" applyFont="1" applyBorder="1" applyAlignment="1">
      <alignment horizontal="center" vertical="center" wrapText="1"/>
    </xf>
    <xf numFmtId="0" fontId="7" fillId="0" borderId="4" xfId="3" applyFont="1" applyBorder="1" applyAlignment="1">
      <alignment horizontal="center" vertical="center" wrapText="1"/>
    </xf>
    <xf numFmtId="0" fontId="7" fillId="0" borderId="1" xfId="3" applyFont="1" applyBorder="1" applyAlignment="1">
      <alignment horizontal="center" vertical="center"/>
    </xf>
    <xf numFmtId="0" fontId="0" fillId="6" borderId="12" xfId="3" applyFont="1" applyFill="1" applyBorder="1" applyAlignment="1">
      <alignment horizontal="center" vertical="center"/>
    </xf>
    <xf numFmtId="0" fontId="35" fillId="6" borderId="1" xfId="0" applyFont="1" applyFill="1" applyBorder="1" applyAlignment="1">
      <alignment horizontal="center" vertical="center" wrapText="1"/>
    </xf>
    <xf numFmtId="0" fontId="7" fillId="0" borderId="1" xfId="3" applyFont="1" applyBorder="1" applyAlignment="1">
      <alignment horizontal="center" vertical="center" wrapText="1"/>
    </xf>
    <xf numFmtId="0" fontId="0" fillId="0" borderId="1" xfId="3" applyFont="1" applyBorder="1" applyAlignment="1">
      <alignment horizontal="center" vertical="center" wrapText="1"/>
    </xf>
    <xf numFmtId="0" fontId="23" fillId="0" borderId="1" xfId="3" applyFont="1" applyBorder="1" applyAlignment="1">
      <alignment vertical="center" wrapText="1"/>
    </xf>
    <xf numFmtId="0" fontId="9" fillId="0" borderId="12" xfId="3" applyFont="1" applyBorder="1" applyAlignment="1">
      <alignment horizontal="left" vertical="center" wrapText="1"/>
    </xf>
    <xf numFmtId="0" fontId="23" fillId="0" borderId="12" xfId="3" applyFont="1" applyBorder="1" applyAlignment="1">
      <alignment horizontal="left" vertical="center" wrapText="1"/>
    </xf>
    <xf numFmtId="0" fontId="26" fillId="6" borderId="6" xfId="3" applyFont="1" applyFill="1" applyBorder="1" applyAlignment="1">
      <alignment vertical="center" wrapText="1"/>
    </xf>
    <xf numFmtId="0" fontId="22" fillId="0" borderId="1" xfId="3" applyFont="1" applyBorder="1" applyAlignment="1">
      <alignment vertical="center" wrapText="1"/>
    </xf>
    <xf numFmtId="0" fontId="0" fillId="0" borderId="1" xfId="3" applyFont="1" applyBorder="1" applyAlignment="1">
      <alignment vertical="center" wrapText="1"/>
    </xf>
    <xf numFmtId="0" fontId="23" fillId="0" borderId="3" xfId="3" applyFont="1" applyBorder="1" applyAlignment="1">
      <alignment horizontal="left" vertical="center" wrapText="1"/>
    </xf>
    <xf numFmtId="0" fontId="0" fillId="0" borderId="1" xfId="3" applyFont="1" applyBorder="1" applyAlignment="1">
      <alignment vertical="center"/>
    </xf>
    <xf numFmtId="0" fontId="0" fillId="6" borderId="1" xfId="3" applyFont="1" applyFill="1" applyBorder="1" applyAlignment="1">
      <alignment horizontal="left" vertical="center" wrapText="1"/>
    </xf>
    <xf numFmtId="0" fontId="26" fillId="6" borderId="1" xfId="3" applyFont="1" applyFill="1" applyBorder="1" applyAlignment="1">
      <alignment vertical="center" wrapText="1"/>
    </xf>
    <xf numFmtId="0" fontId="23" fillId="0" borderId="1" xfId="3" applyFont="1" applyBorder="1" applyAlignment="1">
      <alignment vertical="center"/>
    </xf>
    <xf numFmtId="0" fontId="26" fillId="0" borderId="1" xfId="3" applyFont="1" applyBorder="1" applyAlignment="1">
      <alignment vertical="center" wrapText="1"/>
    </xf>
    <xf numFmtId="0" fontId="34" fillId="0" borderId="1" xfId="5" applyBorder="1" applyAlignment="1">
      <alignment vertical="center" wrapText="1"/>
    </xf>
    <xf numFmtId="0" fontId="0" fillId="0" borderId="0" xfId="0" applyAlignment="1">
      <alignment wrapText="1"/>
    </xf>
    <xf numFmtId="0" fontId="0" fillId="0" borderId="13" xfId="3" applyFont="1" applyBorder="1" applyAlignment="1">
      <alignment horizontal="center" vertical="center"/>
    </xf>
    <xf numFmtId="0" fontId="22" fillId="0" borderId="0" xfId="3" applyFont="1" applyAlignment="1">
      <alignment horizontal="center" vertical="center" wrapText="1"/>
    </xf>
    <xf numFmtId="0" fontId="0" fillId="0" borderId="15" xfId="0" applyBorder="1" applyAlignment="1">
      <alignment horizontal="center" vertical="center" wrapText="1"/>
    </xf>
    <xf numFmtId="0" fontId="23" fillId="0" borderId="12" xfId="0" applyFont="1" applyBorder="1" applyAlignment="1">
      <alignment horizontal="left" vertical="center" wrapText="1"/>
    </xf>
    <xf numFmtId="0" fontId="9" fillId="0" borderId="12" xfId="0" applyFont="1" applyBorder="1" applyAlignment="1">
      <alignment horizontal="left" vertical="center" wrapText="1"/>
    </xf>
    <xf numFmtId="0" fontId="25" fillId="0" borderId="12" xfId="3" applyFont="1" applyBorder="1" applyAlignment="1">
      <alignment horizontal="left" vertical="center" wrapText="1"/>
    </xf>
    <xf numFmtId="0" fontId="0" fillId="0" borderId="2" xfId="3" applyFont="1" applyBorder="1" applyAlignment="1">
      <alignment horizontal="center" vertical="center"/>
    </xf>
    <xf numFmtId="0" fontId="26" fillId="0" borderId="0" xfId="3" applyFont="1" applyAlignment="1">
      <alignment vertical="center"/>
    </xf>
    <xf numFmtId="0" fontId="0" fillId="0" borderId="0" xfId="3" applyFont="1" applyAlignment="1">
      <alignment horizontal="center" vertical="center"/>
    </xf>
    <xf numFmtId="0" fontId="0" fillId="11" borderId="8" xfId="3" applyFont="1" applyFill="1" applyBorder="1" applyAlignment="1">
      <alignment horizontal="center" vertical="center"/>
    </xf>
    <xf numFmtId="0" fontId="0" fillId="0" borderId="8" xfId="3" applyFont="1" applyBorder="1" applyAlignment="1">
      <alignment vertical="center"/>
    </xf>
    <xf numFmtId="0" fontId="22" fillId="0" borderId="30" xfId="3" applyFont="1" applyBorder="1" applyAlignment="1">
      <alignment vertical="center" wrapText="1"/>
    </xf>
    <xf numFmtId="0" fontId="0" fillId="0" borderId="30" xfId="3" applyFont="1" applyBorder="1" applyAlignment="1">
      <alignment vertical="center" wrapText="1"/>
    </xf>
    <xf numFmtId="0" fontId="0" fillId="0" borderId="30" xfId="3" applyFont="1" applyBorder="1" applyAlignment="1">
      <alignment horizontal="center" vertical="center"/>
    </xf>
    <xf numFmtId="0" fontId="0" fillId="0" borderId="20" xfId="3" applyFont="1" applyBorder="1" applyAlignment="1">
      <alignment horizontal="center" vertical="center" wrapText="1"/>
    </xf>
    <xf numFmtId="0" fontId="26" fillId="6" borderId="31" xfId="3" applyFont="1" applyFill="1" applyBorder="1" applyAlignment="1">
      <alignment vertical="center" wrapText="1"/>
    </xf>
    <xf numFmtId="0" fontId="7" fillId="0" borderId="9" xfId="3" applyFont="1" applyBorder="1" applyAlignment="1">
      <alignment vertical="center"/>
    </xf>
    <xf numFmtId="0" fontId="26" fillId="0" borderId="8" xfId="3" applyFont="1" applyBorder="1" applyAlignment="1">
      <alignment vertical="center" wrapText="1"/>
    </xf>
    <xf numFmtId="0" fontId="25" fillId="0" borderId="36" xfId="3" applyFont="1" applyBorder="1" applyAlignment="1">
      <alignment horizontal="left" vertical="center" wrapText="1"/>
    </xf>
    <xf numFmtId="0" fontId="23" fillId="0" borderId="8" xfId="3" applyFont="1" applyBorder="1" applyAlignment="1">
      <alignment vertical="center" wrapText="1"/>
    </xf>
    <xf numFmtId="0" fontId="0" fillId="0" borderId="14" xfId="3" applyFont="1" applyBorder="1" applyAlignment="1">
      <alignment vertical="center" wrapText="1"/>
    </xf>
    <xf numFmtId="0" fontId="22" fillId="0" borderId="32" xfId="3" applyFont="1" applyBorder="1" applyAlignment="1">
      <alignment vertical="center" wrapText="1"/>
    </xf>
    <xf numFmtId="0" fontId="25" fillId="0" borderId="16" xfId="3" applyFont="1" applyBorder="1" applyAlignment="1">
      <alignment horizontal="left" vertical="center" wrapText="1"/>
    </xf>
    <xf numFmtId="0" fontId="0" fillId="0" borderId="20" xfId="3" applyFont="1" applyBorder="1" applyAlignment="1">
      <alignment vertical="center" wrapText="1"/>
    </xf>
    <xf numFmtId="0" fontId="0" fillId="0" borderId="1" xfId="3" applyFont="1" applyBorder="1" applyAlignment="1">
      <alignment horizontal="center" vertical="center"/>
    </xf>
    <xf numFmtId="0" fontId="0" fillId="0" borderId="12" xfId="3" applyFont="1" applyBorder="1" applyAlignment="1">
      <alignment horizontal="center" vertical="center" wrapText="1"/>
    </xf>
    <xf numFmtId="0" fontId="9" fillId="0" borderId="4" xfId="3" applyFont="1" applyBorder="1" applyAlignment="1">
      <alignment vertical="center" wrapText="1"/>
    </xf>
    <xf numFmtId="0" fontId="26" fillId="0" borderId="14" xfId="3" applyFont="1" applyBorder="1" applyAlignment="1">
      <alignment vertical="center" wrapText="1"/>
    </xf>
    <xf numFmtId="0" fontId="23" fillId="0" borderId="4" xfId="3" applyFont="1" applyBorder="1" applyAlignment="1">
      <alignment vertical="center" wrapText="1"/>
    </xf>
    <xf numFmtId="0" fontId="26" fillId="0" borderId="1" xfId="3" applyFont="1" applyBorder="1" applyAlignment="1">
      <alignment vertical="center"/>
    </xf>
    <xf numFmtId="0" fontId="9" fillId="0" borderId="8" xfId="3" applyFont="1" applyBorder="1" applyAlignment="1">
      <alignment vertical="center"/>
    </xf>
    <xf numFmtId="0" fontId="0" fillId="0" borderId="16" xfId="0" applyBorder="1" applyAlignment="1">
      <alignment horizontal="center" vertical="center" wrapText="1"/>
    </xf>
    <xf numFmtId="0" fontId="7" fillId="0" borderId="6" xfId="3" applyFont="1" applyBorder="1" applyAlignment="1">
      <alignment vertical="center"/>
    </xf>
    <xf numFmtId="0" fontId="0" fillId="0" borderId="6" xfId="3" applyFont="1" applyBorder="1" applyAlignment="1">
      <alignment vertical="center"/>
    </xf>
    <xf numFmtId="0" fontId="7" fillId="0" borderId="8" xfId="3" applyFont="1" applyBorder="1" applyAlignment="1">
      <alignment horizontal="center" vertical="center"/>
    </xf>
    <xf numFmtId="0" fontId="0" fillId="0" borderId="8" xfId="3" applyFont="1" applyBorder="1" applyAlignment="1">
      <alignment horizontal="center" vertical="center"/>
    </xf>
    <xf numFmtId="0" fontId="23" fillId="0" borderId="12" xfId="0" applyFont="1" applyBorder="1" applyAlignment="1">
      <alignment vertical="center" wrapText="1"/>
    </xf>
    <xf numFmtId="0" fontId="0" fillId="0" borderId="13" xfId="3" applyFont="1" applyBorder="1" applyAlignment="1">
      <alignment horizontal="center" vertical="center" wrapText="1"/>
    </xf>
    <xf numFmtId="0" fontId="9" fillId="0" borderId="6" xfId="3" applyFont="1" applyBorder="1" applyAlignment="1">
      <alignment vertical="center" wrapText="1"/>
    </xf>
    <xf numFmtId="0" fontId="7" fillId="0" borderId="2" xfId="3" applyFont="1" applyBorder="1" applyAlignment="1">
      <alignment horizontal="center" vertical="center" wrapText="1"/>
    </xf>
    <xf numFmtId="0" fontId="0" fillId="0" borderId="14" xfId="0" applyBorder="1" applyAlignment="1">
      <alignment horizontal="center" vertical="center" wrapText="1"/>
    </xf>
    <xf numFmtId="0" fontId="7" fillId="0" borderId="12" xfId="3" applyFont="1" applyBorder="1" applyAlignment="1">
      <alignment horizontal="center" vertical="center" wrapText="1"/>
    </xf>
    <xf numFmtId="0" fontId="7" fillId="0" borderId="9" xfId="3" applyFont="1" applyBorder="1" applyAlignment="1">
      <alignment horizontal="center" vertical="center" wrapText="1"/>
    </xf>
    <xf numFmtId="0" fontId="34" fillId="0" borderId="0" xfId="5" applyAlignment="1">
      <alignment horizontal="center" vertical="center"/>
    </xf>
    <xf numFmtId="0" fontId="0" fillId="0" borderId="15" xfId="0" applyBorder="1" applyAlignment="1">
      <alignment horizontal="center" vertical="center"/>
    </xf>
    <xf numFmtId="0" fontId="3" fillId="4" borderId="0" xfId="3" applyFont="1" applyFill="1"/>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1"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 fontId="4" fillId="0" borderId="1" xfId="4" applyNumberFormat="1" applyFont="1" applyBorder="1" applyAlignment="1">
      <alignment horizontal="center" vertical="center" wrapText="1"/>
    </xf>
    <xf numFmtId="164" fontId="4" fillId="0" borderId="1" xfId="4" applyNumberFormat="1" applyFont="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1"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1" fontId="4" fillId="0" borderId="1" xfId="4" applyNumberFormat="1" applyFont="1" applyBorder="1" applyAlignment="1">
      <alignment horizontal="center" vertical="center"/>
    </xf>
    <xf numFmtId="0" fontId="7" fillId="0" borderId="8" xfId="3" applyFont="1" applyBorder="1" applyAlignment="1">
      <alignment horizontal="center" vertical="center" wrapText="1"/>
    </xf>
    <xf numFmtId="0" fontId="37" fillId="0" borderId="0" xfId="0" applyFont="1" applyAlignment="1">
      <alignment wrapText="1"/>
    </xf>
    <xf numFmtId="0" fontId="34" fillId="0" borderId="0" xfId="5" applyAlignment="1">
      <alignment horizontal="center" vertical="center" wrapText="1"/>
    </xf>
    <xf numFmtId="0" fontId="38" fillId="0" borderId="0" xfId="5" applyFont="1" applyAlignment="1">
      <alignment horizontal="center" vertical="center" wrapText="1"/>
    </xf>
    <xf numFmtId="0" fontId="0" fillId="0" borderId="12" xfId="0" applyBorder="1" applyAlignment="1">
      <alignment horizontal="center"/>
    </xf>
    <xf numFmtId="0" fontId="34" fillId="0" borderId="0" xfId="5" applyAlignment="1">
      <alignment horizontal="center"/>
    </xf>
    <xf numFmtId="0" fontId="0" fillId="0" borderId="0" xfId="0" applyAlignment="1">
      <alignment horizontal="center"/>
    </xf>
    <xf numFmtId="0" fontId="25" fillId="0" borderId="15" xfId="3" applyFont="1" applyBorder="1" applyAlignment="1">
      <alignment horizontal="center" vertical="center" wrapText="1"/>
    </xf>
    <xf numFmtId="0" fontId="25" fillId="0" borderId="31" xfId="3" applyFont="1" applyBorder="1" applyAlignment="1">
      <alignment horizontal="center" vertical="center" wrapText="1"/>
    </xf>
    <xf numFmtId="0" fontId="25" fillId="0" borderId="12" xfId="3" applyFont="1" applyBorder="1" applyAlignment="1">
      <alignment horizontal="center" vertical="center" wrapText="1"/>
    </xf>
    <xf numFmtId="0" fontId="25" fillId="0" borderId="14" xfId="3" applyFont="1" applyBorder="1" applyAlignment="1">
      <alignment horizontal="center" vertical="center" wrapText="1"/>
    </xf>
    <xf numFmtId="0" fontId="25" fillId="0" borderId="24" xfId="3" applyFont="1" applyBorder="1" applyAlignment="1">
      <alignment horizontal="center" vertical="center" wrapText="1"/>
    </xf>
    <xf numFmtId="0" fontId="0" fillId="0" borderId="30" xfId="0" applyBorder="1" applyAlignment="1">
      <alignment horizontal="center" vertical="center" wrapText="1"/>
    </xf>
    <xf numFmtId="0" fontId="0" fillId="0" borderId="36" xfId="0" applyBorder="1" applyAlignment="1">
      <alignment horizontal="center" vertical="center" wrapText="1"/>
    </xf>
    <xf numFmtId="0" fontId="0" fillId="0" borderId="23" xfId="0" applyBorder="1" applyAlignment="1">
      <alignment horizontal="center" vertical="center" wrapText="1"/>
    </xf>
    <xf numFmtId="0" fontId="25" fillId="0" borderId="37" xfId="3" applyFont="1" applyBorder="1" applyAlignment="1">
      <alignment horizontal="center" vertical="center" wrapText="1"/>
    </xf>
    <xf numFmtId="0" fontId="25" fillId="0" borderId="20" xfId="3" applyFont="1" applyBorder="1" applyAlignment="1">
      <alignment horizontal="center" vertical="center" wrapText="1"/>
    </xf>
    <xf numFmtId="0" fontId="25" fillId="0" borderId="22" xfId="3" applyFont="1" applyBorder="1" applyAlignment="1">
      <alignment horizontal="center" vertical="center" wrapText="1"/>
    </xf>
    <xf numFmtId="0" fontId="0" fillId="0" borderId="12" xfId="0" applyBorder="1" applyAlignment="1">
      <alignment horizontal="center" wrapText="1"/>
    </xf>
    <xf numFmtId="0" fontId="12" fillId="5" borderId="12" xfId="3" applyFont="1" applyFill="1" applyBorder="1" applyAlignment="1">
      <alignment horizontal="center" vertical="center" wrapText="1"/>
    </xf>
    <xf numFmtId="0" fontId="12" fillId="5" borderId="14" xfId="3" applyFont="1" applyFill="1" applyBorder="1" applyAlignment="1">
      <alignment horizontal="center" vertical="center" wrapText="1"/>
    </xf>
    <xf numFmtId="0" fontId="12" fillId="5" borderId="20" xfId="3" applyFont="1" applyFill="1" applyBorder="1" applyAlignment="1">
      <alignment horizontal="center" vertical="center" wrapText="1"/>
    </xf>
    <xf numFmtId="0" fontId="0" fillId="0" borderId="12" xfId="3" applyFont="1" applyBorder="1" applyAlignment="1">
      <alignment horizontal="center" vertical="center" wrapText="1"/>
    </xf>
    <xf numFmtId="0" fontId="0" fillId="0" borderId="12" xfId="3" applyFont="1" applyBorder="1" applyAlignment="1">
      <alignment horizontal="center" vertical="center"/>
    </xf>
    <xf numFmtId="0" fontId="0" fillId="0" borderId="12" xfId="0" applyBorder="1" applyAlignment="1">
      <alignment horizontal="left" vertical="center" wrapText="1"/>
    </xf>
    <xf numFmtId="0" fontId="8" fillId="0" borderId="22" xfId="3" applyFont="1" applyBorder="1" applyAlignment="1">
      <alignment horizontal="center" vertical="center" wrapText="1"/>
    </xf>
    <xf numFmtId="0" fontId="8" fillId="0" borderId="12" xfId="3" applyFont="1" applyBorder="1" applyAlignment="1">
      <alignment horizontal="center" vertical="center" wrapText="1"/>
    </xf>
    <xf numFmtId="0" fontId="8" fillId="0" borderId="14" xfId="3" applyFont="1" applyBorder="1" applyAlignment="1">
      <alignment horizontal="center" vertical="center" wrapText="1"/>
    </xf>
    <xf numFmtId="0" fontId="8" fillId="0" borderId="15" xfId="3" applyFont="1" applyBorder="1" applyAlignment="1">
      <alignment horizontal="center" vertical="center" wrapText="1"/>
    </xf>
    <xf numFmtId="0" fontId="8" fillId="0" borderId="31" xfId="3" applyFont="1" applyBorder="1" applyAlignment="1">
      <alignment horizontal="center" vertical="center" wrapText="1"/>
    </xf>
    <xf numFmtId="0" fontId="7" fillId="0" borderId="14" xfId="3" applyFont="1" applyBorder="1" applyAlignment="1">
      <alignment horizontal="center" vertical="center" wrapText="1"/>
    </xf>
    <xf numFmtId="0" fontId="7" fillId="0" borderId="20" xfId="3" applyFont="1" applyBorder="1" applyAlignment="1">
      <alignment horizontal="center" vertical="center" wrapText="1"/>
    </xf>
    <xf numFmtId="0" fontId="7" fillId="0" borderId="16" xfId="3" applyFont="1" applyBorder="1" applyAlignment="1">
      <alignment horizontal="center" vertical="center"/>
    </xf>
    <xf numFmtId="0" fontId="13" fillId="2" borderId="25" xfId="3" applyFont="1" applyFill="1" applyBorder="1" applyAlignment="1">
      <alignment horizontal="center" vertical="center" wrapText="1"/>
    </xf>
    <xf numFmtId="0" fontId="13" fillId="2" borderId="38" xfId="3" applyFont="1" applyFill="1" applyBorder="1" applyAlignment="1">
      <alignment horizontal="center" vertical="center" wrapText="1"/>
    </xf>
    <xf numFmtId="0" fontId="13" fillId="2" borderId="35" xfId="3" applyFont="1" applyFill="1" applyBorder="1" applyAlignment="1">
      <alignment horizontal="center" vertical="center" wrapText="1"/>
    </xf>
    <xf numFmtId="0" fontId="36" fillId="2" borderId="38" xfId="3" applyFont="1" applyFill="1" applyBorder="1" applyAlignment="1">
      <alignment horizontal="center" vertical="center" wrapText="1"/>
    </xf>
    <xf numFmtId="0" fontId="36" fillId="2" borderId="35" xfId="3" applyFont="1" applyFill="1" applyBorder="1" applyAlignment="1">
      <alignment horizontal="center" vertical="center" wrapText="1"/>
    </xf>
    <xf numFmtId="0" fontId="5" fillId="3" borderId="6" xfId="3" applyFont="1" applyFill="1" applyBorder="1"/>
    <xf numFmtId="0" fontId="0" fillId="3" borderId="7" xfId="0" applyFill="1" applyBorder="1"/>
    <xf numFmtId="0" fontId="0" fillId="3" borderId="8" xfId="0" applyFill="1" applyBorder="1"/>
    <xf numFmtId="0" fontId="5" fillId="3" borderId="6" xfId="1" applyFont="1" applyFill="1" applyBorder="1" applyAlignment="1">
      <alignment horizontal="left" vertical="center"/>
    </xf>
    <xf numFmtId="0" fontId="5" fillId="3" borderId="7" xfId="1" applyFont="1" applyFill="1" applyBorder="1" applyAlignment="1">
      <alignment horizontal="left" vertical="center"/>
    </xf>
    <xf numFmtId="0" fontId="5" fillId="3" borderId="8" xfId="1" applyFont="1" applyFill="1" applyBorder="1" applyAlignment="1">
      <alignment horizontal="left" vertical="center"/>
    </xf>
    <xf numFmtId="0" fontId="4" fillId="4" borderId="9" xfId="2" applyFill="1" applyBorder="1" applyAlignment="1">
      <alignment horizontal="center"/>
    </xf>
    <xf numFmtId="0" fontId="4" fillId="4" borderId="10" xfId="2" applyFill="1" applyBorder="1" applyAlignment="1">
      <alignment horizontal="center"/>
    </xf>
    <xf numFmtId="0" fontId="4" fillId="4" borderId="11" xfId="2" applyFill="1" applyBorder="1" applyAlignment="1">
      <alignment horizontal="center"/>
    </xf>
    <xf numFmtId="0" fontId="3" fillId="3" borderId="6" xfId="3" applyFont="1" applyFill="1" applyBorder="1" applyAlignment="1">
      <alignment horizontal="left" vertical="center"/>
    </xf>
    <xf numFmtId="0" fontId="3" fillId="3" borderId="8" xfId="3" applyFont="1" applyFill="1" applyBorder="1" applyAlignment="1">
      <alignment horizontal="left" vertical="center"/>
    </xf>
    <xf numFmtId="0" fontId="4" fillId="4" borderId="6" xfId="3" applyFill="1" applyBorder="1" applyAlignment="1">
      <alignment horizontal="left" vertical="top"/>
    </xf>
    <xf numFmtId="0" fontId="4" fillId="4" borderId="7" xfId="3" applyFill="1" applyBorder="1" applyAlignment="1">
      <alignment horizontal="left" vertical="top"/>
    </xf>
    <xf numFmtId="0" fontId="4" fillId="4" borderId="8" xfId="3" applyFill="1" applyBorder="1" applyAlignment="1">
      <alignment horizontal="left" vertical="top"/>
    </xf>
    <xf numFmtId="0" fontId="0" fillId="0" borderId="0" xfId="0" quotePrefix="1" applyAlignment="1">
      <alignment horizontal="center" vertical="center" wrapText="1"/>
    </xf>
    <xf numFmtId="0" fontId="0" fillId="0" borderId="0" xfId="0" applyAlignment="1">
      <alignment horizontal="center" vertical="center" wrapText="1"/>
    </xf>
    <xf numFmtId="0" fontId="7" fillId="0" borderId="12" xfId="3" applyFont="1" applyBorder="1" applyAlignment="1">
      <alignment horizontal="center" vertical="center" wrapText="1"/>
    </xf>
    <xf numFmtId="0" fontId="7" fillId="0" borderId="12" xfId="3" applyFont="1" applyBorder="1" applyAlignment="1">
      <alignment horizontal="center" vertical="center"/>
    </xf>
    <xf numFmtId="0" fontId="12" fillId="5" borderId="1" xfId="3" applyFont="1" applyFill="1" applyBorder="1" applyAlignment="1">
      <alignment horizontal="center" vertical="center" wrapText="1"/>
    </xf>
    <xf numFmtId="0" fontId="8" fillId="0" borderId="2" xfId="3" applyFont="1" applyBorder="1" applyAlignment="1">
      <alignment horizontal="left" vertical="center" wrapText="1"/>
    </xf>
    <xf numFmtId="0" fontId="9" fillId="0" borderId="3" xfId="3" applyFont="1" applyBorder="1" applyAlignment="1">
      <alignment horizontal="left" vertical="center" wrapText="1"/>
    </xf>
    <xf numFmtId="0" fontId="7" fillId="0" borderId="2" xfId="3" applyFont="1" applyBorder="1" applyAlignment="1">
      <alignment horizontal="left" vertical="center" wrapText="1"/>
    </xf>
    <xf numFmtId="0" fontId="7" fillId="0" borderId="3" xfId="3" applyFont="1" applyBorder="1" applyAlignment="1">
      <alignment horizontal="left" vertical="center" wrapText="1"/>
    </xf>
    <xf numFmtId="0" fontId="7" fillId="0" borderId="4" xfId="3" applyFont="1" applyBorder="1" applyAlignment="1">
      <alignment horizontal="left" vertical="center" wrapText="1"/>
    </xf>
    <xf numFmtId="0" fontId="9" fillId="0" borderId="2" xfId="3" applyFont="1" applyBorder="1" applyAlignment="1">
      <alignment horizontal="left" vertical="center" wrapText="1"/>
    </xf>
    <xf numFmtId="0" fontId="9" fillId="0" borderId="4" xfId="3" applyFont="1" applyBorder="1" applyAlignment="1">
      <alignment horizontal="left" vertical="center" wrapText="1"/>
    </xf>
    <xf numFmtId="0" fontId="12" fillId="5" borderId="2" xfId="3" applyFont="1" applyFill="1" applyBorder="1" applyAlignment="1">
      <alignment horizontal="center" vertical="center" wrapText="1"/>
    </xf>
    <xf numFmtId="0" fontId="8" fillId="0" borderId="12" xfId="3" applyFont="1" applyBorder="1" applyAlignment="1">
      <alignment horizontal="left" vertical="center" wrapText="1"/>
    </xf>
    <xf numFmtId="0" fontId="9" fillId="0" borderId="12" xfId="3" applyFont="1" applyBorder="1" applyAlignment="1">
      <alignment horizontal="left" vertical="center" wrapText="1"/>
    </xf>
    <xf numFmtId="0" fontId="7" fillId="0" borderId="12" xfId="3" applyFont="1" applyBorder="1" applyAlignment="1">
      <alignment horizontal="left" vertical="center" wrapText="1"/>
    </xf>
    <xf numFmtId="0" fontId="7" fillId="0" borderId="2" xfId="3" applyFont="1" applyBorder="1" applyAlignment="1">
      <alignment horizontal="center" vertical="center" wrapText="1"/>
    </xf>
    <xf numFmtId="0" fontId="7" fillId="0" borderId="3" xfId="3" applyFont="1" applyBorder="1" applyAlignment="1">
      <alignment horizontal="center" vertical="center"/>
    </xf>
    <xf numFmtId="0" fontId="7" fillId="0" borderId="4" xfId="3" applyFont="1" applyBorder="1" applyAlignment="1">
      <alignment horizontal="center" vertical="center"/>
    </xf>
    <xf numFmtId="0" fontId="7" fillId="0" borderId="2" xfId="3" applyFont="1" applyBorder="1" applyAlignment="1">
      <alignment horizontal="center" vertical="center"/>
    </xf>
    <xf numFmtId="0" fontId="0" fillId="0" borderId="20" xfId="0" applyBorder="1" applyAlignment="1">
      <alignment horizontal="left" vertical="center" wrapText="1"/>
    </xf>
    <xf numFmtId="0" fontId="0" fillId="0" borderId="22" xfId="0" applyBorder="1" applyAlignment="1">
      <alignment horizontal="left" vertical="center"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0" fillId="0" borderId="12" xfId="0" applyBorder="1" applyAlignment="1">
      <alignment horizontal="center" vertical="center"/>
    </xf>
    <xf numFmtId="0" fontId="22" fillId="5" borderId="2" xfId="3" applyFont="1" applyFill="1" applyBorder="1" applyAlignment="1">
      <alignment horizontal="center" vertical="center" wrapText="1"/>
    </xf>
    <xf numFmtId="0" fontId="0" fillId="0" borderId="14" xfId="0" applyBorder="1" applyAlignment="1">
      <alignment horizontal="left" vertical="center" wrapText="1"/>
    </xf>
    <xf numFmtId="0" fontId="0" fillId="0" borderId="14" xfId="0" applyBorder="1" applyAlignment="1">
      <alignment horizontal="center" vertical="center"/>
    </xf>
    <xf numFmtId="0" fontId="0" fillId="0" borderId="14" xfId="0" applyBorder="1" applyAlignment="1">
      <alignment vertical="center"/>
    </xf>
    <xf numFmtId="0" fontId="22" fillId="5" borderId="14" xfId="3" applyFont="1" applyFill="1" applyBorder="1" applyAlignment="1">
      <alignment horizontal="center" vertical="center" wrapText="1"/>
    </xf>
    <xf numFmtId="0" fontId="25" fillId="0" borderId="12" xfId="3" applyFont="1" applyBorder="1" applyAlignment="1">
      <alignment horizontal="left" vertical="center" wrapText="1"/>
    </xf>
    <xf numFmtId="0" fontId="0" fillId="0" borderId="12" xfId="3" applyFont="1" applyBorder="1" applyAlignment="1">
      <alignment horizontal="left" vertical="center" wrapText="1"/>
    </xf>
    <xf numFmtId="0" fontId="23" fillId="0" borderId="12" xfId="3" applyFont="1" applyBorder="1" applyAlignment="1">
      <alignment horizontal="left" vertical="center" wrapText="1"/>
    </xf>
    <xf numFmtId="0" fontId="0" fillId="0" borderId="14" xfId="0" applyBorder="1" applyAlignment="1">
      <alignment horizontal="center" vertical="center" wrapText="1"/>
    </xf>
    <xf numFmtId="0" fontId="7" fillId="0" borderId="14" xfId="3" applyFont="1" applyBorder="1" applyAlignment="1">
      <alignment horizontal="center" vertical="center"/>
    </xf>
    <xf numFmtId="0" fontId="7" fillId="0" borderId="14" xfId="3" applyFont="1" applyBorder="1" applyAlignment="1">
      <alignment horizontal="left" vertical="center" wrapText="1"/>
    </xf>
    <xf numFmtId="0" fontId="9" fillId="0" borderId="14" xfId="3" applyFont="1" applyBorder="1" applyAlignment="1">
      <alignment horizontal="left" vertical="center" wrapText="1"/>
    </xf>
    <xf numFmtId="0" fontId="0" fillId="0" borderId="3" xfId="3" applyFont="1" applyBorder="1" applyAlignment="1">
      <alignment horizontal="center" vertical="center"/>
    </xf>
    <xf numFmtId="0" fontId="0" fillId="0" borderId="3" xfId="3" applyFont="1" applyBorder="1" applyAlignment="1">
      <alignment horizontal="left" vertical="center" wrapText="1"/>
    </xf>
    <xf numFmtId="0" fontId="23" fillId="0" borderId="3" xfId="3" applyFont="1" applyBorder="1" applyAlignment="1">
      <alignment horizontal="left" vertical="center" wrapText="1"/>
    </xf>
    <xf numFmtId="0" fontId="0" fillId="0" borderId="2" xfId="3" applyFont="1" applyBorder="1" applyAlignment="1">
      <alignment horizontal="center" vertical="center" wrapText="1"/>
    </xf>
    <xf numFmtId="0" fontId="0" fillId="0" borderId="3" xfId="3" applyFont="1" applyBorder="1" applyAlignment="1">
      <alignment horizontal="center" vertical="center" wrapText="1"/>
    </xf>
    <xf numFmtId="0" fontId="0" fillId="0" borderId="4" xfId="3" applyFont="1" applyBorder="1" applyAlignment="1">
      <alignment horizontal="center" vertical="center" wrapText="1"/>
    </xf>
    <xf numFmtId="0" fontId="0" fillId="0" borderId="2" xfId="3" applyFont="1" applyBorder="1" applyAlignment="1">
      <alignment horizontal="left" vertical="center" wrapText="1"/>
    </xf>
    <xf numFmtId="0" fontId="0" fillId="0" borderId="4" xfId="3" applyFont="1" applyBorder="1" applyAlignment="1">
      <alignment horizontal="left" vertical="center" wrapText="1"/>
    </xf>
    <xf numFmtId="0" fontId="23" fillId="0" borderId="2" xfId="3" applyFont="1" applyBorder="1" applyAlignment="1">
      <alignment horizontal="left" vertical="center" wrapText="1"/>
    </xf>
    <xf numFmtId="0" fontId="23" fillId="0" borderId="4" xfId="3" applyFont="1" applyBorder="1" applyAlignment="1">
      <alignment horizontal="left" vertical="center" wrapText="1"/>
    </xf>
    <xf numFmtId="0" fontId="22" fillId="5" borderId="1" xfId="3" applyFont="1" applyFill="1" applyBorder="1" applyAlignment="1">
      <alignment horizontal="center" vertical="center" wrapText="1"/>
    </xf>
    <xf numFmtId="0" fontId="0" fillId="0" borderId="2" xfId="3" applyFont="1" applyBorder="1" applyAlignment="1">
      <alignment horizontal="center" vertical="center"/>
    </xf>
    <xf numFmtId="0" fontId="7" fillId="0" borderId="3" xfId="3" applyFont="1" applyBorder="1" applyAlignment="1">
      <alignment horizontal="center" vertical="center" wrapText="1"/>
    </xf>
    <xf numFmtId="0" fontId="7" fillId="0" borderId="4" xfId="3" applyFont="1" applyBorder="1" applyAlignment="1">
      <alignment horizontal="center" vertical="center" wrapText="1"/>
    </xf>
    <xf numFmtId="0" fontId="22" fillId="5" borderId="12" xfId="3" applyFont="1" applyFill="1" applyBorder="1" applyAlignment="1">
      <alignment horizontal="center" vertical="center" wrapText="1"/>
    </xf>
    <xf numFmtId="0" fontId="0" fillId="0" borderId="12" xfId="0" applyBorder="1" applyAlignment="1">
      <alignment horizontal="left" vertical="center"/>
    </xf>
    <xf numFmtId="0" fontId="0" fillId="0" borderId="15" xfId="0" applyBorder="1" applyAlignment="1">
      <alignment horizontal="center" vertical="center" wrapText="1"/>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 xfId="3" applyFont="1" applyBorder="1" applyAlignment="1">
      <alignment horizontal="left" vertical="center"/>
    </xf>
    <xf numFmtId="0" fontId="0" fillId="0" borderId="3" xfId="3" applyFont="1" applyBorder="1" applyAlignment="1">
      <alignment horizontal="left" vertical="center"/>
    </xf>
    <xf numFmtId="0" fontId="0" fillId="0" borderId="4" xfId="3" applyFont="1" applyBorder="1" applyAlignment="1">
      <alignment horizontal="left" vertical="center"/>
    </xf>
    <xf numFmtId="0" fontId="0" fillId="0" borderId="21" xfId="3" applyFont="1" applyBorder="1" applyAlignment="1">
      <alignment horizontal="center" vertical="center"/>
    </xf>
    <xf numFmtId="0" fontId="0" fillId="0" borderId="4" xfId="3" applyFont="1" applyBorder="1" applyAlignment="1">
      <alignment horizontal="center" vertical="center"/>
    </xf>
    <xf numFmtId="0" fontId="25" fillId="0" borderId="2" xfId="3" applyFont="1" applyBorder="1" applyAlignment="1">
      <alignment horizontal="left" vertical="center" wrapText="1"/>
    </xf>
    <xf numFmtId="0" fontId="0" fillId="0" borderId="10" xfId="3" applyFont="1" applyBorder="1" applyAlignment="1">
      <alignment horizontal="center" vertical="center" wrapText="1"/>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6" xfId="0" applyBorder="1" applyAlignment="1">
      <alignment horizontal="center" vertical="center" wrapText="1"/>
    </xf>
    <xf numFmtId="0" fontId="0" fillId="0" borderId="57" xfId="0" applyBorder="1" applyAlignment="1">
      <alignment horizontal="center" vertical="center" wrapText="1"/>
    </xf>
    <xf numFmtId="0" fontId="21" fillId="10" borderId="36" xfId="0" applyFont="1" applyFill="1" applyBorder="1" applyAlignment="1">
      <alignment horizontal="center" vertical="center"/>
    </xf>
    <xf numFmtId="0" fontId="21" fillId="10" borderId="0" xfId="0" applyFont="1" applyFill="1" applyAlignment="1">
      <alignment horizontal="center" vertical="center"/>
    </xf>
    <xf numFmtId="0" fontId="21" fillId="10" borderId="37" xfId="0" applyFont="1" applyFill="1" applyBorder="1" applyAlignment="1">
      <alignment horizontal="center" vertical="center"/>
    </xf>
    <xf numFmtId="0" fontId="12" fillId="10" borderId="35" xfId="3" applyFont="1" applyFill="1" applyBorder="1" applyAlignment="1">
      <alignment horizontal="center" vertical="center" wrapText="1"/>
    </xf>
    <xf numFmtId="0" fontId="21" fillId="10" borderId="30" xfId="0" applyFont="1" applyFill="1" applyBorder="1" applyAlignment="1">
      <alignment horizontal="center" vertical="center" wrapText="1"/>
    </xf>
    <xf numFmtId="0" fontId="21" fillId="10" borderId="32" xfId="0" applyFont="1" applyFill="1" applyBorder="1" applyAlignment="1">
      <alignment horizontal="center" vertical="center" wrapText="1"/>
    </xf>
    <xf numFmtId="0" fontId="21" fillId="10" borderId="31" xfId="0" applyFont="1" applyFill="1" applyBorder="1" applyAlignment="1">
      <alignment horizontal="center" vertical="center" wrapText="1"/>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21" fillId="10" borderId="23" xfId="0" applyFont="1" applyFill="1" applyBorder="1" applyAlignment="1">
      <alignment horizontal="center"/>
    </xf>
    <xf numFmtId="0" fontId="21" fillId="10" borderId="35" xfId="0" applyFont="1" applyFill="1" applyBorder="1" applyAlignment="1">
      <alignment horizontal="center"/>
    </xf>
    <xf numFmtId="0" fontId="21" fillId="10" borderId="24" xfId="0" applyFont="1" applyFill="1" applyBorder="1" applyAlignment="1">
      <alignment horizontal="center"/>
    </xf>
    <xf numFmtId="0" fontId="16" fillId="6" borderId="6" xfId="0" applyFont="1" applyFill="1" applyBorder="1" applyAlignment="1">
      <alignment horizontal="left" vertical="center" wrapText="1"/>
    </xf>
    <xf numFmtId="0" fontId="15" fillId="7" borderId="17" xfId="0" applyFont="1" applyFill="1" applyBorder="1" applyAlignment="1">
      <alignment horizontal="left" vertical="center" wrapText="1"/>
    </xf>
    <xf numFmtId="0" fontId="15" fillId="7" borderId="18" xfId="0" applyFont="1" applyFill="1" applyBorder="1" applyAlignment="1">
      <alignment horizontal="left" vertical="center" wrapText="1"/>
    </xf>
    <xf numFmtId="0" fontId="15" fillId="7" borderId="19" xfId="0" applyFont="1" applyFill="1" applyBorder="1" applyAlignment="1">
      <alignment horizontal="left" vertical="center" wrapText="1"/>
    </xf>
    <xf numFmtId="0" fontId="16" fillId="6" borderId="17" xfId="0" applyFont="1" applyFill="1" applyBorder="1" applyAlignment="1">
      <alignment horizontal="left" vertical="center" wrapText="1"/>
    </xf>
    <xf numFmtId="0" fontId="16" fillId="6" borderId="19" xfId="0" applyFont="1" applyFill="1" applyBorder="1" applyAlignment="1">
      <alignment horizontal="left" vertical="center" wrapText="1"/>
    </xf>
    <xf numFmtId="0" fontId="15" fillId="6" borderId="2" xfId="0" applyFont="1" applyFill="1" applyBorder="1" applyAlignment="1">
      <alignment horizontal="left" vertical="center" wrapText="1"/>
    </xf>
    <xf numFmtId="0" fontId="15" fillId="6" borderId="3" xfId="0" applyFont="1" applyFill="1" applyBorder="1" applyAlignment="1">
      <alignment horizontal="left" vertical="center" wrapText="1"/>
    </xf>
    <xf numFmtId="0" fontId="15" fillId="6" borderId="4" xfId="0" applyFont="1" applyFill="1" applyBorder="1" applyAlignment="1">
      <alignment horizontal="left" vertical="center" wrapText="1"/>
    </xf>
    <xf numFmtId="0" fontId="20" fillId="6" borderId="2" xfId="0" applyFont="1" applyFill="1" applyBorder="1" applyAlignment="1">
      <alignment horizontal="left" vertical="center" wrapText="1"/>
    </xf>
    <xf numFmtId="0" fontId="19" fillId="6" borderId="3" xfId="0" applyFont="1" applyFill="1" applyBorder="1" applyAlignment="1">
      <alignment horizontal="left" vertical="center" wrapText="1"/>
    </xf>
    <xf numFmtId="0" fontId="19" fillId="6" borderId="4" xfId="0" applyFont="1" applyFill="1" applyBorder="1" applyAlignment="1">
      <alignment horizontal="left" vertical="center" wrapText="1"/>
    </xf>
    <xf numFmtId="0" fontId="15" fillId="7" borderId="12" xfId="0" applyFont="1" applyFill="1" applyBorder="1" applyAlignment="1">
      <alignment horizontal="left" vertical="center" wrapText="1"/>
    </xf>
    <xf numFmtId="0" fontId="15" fillId="6" borderId="2"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6" fillId="6" borderId="3"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6" fillId="0" borderId="1" xfId="0" applyFont="1" applyBorder="1" applyAlignment="1">
      <alignment horizontal="center" vertical="center" wrapText="1"/>
    </xf>
    <xf numFmtId="0" fontId="15" fillId="6" borderId="12" xfId="0" applyFont="1" applyFill="1" applyBorder="1" applyAlignment="1">
      <alignment horizontal="left" vertical="center" wrapText="1"/>
    </xf>
    <xf numFmtId="0" fontId="16" fillId="6" borderId="12" xfId="0" applyFont="1" applyFill="1" applyBorder="1" applyAlignment="1">
      <alignment horizontal="left" vertical="top" wrapText="1"/>
    </xf>
    <xf numFmtId="0" fontId="16" fillId="6" borderId="12" xfId="0" applyFont="1" applyFill="1" applyBorder="1" applyAlignment="1">
      <alignment horizontal="left" vertical="center" wrapText="1"/>
    </xf>
    <xf numFmtId="0" fontId="28" fillId="6" borderId="25" xfId="0" applyFont="1" applyFill="1" applyBorder="1" applyAlignment="1">
      <alignment horizontal="center" vertical="center" wrapText="1"/>
    </xf>
    <xf numFmtId="0" fontId="28" fillId="6" borderId="21"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6" borderId="16" xfId="0" applyFont="1" applyFill="1" applyBorder="1" applyAlignment="1">
      <alignment horizontal="left" vertical="center" wrapText="1"/>
    </xf>
    <xf numFmtId="0" fontId="16" fillId="0" borderId="12" xfId="0" applyFont="1" applyBorder="1" applyAlignment="1">
      <alignment horizontal="left" vertical="center" wrapText="1"/>
    </xf>
    <xf numFmtId="0" fontId="16" fillId="6" borderId="14" xfId="0" applyFont="1" applyFill="1" applyBorder="1" applyAlignment="1">
      <alignment horizontal="left" vertical="center" wrapText="1"/>
    </xf>
    <xf numFmtId="0" fontId="20" fillId="6" borderId="3" xfId="0" applyFont="1" applyFill="1" applyBorder="1" applyAlignment="1">
      <alignment horizontal="left" vertical="center" wrapText="1"/>
    </xf>
    <xf numFmtId="0" fontId="20" fillId="6" borderId="4" xfId="0" applyFont="1" applyFill="1" applyBorder="1" applyAlignment="1">
      <alignment horizontal="left" vertical="center"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6" fillId="6" borderId="25"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16" fillId="6" borderId="26"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6" fillId="6" borderId="6" xfId="0" applyFont="1" applyFill="1" applyBorder="1" applyAlignment="1">
      <alignment horizontal="center" vertical="center" wrapText="1"/>
    </xf>
    <xf numFmtId="0" fontId="12" fillId="5" borderId="4" xfId="3" applyFont="1" applyFill="1" applyBorder="1" applyAlignment="1">
      <alignment horizontal="center" vertical="center" wrapText="1"/>
    </xf>
    <xf numFmtId="0" fontId="7" fillId="0" borderId="20" xfId="3" applyFont="1" applyBorder="1" applyAlignment="1">
      <alignment horizontal="center" vertical="center"/>
    </xf>
    <xf numFmtId="0" fontId="9" fillId="0" borderId="14" xfId="3" applyFont="1" applyBorder="1" applyAlignment="1">
      <alignment horizontal="center" vertical="center" wrapText="1"/>
    </xf>
    <xf numFmtId="0" fontId="9" fillId="0" borderId="20" xfId="3" applyFont="1" applyBorder="1" applyAlignment="1">
      <alignment horizontal="center" vertical="center" wrapText="1"/>
    </xf>
    <xf numFmtId="0" fontId="12" fillId="5" borderId="3" xfId="3" applyFont="1" applyFill="1" applyBorder="1" applyAlignment="1">
      <alignment horizontal="center" vertical="center" wrapText="1"/>
    </xf>
    <xf numFmtId="0" fontId="28" fillId="6" borderId="34" xfId="0" applyFont="1" applyFill="1" applyBorder="1" applyAlignment="1">
      <alignment horizontal="center" vertical="center" wrapText="1"/>
    </xf>
    <xf numFmtId="0" fontId="24" fillId="6" borderId="29" xfId="0" applyFont="1" applyFill="1" applyBorder="1" applyAlignment="1">
      <alignment horizontal="center" vertical="center" wrapText="1"/>
    </xf>
    <xf numFmtId="0" fontId="7" fillId="0" borderId="11" xfId="3" applyFont="1" applyBorder="1" applyAlignment="1">
      <alignment horizontal="center" vertical="center"/>
    </xf>
    <xf numFmtId="0" fontId="8" fillId="0" borderId="9" xfId="3" applyFont="1" applyBorder="1" applyAlignment="1">
      <alignment horizontal="left" vertical="center" wrapText="1"/>
    </xf>
    <xf numFmtId="0" fontId="9" fillId="0" borderId="10" xfId="3" applyFont="1" applyBorder="1" applyAlignment="1">
      <alignment horizontal="left" vertical="center" wrapText="1"/>
    </xf>
    <xf numFmtId="0" fontId="9" fillId="0" borderId="11" xfId="3" applyFont="1" applyBorder="1" applyAlignment="1">
      <alignment horizontal="left" vertical="center" wrapText="1"/>
    </xf>
    <xf numFmtId="0" fontId="8" fillId="0" borderId="25" xfId="3" applyFont="1" applyBorder="1" applyAlignment="1">
      <alignment horizontal="left" vertical="center" wrapText="1"/>
    </xf>
    <xf numFmtId="0" fontId="9" fillId="0" borderId="21" xfId="3" applyFont="1" applyBorder="1" applyAlignment="1">
      <alignment horizontal="left" vertical="center" wrapText="1"/>
    </xf>
    <xf numFmtId="0" fontId="9" fillId="0" borderId="26" xfId="3" applyFont="1" applyBorder="1" applyAlignment="1">
      <alignment horizontal="left" vertical="center" wrapText="1"/>
    </xf>
    <xf numFmtId="0" fontId="9" fillId="0" borderId="25" xfId="3" applyFont="1" applyBorder="1" applyAlignment="1">
      <alignment horizontal="left" vertical="center" wrapText="1"/>
    </xf>
    <xf numFmtId="0" fontId="7" fillId="0" borderId="9" xfId="3" applyFont="1" applyBorder="1" applyAlignment="1">
      <alignment horizontal="center" vertical="center" wrapText="1"/>
    </xf>
    <xf numFmtId="0" fontId="7" fillId="0" borderId="10" xfId="3" applyFont="1" applyBorder="1" applyAlignment="1">
      <alignment horizontal="center" vertical="center" wrapText="1"/>
    </xf>
    <xf numFmtId="0" fontId="7" fillId="0" borderId="11" xfId="3" applyFont="1" applyBorder="1" applyAlignment="1">
      <alignment horizontal="center" vertical="center" wrapText="1"/>
    </xf>
    <xf numFmtId="0" fontId="9" fillId="0" borderId="9" xfId="3" applyFont="1" applyBorder="1" applyAlignment="1">
      <alignment horizontal="left" vertical="center" wrapText="1"/>
    </xf>
  </cellXfs>
  <cellStyles count="6">
    <cellStyle name="Comma_UM HPC Pricing Summary" xfId="4" xr:uid="{88F7A9B8-F5E2-449F-82BF-45FEB48B1AD5}"/>
    <cellStyle name="Header 1" xfId="1" xr:uid="{B580E982-6BE1-4E65-BEB7-597D7541AD70}"/>
    <cellStyle name="Hyperlink" xfId="5" builtinId="8"/>
    <cellStyle name="Normal" xfId="0" builtinId="0"/>
    <cellStyle name="Normal 2" xfId="3" xr:uid="{84845BC9-B382-4B6E-A67B-FFF368885C47}"/>
    <cellStyle name="Normal_Doc. Info 2" xfId="2" xr:uid="{F31ADEC1-3D46-4748-9044-E9C4AAF5814D}"/>
  </cellStyles>
  <dxfs count="21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font>
      <fill>
        <patternFill>
          <fgColor auto="1"/>
          <bgColor rgb="FFC0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b/>
        <i val="0"/>
      </font>
      <fill>
        <patternFill>
          <fgColor auto="1"/>
          <bgColor rgb="FFC0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b/>
        <i val="0"/>
      </font>
      <fill>
        <patternFill>
          <fgColor auto="1"/>
          <bgColor rgb="FFC0000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b/>
        <i val="0"/>
      </font>
      <fill>
        <patternFill>
          <fgColor auto="1"/>
          <bgColor rgb="FFC0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fgColor auto="1"/>
          <bgColor rgb="FFC0000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font>
      <fill>
        <patternFill>
          <fgColor auto="1"/>
          <bgColor rgb="FFC00000"/>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auto="1"/>
          <bgColor rgb="FFC00000"/>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1524000</xdr:colOff>
      <xdr:row>0</xdr:row>
      <xdr:rowOff>142875</xdr:rowOff>
    </xdr:from>
    <xdr:to>
      <xdr:col>6</xdr:col>
      <xdr:colOff>3009900</xdr:colOff>
      <xdr:row>2</xdr:row>
      <xdr:rowOff>533400</xdr:rowOff>
    </xdr:to>
    <xdr:pic>
      <xdr:nvPicPr>
        <xdr:cNvPr id="5" name="Picture 1">
          <a:extLst>
            <a:ext uri="{FF2B5EF4-FFF2-40B4-BE49-F238E27FC236}">
              <a16:creationId xmlns:a16="http://schemas.microsoft.com/office/drawing/2014/main" id="{451349DD-A5C3-41CD-A57A-8AC71FAAB18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181600" y="142875"/>
          <a:ext cx="1485900" cy="809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redmine.bestinet.my/issues/37744" TargetMode="External"/><Relationship Id="rId2" Type="http://schemas.openxmlformats.org/officeDocument/2006/relationships/hyperlink" Target="https://redmine.bestinet.my/issues/37744" TargetMode="External"/><Relationship Id="rId1" Type="http://schemas.openxmlformats.org/officeDocument/2006/relationships/hyperlink" Target="https://redmine.bestinet.my/issues/3774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redmine.bestinet.my/issues/37787" TargetMode="External"/><Relationship Id="rId13" Type="http://schemas.openxmlformats.org/officeDocument/2006/relationships/hyperlink" Target="https://redmine.bestinet.my/issues/37825" TargetMode="External"/><Relationship Id="rId18" Type="http://schemas.openxmlformats.org/officeDocument/2006/relationships/hyperlink" Target="https://redmine.bestinet.my/issues/38193" TargetMode="External"/><Relationship Id="rId3" Type="http://schemas.openxmlformats.org/officeDocument/2006/relationships/hyperlink" Target="https://redmine.bestinet.my/issues/37745" TargetMode="External"/><Relationship Id="rId21" Type="http://schemas.openxmlformats.org/officeDocument/2006/relationships/hyperlink" Target="https://redmine.bestinet.my/issues/38297" TargetMode="External"/><Relationship Id="rId7" Type="http://schemas.openxmlformats.org/officeDocument/2006/relationships/hyperlink" Target="https://redmine.bestinet.my/issues/37777" TargetMode="External"/><Relationship Id="rId12" Type="http://schemas.openxmlformats.org/officeDocument/2006/relationships/hyperlink" Target="https://redmine.bestinet.my/issues/37823" TargetMode="External"/><Relationship Id="rId17" Type="http://schemas.openxmlformats.org/officeDocument/2006/relationships/hyperlink" Target="https://redmine.bestinet.my/issues/38182" TargetMode="External"/><Relationship Id="rId2" Type="http://schemas.openxmlformats.org/officeDocument/2006/relationships/hyperlink" Target="https://redmine.bestinet.my/issues/37745" TargetMode="External"/><Relationship Id="rId16" Type="http://schemas.openxmlformats.org/officeDocument/2006/relationships/hyperlink" Target="https://redmine.bestinet.my/issues/38138" TargetMode="External"/><Relationship Id="rId20" Type="http://schemas.openxmlformats.org/officeDocument/2006/relationships/hyperlink" Target="https://redmine.bestinet.my/issues/38274" TargetMode="External"/><Relationship Id="rId1" Type="http://schemas.openxmlformats.org/officeDocument/2006/relationships/hyperlink" Target="https://redmine.bestinet.my/issues/37745" TargetMode="External"/><Relationship Id="rId6" Type="http://schemas.openxmlformats.org/officeDocument/2006/relationships/hyperlink" Target="https://redmine.bestinet.my/issues/37748" TargetMode="External"/><Relationship Id="rId11" Type="http://schemas.openxmlformats.org/officeDocument/2006/relationships/hyperlink" Target="https://redmine.bestinet.my/issues/37824" TargetMode="External"/><Relationship Id="rId24" Type="http://schemas.openxmlformats.org/officeDocument/2006/relationships/hyperlink" Target="https://redmine.bestinet.my/issues/37777" TargetMode="External"/><Relationship Id="rId5" Type="http://schemas.openxmlformats.org/officeDocument/2006/relationships/hyperlink" Target="https://redmine.bestinet.my/issues/37747" TargetMode="External"/><Relationship Id="rId15" Type="http://schemas.openxmlformats.org/officeDocument/2006/relationships/hyperlink" Target="https://redmine.bestinet.my/issues/37826" TargetMode="External"/><Relationship Id="rId23" Type="http://schemas.openxmlformats.org/officeDocument/2006/relationships/hyperlink" Target="https://redmine.bestinet.my/issues/38300" TargetMode="External"/><Relationship Id="rId10" Type="http://schemas.openxmlformats.org/officeDocument/2006/relationships/hyperlink" Target="https://redmine.bestinet.my/issues/37823" TargetMode="External"/><Relationship Id="rId19" Type="http://schemas.openxmlformats.org/officeDocument/2006/relationships/hyperlink" Target="https://redmine.bestinet.my/issues/38206" TargetMode="External"/><Relationship Id="rId4" Type="http://schemas.openxmlformats.org/officeDocument/2006/relationships/hyperlink" Target="https://redmine.bestinet.my/issues/37746" TargetMode="External"/><Relationship Id="rId9" Type="http://schemas.openxmlformats.org/officeDocument/2006/relationships/hyperlink" Target="https://redmine.bestinet.my/issues/37823" TargetMode="External"/><Relationship Id="rId14" Type="http://schemas.openxmlformats.org/officeDocument/2006/relationships/hyperlink" Target="https://redmine.bestinet.my/issues/37825" TargetMode="External"/><Relationship Id="rId22" Type="http://schemas.openxmlformats.org/officeDocument/2006/relationships/hyperlink" Target="https://redmine.bestinet.my/issues/38298"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redmine.bestinet.my/issues/38207" TargetMode="External"/><Relationship Id="rId3" Type="http://schemas.openxmlformats.org/officeDocument/2006/relationships/hyperlink" Target="https://redmine.bestinet.my/issues/38205" TargetMode="External"/><Relationship Id="rId7" Type="http://schemas.openxmlformats.org/officeDocument/2006/relationships/hyperlink" Target="https://redmine.bestinet.my/issues/38207" TargetMode="External"/><Relationship Id="rId2" Type="http://schemas.openxmlformats.org/officeDocument/2006/relationships/hyperlink" Target="https://redmine.bestinet.my/issues/38205" TargetMode="External"/><Relationship Id="rId1" Type="http://schemas.openxmlformats.org/officeDocument/2006/relationships/hyperlink" Target="mailto:sahitest.auto2824@yopmail.com" TargetMode="External"/><Relationship Id="rId6" Type="http://schemas.openxmlformats.org/officeDocument/2006/relationships/hyperlink" Target="https://redmine.bestinet.my/issues/38207" TargetMode="External"/><Relationship Id="rId5" Type="http://schemas.openxmlformats.org/officeDocument/2006/relationships/hyperlink" Target="https://redmine.bestinet.my/issues/38207" TargetMode="External"/><Relationship Id="rId4" Type="http://schemas.openxmlformats.org/officeDocument/2006/relationships/hyperlink" Target="https://redmine.bestinet.my/issues/38207" TargetMode="External"/><Relationship Id="rId9" Type="http://schemas.openxmlformats.org/officeDocument/2006/relationships/hyperlink" Target="https://redmine.bestinet.my/issues/38254"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redmine.bestinet.my/issues/37788" TargetMode="External"/><Relationship Id="rId1" Type="http://schemas.openxmlformats.org/officeDocument/2006/relationships/hyperlink" Target="https://redmine.bestinet.my/issues/377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F151E-3B4F-44AE-9234-A290DC9BB639}">
  <dimension ref="B1:G13"/>
  <sheetViews>
    <sheetView workbookViewId="0">
      <selection activeCell="C9" sqref="C9"/>
    </sheetView>
  </sheetViews>
  <sheetFormatPr defaultColWidth="8.85546875" defaultRowHeight="15"/>
  <cols>
    <col min="3" max="3" width="10.42578125" customWidth="1"/>
    <col min="4" max="4" width="12.42578125" customWidth="1"/>
    <col min="5" max="5" width="16" customWidth="1"/>
    <col min="6" max="6" width="34" customWidth="1"/>
    <col min="7" max="7" width="62.7109375" customWidth="1"/>
  </cols>
  <sheetData>
    <row r="1" spans="2:7" ht="18" customHeight="1">
      <c r="B1" s="412" t="s">
        <v>0</v>
      </c>
      <c r="C1" s="413"/>
      <c r="D1" s="413"/>
      <c r="E1" s="413"/>
      <c r="F1" s="414"/>
      <c r="G1" s="415"/>
    </row>
    <row r="2" spans="2:7">
      <c r="B2" s="6"/>
      <c r="C2" s="6"/>
      <c r="D2" s="7"/>
      <c r="E2" s="6"/>
      <c r="F2" s="6"/>
      <c r="G2" s="416"/>
    </row>
    <row r="3" spans="2:7" ht="62.25" customHeight="1">
      <c r="B3" s="412" t="s">
        <v>1</v>
      </c>
      <c r="C3" s="413"/>
      <c r="D3" s="413"/>
      <c r="E3" s="413"/>
      <c r="F3" s="414"/>
      <c r="G3" s="417"/>
    </row>
    <row r="4" spans="2:7">
      <c r="B4" s="6"/>
      <c r="C4" s="6"/>
      <c r="D4" s="7"/>
      <c r="E4" s="6"/>
      <c r="F4" s="6"/>
      <c r="G4" s="8" t="s">
        <v>2</v>
      </c>
    </row>
    <row r="5" spans="2:7">
      <c r="B5" s="418" t="s">
        <v>3</v>
      </c>
      <c r="C5" s="419"/>
      <c r="D5" s="420" t="s">
        <v>4</v>
      </c>
      <c r="E5" s="421"/>
      <c r="F5" s="422"/>
      <c r="G5" s="357"/>
    </row>
    <row r="6" spans="2:7">
      <c r="B6" s="6"/>
      <c r="C6" s="6"/>
      <c r="D6" s="7"/>
      <c r="E6" s="6"/>
      <c r="F6" s="6"/>
      <c r="G6" s="6"/>
    </row>
    <row r="7" spans="2:7" ht="18" customHeight="1">
      <c r="B7" s="409" t="s">
        <v>5</v>
      </c>
      <c r="C7" s="410"/>
      <c r="D7" s="410"/>
      <c r="E7" s="410"/>
      <c r="F7" s="410"/>
      <c r="G7" s="411"/>
    </row>
    <row r="8" spans="2:7">
      <c r="B8" s="358" t="s">
        <v>6</v>
      </c>
      <c r="C8" s="359" t="s">
        <v>7</v>
      </c>
      <c r="D8" s="358" t="s">
        <v>8</v>
      </c>
      <c r="E8" s="358" t="s">
        <v>9</v>
      </c>
      <c r="F8" s="359" t="s">
        <v>10</v>
      </c>
      <c r="G8" s="359" t="s">
        <v>11</v>
      </c>
    </row>
    <row r="9" spans="2:7">
      <c r="B9" s="360">
        <v>1</v>
      </c>
      <c r="C9" s="361">
        <v>46076</v>
      </c>
      <c r="D9" s="362" t="s">
        <v>12</v>
      </c>
      <c r="E9" s="363" t="s">
        <v>13</v>
      </c>
      <c r="F9" s="363"/>
      <c r="G9" s="361"/>
    </row>
    <row r="10" spans="2:7">
      <c r="B10" s="364">
        <v>2</v>
      </c>
      <c r="C10" s="365">
        <v>46118</v>
      </c>
      <c r="D10" s="366" t="s">
        <v>14</v>
      </c>
      <c r="E10" s="367" t="s">
        <v>15</v>
      </c>
      <c r="F10" s="367"/>
      <c r="G10" s="365"/>
    </row>
    <row r="11" spans="2:7">
      <c r="B11" s="368">
        <v>3</v>
      </c>
      <c r="C11" s="365"/>
      <c r="D11" s="366"/>
      <c r="E11" s="367"/>
      <c r="F11" s="367"/>
      <c r="G11" s="369"/>
    </row>
    <row r="12" spans="2:7">
      <c r="B12" s="370">
        <v>4</v>
      </c>
      <c r="C12" s="365"/>
      <c r="D12" s="366"/>
      <c r="E12" s="367"/>
      <c r="F12" s="367"/>
      <c r="G12" s="365"/>
    </row>
    <row r="13" spans="2:7">
      <c r="B13" s="370">
        <v>5</v>
      </c>
      <c r="C13" s="365"/>
      <c r="D13" s="366"/>
      <c r="E13" s="367"/>
      <c r="F13" s="367"/>
      <c r="G13" s="365"/>
    </row>
  </sheetData>
  <mergeCells count="6">
    <mergeCell ref="B7:G7"/>
    <mergeCell ref="B1:F1"/>
    <mergeCell ref="G1:G3"/>
    <mergeCell ref="B3:F3"/>
    <mergeCell ref="B5:C5"/>
    <mergeCell ref="D5:F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38D0D-F4EF-4C50-955A-49B9E37F7282}">
  <dimension ref="A1:K12"/>
  <sheetViews>
    <sheetView tabSelected="1" workbookViewId="0">
      <selection activeCell="F16" sqref="F16"/>
    </sheetView>
  </sheetViews>
  <sheetFormatPr defaultColWidth="8.85546875" defaultRowHeight="15"/>
  <cols>
    <col min="1" max="1" width="30.28515625" bestFit="1" customWidth="1"/>
    <col min="2" max="7" width="12.42578125" customWidth="1"/>
    <col min="8" max="8" width="20" bestFit="1" customWidth="1"/>
    <col min="9" max="9" width="24.7109375" bestFit="1" customWidth="1"/>
    <col min="10" max="10" width="7.42578125" bestFit="1" customWidth="1"/>
    <col min="11" max="11" width="14.85546875" bestFit="1" customWidth="1"/>
  </cols>
  <sheetData>
    <row r="1" spans="1:11">
      <c r="A1" s="233" t="s">
        <v>16</v>
      </c>
      <c r="B1" s="243" t="s">
        <v>17</v>
      </c>
      <c r="C1" s="244" t="s">
        <v>18</v>
      </c>
      <c r="D1" s="244" t="s">
        <v>19</v>
      </c>
      <c r="E1" s="244" t="s">
        <v>20</v>
      </c>
      <c r="F1" s="244" t="s">
        <v>21</v>
      </c>
      <c r="G1" s="244" t="s">
        <v>22</v>
      </c>
      <c r="H1" s="245" t="s">
        <v>23</v>
      </c>
      <c r="I1" s="247" t="s">
        <v>24</v>
      </c>
    </row>
    <row r="2" spans="1:11">
      <c r="A2" s="234" t="s">
        <v>25</v>
      </c>
      <c r="B2" s="240">
        <f t="shared" ref="B2:B8" si="0">SUM(C2:G2)</f>
        <v>125</v>
      </c>
      <c r="C2" s="241">
        <f>'eCom Reporting'!N1 + eComplaint!N1</f>
        <v>125</v>
      </c>
      <c r="D2" s="241">
        <f>'eCom Reporting'!O1 + eComplaint!O1</f>
        <v>0</v>
      </c>
      <c r="E2" s="241">
        <f>'eCom Reporting'!R1 + eComplaint!R1</f>
        <v>0</v>
      </c>
      <c r="F2" s="241">
        <f>'eCom Reporting'!Q1 + eComplaint!Q1</f>
        <v>0</v>
      </c>
      <c r="G2" s="241">
        <f>'eCom Reporting'!P1 + eComplaint!P1</f>
        <v>0</v>
      </c>
      <c r="H2" s="242">
        <f>C2/B2</f>
        <v>1</v>
      </c>
      <c r="I2" s="246">
        <f xml:space="preserve"> (C2+D2)/B2</f>
        <v>1</v>
      </c>
      <c r="J2" t="s">
        <v>14</v>
      </c>
      <c r="K2" s="423" t="s">
        <v>26</v>
      </c>
    </row>
    <row r="3" spans="1:11">
      <c r="A3" s="235" t="s">
        <v>27</v>
      </c>
      <c r="B3" s="230">
        <f t="shared" si="0"/>
        <v>44</v>
      </c>
      <c r="C3" s="108">
        <f>'NNS Quota Allocation Reporting'!N1</f>
        <v>40</v>
      </c>
      <c r="D3" s="108">
        <f>'NNS Quota Allocation Reporting'!O1</f>
        <v>0</v>
      </c>
      <c r="E3" s="108">
        <f>'NNS Quota Allocation Reporting'!R1</f>
        <v>4</v>
      </c>
      <c r="F3" s="108">
        <f>'NNS Quota Allocation Reporting'!Q1</f>
        <v>0</v>
      </c>
      <c r="G3" s="108">
        <f>'NNS Quota Allocation Reporting'!P1</f>
        <v>0</v>
      </c>
      <c r="H3" s="238">
        <f>C3/B3</f>
        <v>0.90909090909090906</v>
      </c>
      <c r="I3" s="246">
        <f xml:space="preserve"> (C3+D3+E3)/B3</f>
        <v>1</v>
      </c>
      <c r="J3" t="s">
        <v>28</v>
      </c>
      <c r="K3" s="424"/>
    </row>
    <row r="4" spans="1:11">
      <c r="A4" s="235" t="s">
        <v>29</v>
      </c>
      <c r="B4" s="230">
        <f t="shared" si="0"/>
        <v>100</v>
      </c>
      <c r="C4" s="108">
        <f>'Quota Application Reporting'!N1</f>
        <v>98</v>
      </c>
      <c r="D4" s="108">
        <f>'Quota Application Reporting'!O1</f>
        <v>0</v>
      </c>
      <c r="E4" s="108">
        <f>'Quota Application Reporting'!R1</f>
        <v>2</v>
      </c>
      <c r="F4" s="108">
        <f>'Quota Application Reporting'!Q1</f>
        <v>0</v>
      </c>
      <c r="G4" s="108">
        <f>'Quota Application Reporting'!P1</f>
        <v>0</v>
      </c>
      <c r="H4" s="238">
        <f t="shared" ref="H4" si="1">C4/B4</f>
        <v>0.98</v>
      </c>
      <c r="I4" s="246">
        <f t="shared" ref="I4:I5" si="2" xml:space="preserve"> (C4+D4+E4)/B4</f>
        <v>1</v>
      </c>
      <c r="J4" t="s">
        <v>14</v>
      </c>
      <c r="K4" s="424"/>
    </row>
    <row r="5" spans="1:11">
      <c r="A5" s="236" t="s">
        <v>30</v>
      </c>
      <c r="B5" s="230">
        <f t="shared" si="0"/>
        <v>81</v>
      </c>
      <c r="C5" s="108">
        <f>'IDM UAT Feedback'!N1+'#37022'!N1</f>
        <v>81</v>
      </c>
      <c r="D5" s="108">
        <f>'IDM UAT Feedback'!O1+'#37022'!O1</f>
        <v>0</v>
      </c>
      <c r="E5" s="108">
        <f>'IDM UAT Feedback'!R1+'#37022'!R1</f>
        <v>0</v>
      </c>
      <c r="F5" s="108">
        <f>'IDM UAT Feedback'!Q1+'#37022'!Q1</f>
        <v>0</v>
      </c>
      <c r="G5" s="108">
        <f>'IDM UAT Feedback'!P1+'#37022'!P1</f>
        <v>0</v>
      </c>
      <c r="H5" s="238">
        <f>C5/B5</f>
        <v>1</v>
      </c>
      <c r="I5" s="246">
        <f t="shared" si="2"/>
        <v>1</v>
      </c>
      <c r="J5" t="s">
        <v>31</v>
      </c>
      <c r="K5" s="424"/>
    </row>
    <row r="6" spans="1:11">
      <c r="A6" s="236" t="s">
        <v>32</v>
      </c>
      <c r="B6" s="230">
        <f t="shared" si="0"/>
        <v>100</v>
      </c>
      <c r="C6" s="108">
        <f>'IDM - KDNK'!N1</f>
        <v>100</v>
      </c>
      <c r="D6" s="108">
        <f>'IDM - KDNK'!O1</f>
        <v>0</v>
      </c>
      <c r="E6" s="108">
        <f>'IDM - KDNK'!R1</f>
        <v>0</v>
      </c>
      <c r="F6" s="108">
        <f>'IDM - KDNK'!Q1</f>
        <v>0</v>
      </c>
      <c r="G6" s="108">
        <f>'IDM - KDNK'!P1</f>
        <v>0</v>
      </c>
      <c r="H6" s="238">
        <f>C6/B6</f>
        <v>1</v>
      </c>
      <c r="I6" s="246">
        <f t="shared" ref="I6:I8" si="3" xml:space="preserve"> (C6+D6)/B6</f>
        <v>1</v>
      </c>
      <c r="J6" t="s">
        <v>31</v>
      </c>
      <c r="K6" s="424"/>
    </row>
    <row r="7" spans="1:11">
      <c r="A7" s="236" t="s">
        <v>33</v>
      </c>
      <c r="B7" s="230">
        <f t="shared" si="0"/>
        <v>59</v>
      </c>
      <c r="C7" s="108">
        <f>'IDM - KESUMA'!N1</f>
        <v>59</v>
      </c>
      <c r="D7" s="108">
        <f>'IDM - KESUMA'!O1</f>
        <v>0</v>
      </c>
      <c r="E7" s="108">
        <f>'IDM - KESUMA'!R1</f>
        <v>0</v>
      </c>
      <c r="F7" s="108">
        <f>'IDM - KESUMA'!Q1</f>
        <v>0</v>
      </c>
      <c r="G7" s="108">
        <f>'IDM - KESUMA'!P1</f>
        <v>0</v>
      </c>
      <c r="H7" s="238">
        <f>C7/B7</f>
        <v>1</v>
      </c>
      <c r="I7" s="246">
        <f t="shared" si="3"/>
        <v>1</v>
      </c>
      <c r="J7" t="s">
        <v>31</v>
      </c>
      <c r="K7" s="424"/>
    </row>
    <row r="8" spans="1:11">
      <c r="A8" s="236" t="s">
        <v>34</v>
      </c>
      <c r="B8" s="230">
        <f t="shared" si="0"/>
        <v>67</v>
      </c>
      <c r="C8" s="108">
        <f>'Biodata Screening'!N1</f>
        <v>37</v>
      </c>
      <c r="D8" s="108">
        <f>'Biodata Screening'!O1</f>
        <v>19</v>
      </c>
      <c r="E8" s="108">
        <f>'Biodata Screening'!R1</f>
        <v>0</v>
      </c>
      <c r="F8" s="108">
        <f>'Biodata Screening'!Q1</f>
        <v>1</v>
      </c>
      <c r="G8" s="108">
        <f>'Biodata Screening'!P1</f>
        <v>10</v>
      </c>
      <c r="H8" s="238">
        <f>C8/B8</f>
        <v>0.55223880597014929</v>
      </c>
      <c r="I8" s="246">
        <f t="shared" si="3"/>
        <v>0.83582089552238803</v>
      </c>
      <c r="J8" t="s">
        <v>35</v>
      </c>
      <c r="K8" s="424"/>
    </row>
    <row r="9" spans="1:11" ht="15.75">
      <c r="A9" s="237" t="s">
        <v>36</v>
      </c>
      <c r="B9" s="231">
        <f t="shared" ref="B9:G9" si="4">SUM(B2:B8)</f>
        <v>576</v>
      </c>
      <c r="C9" s="232">
        <f t="shared" si="4"/>
        <v>540</v>
      </c>
      <c r="D9" s="232">
        <f t="shared" si="4"/>
        <v>19</v>
      </c>
      <c r="E9" s="232">
        <f t="shared" si="4"/>
        <v>6</v>
      </c>
      <c r="F9" s="232">
        <f t="shared" si="4"/>
        <v>1</v>
      </c>
      <c r="G9" s="232">
        <f t="shared" si="4"/>
        <v>10</v>
      </c>
      <c r="H9" s="239">
        <f>C9/B9</f>
        <v>0.9375</v>
      </c>
      <c r="I9" s="248">
        <f xml:space="preserve"> (C9+D9)/B9</f>
        <v>0.97048611111111116</v>
      </c>
    </row>
    <row r="12" spans="1:11">
      <c r="F12" t="s">
        <v>37</v>
      </c>
    </row>
  </sheetData>
  <mergeCells count="1">
    <mergeCell ref="K2:K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514DE-D2C4-40DF-BC65-E5106F26C930}">
  <dimension ref="A1:S23"/>
  <sheetViews>
    <sheetView topLeftCell="G1" workbookViewId="0">
      <selection activeCell="E3" sqref="E3"/>
    </sheetView>
  </sheetViews>
  <sheetFormatPr defaultColWidth="9.140625" defaultRowHeight="15"/>
  <cols>
    <col min="1" max="1" width="18.85546875" style="10" customWidth="1"/>
    <col min="2" max="2" width="15.140625" style="10" customWidth="1"/>
    <col min="3" max="3" width="13.42578125" style="10" customWidth="1"/>
    <col min="4" max="4" width="36" style="10" customWidth="1"/>
    <col min="5" max="5" width="22" style="10" customWidth="1"/>
    <col min="6" max="6" width="30.85546875" style="10" customWidth="1"/>
    <col min="7" max="7" width="33.28515625" style="10" customWidth="1"/>
    <col min="8" max="8" width="11.140625" style="10" customWidth="1"/>
    <col min="9" max="9" width="43" style="10" customWidth="1"/>
    <col min="10" max="10" width="9.140625" style="10"/>
    <col min="11" max="11" width="10" style="10" bestFit="1" customWidth="1"/>
    <col min="12" max="12" width="57.85546875" style="10" customWidth="1"/>
    <col min="13" max="16384" width="9.140625" style="10"/>
  </cols>
  <sheetData>
    <row r="1" spans="1:19" ht="30">
      <c r="A1" s="13" t="s">
        <v>38</v>
      </c>
      <c r="B1" s="13" t="s">
        <v>39</v>
      </c>
      <c r="C1" s="13" t="s">
        <v>40</v>
      </c>
      <c r="D1" s="13" t="s">
        <v>41</v>
      </c>
      <c r="E1" s="13" t="s">
        <v>42</v>
      </c>
      <c r="F1" s="13" t="s">
        <v>43</v>
      </c>
      <c r="G1" s="13" t="s">
        <v>44</v>
      </c>
      <c r="H1" s="13" t="s">
        <v>45</v>
      </c>
      <c r="I1" s="13" t="s">
        <v>46</v>
      </c>
      <c r="J1" s="13" t="s">
        <v>47</v>
      </c>
      <c r="K1" s="13" t="s">
        <v>48</v>
      </c>
      <c r="L1" s="14" t="s">
        <v>49</v>
      </c>
      <c r="M1" s="13" t="s">
        <v>50</v>
      </c>
      <c r="N1" s="15">
        <f>SUM(N2:N94)</f>
        <v>20</v>
      </c>
      <c r="O1" s="15">
        <f>SUM(O2:O94)</f>
        <v>0</v>
      </c>
      <c r="P1" s="15">
        <f>SUM(P2:P94)</f>
        <v>0</v>
      </c>
      <c r="Q1" s="15">
        <f>SUM(Q2:Q94)</f>
        <v>0</v>
      </c>
      <c r="R1" s="15">
        <f>SUM(R2:R94)</f>
        <v>0</v>
      </c>
      <c r="S1" s="16"/>
    </row>
    <row r="2" spans="1:19">
      <c r="A2" s="427" t="s">
        <v>51</v>
      </c>
      <c r="B2" s="427"/>
      <c r="C2" s="427"/>
      <c r="D2" s="427"/>
      <c r="E2" s="427"/>
      <c r="F2" s="427"/>
      <c r="G2" s="427"/>
      <c r="H2" s="427"/>
      <c r="I2" s="427"/>
      <c r="J2" s="427"/>
      <c r="K2" s="427"/>
      <c r="L2" s="427"/>
      <c r="M2" s="427"/>
      <c r="N2" s="17">
        <f>COUNTIF($J3:J13,"PASS")</f>
        <v>11</v>
      </c>
      <c r="O2" s="17">
        <f>COUNTIF($J3:J13,"FAIL")</f>
        <v>0</v>
      </c>
      <c r="P2" s="17">
        <f>COUNTBLANK(J3:J13)</f>
        <v>0</v>
      </c>
      <c r="Q2" s="17">
        <f>COUNTIF($J3:J13,"IN PROGRESS")</f>
        <v>0</v>
      </c>
      <c r="R2" s="17">
        <f>COUNTIF($J3:J13,"BLOCKED")</f>
        <v>0</v>
      </c>
      <c r="S2" s="16"/>
    </row>
    <row r="3" spans="1:19" s="11" customFormat="1" ht="146.25" customHeight="1">
      <c r="A3" s="18" t="s">
        <v>52</v>
      </c>
      <c r="B3" s="439" t="s">
        <v>53</v>
      </c>
      <c r="C3" s="442" t="s">
        <v>54</v>
      </c>
      <c r="D3" s="428" t="s">
        <v>55</v>
      </c>
      <c r="E3" s="430" t="s">
        <v>56</v>
      </c>
      <c r="F3" s="20" t="s">
        <v>57</v>
      </c>
      <c r="G3" s="12"/>
      <c r="H3" s="21"/>
      <c r="I3" s="22" t="s">
        <v>58</v>
      </c>
      <c r="J3" s="66" t="s">
        <v>59</v>
      </c>
      <c r="K3" s="206">
        <v>37613</v>
      </c>
      <c r="L3" s="18" t="s">
        <v>60</v>
      </c>
      <c r="M3" s="293" t="s">
        <v>61</v>
      </c>
      <c r="N3" s="15"/>
      <c r="O3" s="15"/>
      <c r="P3" s="15"/>
      <c r="Q3" s="24"/>
      <c r="R3" s="24"/>
      <c r="S3" s="24"/>
    </row>
    <row r="4" spans="1:19" s="11" customFormat="1" ht="20.25">
      <c r="A4" s="18" t="s">
        <v>62</v>
      </c>
      <c r="B4" s="440"/>
      <c r="C4" s="440"/>
      <c r="D4" s="429"/>
      <c r="E4" s="431"/>
      <c r="F4" s="20" t="s">
        <v>63</v>
      </c>
      <c r="G4" s="19"/>
      <c r="H4" s="21"/>
      <c r="I4" s="22" t="s">
        <v>64</v>
      </c>
      <c r="J4" s="66" t="s">
        <v>59</v>
      </c>
      <c r="K4" s="206">
        <v>37614</v>
      </c>
      <c r="L4" s="19"/>
      <c r="M4" s="293" t="s">
        <v>61</v>
      </c>
      <c r="N4" s="15"/>
      <c r="O4" s="15"/>
      <c r="P4" s="15"/>
      <c r="Q4" s="24"/>
      <c r="R4" s="24"/>
      <c r="S4" s="24"/>
    </row>
    <row r="5" spans="1:19" s="11" customFormat="1" ht="30">
      <c r="A5" s="18" t="s">
        <v>65</v>
      </c>
      <c r="B5" s="440"/>
      <c r="C5" s="440"/>
      <c r="D5" s="429"/>
      <c r="E5" s="431"/>
      <c r="F5" s="20" t="s">
        <v>66</v>
      </c>
      <c r="G5" s="19"/>
      <c r="H5" s="21"/>
      <c r="I5" s="22" t="s">
        <v>67</v>
      </c>
      <c r="J5" s="66" t="s">
        <v>59</v>
      </c>
      <c r="K5" s="19"/>
      <c r="L5" s="19"/>
      <c r="M5" s="293" t="s">
        <v>61</v>
      </c>
      <c r="N5" s="15"/>
      <c r="O5" s="15"/>
      <c r="P5" s="15"/>
      <c r="Q5" s="24"/>
      <c r="R5" s="24"/>
      <c r="S5" s="24"/>
    </row>
    <row r="6" spans="1:19" s="11" customFormat="1">
      <c r="A6" s="18" t="s">
        <v>68</v>
      </c>
      <c r="B6" s="440"/>
      <c r="C6" s="440"/>
      <c r="D6" s="429"/>
      <c r="E6" s="431"/>
      <c r="F6" s="25" t="s">
        <v>69</v>
      </c>
      <c r="G6" s="19" t="s">
        <v>70</v>
      </c>
      <c r="H6" s="21"/>
      <c r="I6" s="12" t="s">
        <v>71</v>
      </c>
      <c r="J6" s="66" t="s">
        <v>59</v>
      </c>
      <c r="K6" s="19"/>
      <c r="L6" s="19"/>
      <c r="M6" s="293" t="s">
        <v>61</v>
      </c>
      <c r="N6" s="15"/>
      <c r="O6" s="15"/>
      <c r="P6" s="15"/>
      <c r="Q6" s="24"/>
      <c r="R6" s="24"/>
      <c r="S6" s="24"/>
    </row>
    <row r="7" spans="1:19" s="11" customFormat="1" ht="30">
      <c r="A7" s="18" t="s">
        <v>72</v>
      </c>
      <c r="B7" s="440"/>
      <c r="C7" s="440"/>
      <c r="D7" s="429"/>
      <c r="E7" s="431"/>
      <c r="F7" s="25" t="s">
        <v>73</v>
      </c>
      <c r="G7" s="12" t="s">
        <v>74</v>
      </c>
      <c r="H7" s="21"/>
      <c r="I7" s="12" t="s">
        <v>71</v>
      </c>
      <c r="J7" s="66" t="s">
        <v>59</v>
      </c>
      <c r="K7" s="19"/>
      <c r="L7" s="19"/>
      <c r="M7" s="293" t="s">
        <v>61</v>
      </c>
      <c r="N7" s="15"/>
      <c r="O7" s="15"/>
      <c r="P7" s="15"/>
      <c r="Q7" s="24"/>
      <c r="R7" s="24"/>
      <c r="S7" s="24"/>
    </row>
    <row r="8" spans="1:19" s="11" customFormat="1" ht="75">
      <c r="A8" s="18" t="s">
        <v>75</v>
      </c>
      <c r="B8" s="440"/>
      <c r="C8" s="440"/>
      <c r="D8" s="433" t="s">
        <v>76</v>
      </c>
      <c r="E8" s="431"/>
      <c r="F8" s="27" t="s">
        <v>77</v>
      </c>
      <c r="G8" s="12"/>
      <c r="H8" s="19"/>
      <c r="I8" s="12" t="s">
        <v>78</v>
      </c>
      <c r="J8" s="66" t="s">
        <v>59</v>
      </c>
      <c r="K8" s="206">
        <v>37614</v>
      </c>
      <c r="L8" s="19"/>
      <c r="M8" s="293" t="s">
        <v>61</v>
      </c>
      <c r="N8" s="15"/>
      <c r="O8" s="15"/>
      <c r="P8" s="15"/>
      <c r="Q8" s="24"/>
      <c r="R8" s="24"/>
      <c r="S8" s="24"/>
    </row>
    <row r="9" spans="1:19" s="11" customFormat="1" ht="30">
      <c r="A9" s="18" t="s">
        <v>79</v>
      </c>
      <c r="B9" s="440"/>
      <c r="C9" s="440"/>
      <c r="D9" s="429"/>
      <c r="E9" s="431"/>
      <c r="F9" s="27" t="s">
        <v>80</v>
      </c>
      <c r="G9" s="28"/>
      <c r="H9" s="21"/>
      <c r="I9" s="29" t="s">
        <v>81</v>
      </c>
      <c r="J9" s="66" t="s">
        <v>59</v>
      </c>
      <c r="K9" s="19"/>
      <c r="L9" s="19"/>
      <c r="M9" s="293" t="s">
        <v>61</v>
      </c>
      <c r="N9" s="15"/>
      <c r="O9" s="15"/>
      <c r="P9" s="15"/>
      <c r="Q9" s="24"/>
      <c r="R9" s="24"/>
      <c r="S9" s="24"/>
    </row>
    <row r="10" spans="1:19" s="11" customFormat="1">
      <c r="A10" s="18" t="s">
        <v>82</v>
      </c>
      <c r="B10" s="440"/>
      <c r="C10" s="440"/>
      <c r="D10" s="429"/>
      <c r="E10" s="431"/>
      <c r="F10" s="27" t="s">
        <v>83</v>
      </c>
      <c r="G10" s="12"/>
      <c r="H10" s="19"/>
      <c r="I10" s="12" t="s">
        <v>84</v>
      </c>
      <c r="J10" s="66" t="s">
        <v>59</v>
      </c>
      <c r="K10" s="19"/>
      <c r="L10" s="19"/>
      <c r="M10" s="293" t="s">
        <v>61</v>
      </c>
      <c r="N10" s="15"/>
      <c r="O10" s="15"/>
      <c r="P10" s="15"/>
      <c r="Q10" s="24"/>
      <c r="R10" s="24"/>
      <c r="S10" s="24"/>
    </row>
    <row r="11" spans="1:19" s="11" customFormat="1" ht="30">
      <c r="A11" s="18" t="s">
        <v>85</v>
      </c>
      <c r="B11" s="440"/>
      <c r="C11" s="440"/>
      <c r="D11" s="429"/>
      <c r="E11" s="431"/>
      <c r="F11" s="27" t="s">
        <v>86</v>
      </c>
      <c r="G11" s="28"/>
      <c r="H11" s="19"/>
      <c r="I11" s="12" t="s">
        <v>87</v>
      </c>
      <c r="J11" s="66" t="s">
        <v>59</v>
      </c>
      <c r="K11" s="18"/>
      <c r="L11" s="19"/>
      <c r="M11" s="293" t="s">
        <v>61</v>
      </c>
      <c r="N11" s="15"/>
      <c r="O11" s="15"/>
      <c r="P11" s="15"/>
      <c r="Q11" s="24"/>
      <c r="R11" s="24"/>
      <c r="S11" s="24"/>
    </row>
    <row r="12" spans="1:19" s="11" customFormat="1" ht="30">
      <c r="A12" s="18" t="s">
        <v>88</v>
      </c>
      <c r="B12" s="440"/>
      <c r="C12" s="440"/>
      <c r="D12" s="429"/>
      <c r="E12" s="431"/>
      <c r="F12" s="27" t="s">
        <v>89</v>
      </c>
      <c r="G12" s="12"/>
      <c r="H12" s="19"/>
      <c r="I12" s="12" t="s">
        <v>90</v>
      </c>
      <c r="J12" s="66" t="s">
        <v>59</v>
      </c>
      <c r="K12" s="18"/>
      <c r="L12" s="19"/>
      <c r="M12" s="293" t="s">
        <v>61</v>
      </c>
      <c r="N12" s="15"/>
      <c r="O12" s="15"/>
      <c r="P12" s="15"/>
      <c r="Q12" s="24"/>
      <c r="R12" s="24"/>
      <c r="S12" s="24"/>
    </row>
    <row r="13" spans="1:19" s="11" customFormat="1">
      <c r="A13" s="18" t="s">
        <v>91</v>
      </c>
      <c r="B13" s="441"/>
      <c r="C13" s="441"/>
      <c r="D13" s="434"/>
      <c r="E13" s="432"/>
      <c r="F13" s="12" t="s">
        <v>92</v>
      </c>
      <c r="G13" s="12" t="s">
        <v>93</v>
      </c>
      <c r="H13" s="19"/>
      <c r="I13" s="12" t="s">
        <v>94</v>
      </c>
      <c r="J13" s="66" t="s">
        <v>59</v>
      </c>
      <c r="K13" s="19"/>
      <c r="L13" s="19"/>
      <c r="M13" s="293" t="s">
        <v>61</v>
      </c>
      <c r="N13" s="15"/>
      <c r="O13" s="15"/>
      <c r="P13" s="15"/>
      <c r="Q13" s="24"/>
      <c r="R13" s="24"/>
      <c r="S13" s="24"/>
    </row>
    <row r="14" spans="1:19">
      <c r="A14" s="427" t="s">
        <v>95</v>
      </c>
      <c r="B14" s="435"/>
      <c r="C14" s="435"/>
      <c r="D14" s="435"/>
      <c r="E14" s="435"/>
      <c r="F14" s="427"/>
      <c r="G14" s="427"/>
      <c r="H14" s="427"/>
      <c r="I14" s="427"/>
      <c r="J14" s="427"/>
      <c r="K14" s="427"/>
      <c r="L14" s="427"/>
      <c r="M14" s="427"/>
      <c r="N14" s="17">
        <f>COUNTIF($J15:J23,"PASS")</f>
        <v>9</v>
      </c>
      <c r="O14" s="17">
        <f>COUNTIF($J15:J23,"FAIL")</f>
        <v>0</v>
      </c>
      <c r="P14" s="17">
        <f>COUNTBLANK(J15:J23)</f>
        <v>0</v>
      </c>
      <c r="Q14" s="17">
        <f>COUNTIF($J15:J23,"IN PROGRESS")</f>
        <v>0</v>
      </c>
      <c r="R14" s="17">
        <f>COUNTIF($J15:J23,"BLOCKED")</f>
        <v>0</v>
      </c>
      <c r="S14" s="16"/>
    </row>
    <row r="15" spans="1:19" ht="75">
      <c r="A15" s="18" t="s">
        <v>96</v>
      </c>
      <c r="B15" s="425" t="s">
        <v>97</v>
      </c>
      <c r="C15" s="426" t="s">
        <v>54</v>
      </c>
      <c r="D15" s="436" t="s">
        <v>55</v>
      </c>
      <c r="E15" s="438" t="s">
        <v>98</v>
      </c>
      <c r="F15" s="116" t="s">
        <v>57</v>
      </c>
      <c r="G15" s="12"/>
      <c r="H15" s="21"/>
      <c r="I15" s="22" t="s">
        <v>58</v>
      </c>
      <c r="J15" s="23" t="s">
        <v>59</v>
      </c>
      <c r="K15" s="206" t="s">
        <v>99</v>
      </c>
      <c r="L15" s="206"/>
      <c r="M15" s="293" t="s">
        <v>61</v>
      </c>
      <c r="N15" s="15"/>
      <c r="O15" s="15"/>
      <c r="P15" s="15"/>
      <c r="Q15" s="24"/>
      <c r="R15" s="24"/>
      <c r="S15" s="24"/>
    </row>
    <row r="16" spans="1:19">
      <c r="A16" s="18" t="s">
        <v>100</v>
      </c>
      <c r="B16" s="426"/>
      <c r="C16" s="426"/>
      <c r="D16" s="437"/>
      <c r="E16" s="438"/>
      <c r="F16" s="116" t="s">
        <v>63</v>
      </c>
      <c r="G16" s="19"/>
      <c r="H16" s="21"/>
      <c r="I16" s="22" t="s">
        <v>64</v>
      </c>
      <c r="J16" s="23" t="s">
        <v>59</v>
      </c>
      <c r="K16" s="19"/>
      <c r="L16" s="19"/>
      <c r="M16" s="293" t="s">
        <v>61</v>
      </c>
      <c r="N16" s="15"/>
      <c r="O16" s="15"/>
      <c r="P16" s="15"/>
      <c r="Q16" s="24"/>
      <c r="R16" s="24"/>
      <c r="S16" s="24"/>
    </row>
    <row r="17" spans="1:19" ht="30">
      <c r="A17" s="18" t="s">
        <v>101</v>
      </c>
      <c r="B17" s="426"/>
      <c r="C17" s="426"/>
      <c r="D17" s="437"/>
      <c r="E17" s="438"/>
      <c r="F17" s="116" t="s">
        <v>66</v>
      </c>
      <c r="G17" s="19"/>
      <c r="H17" s="21"/>
      <c r="I17" s="22" t="s">
        <v>67</v>
      </c>
      <c r="J17" s="23" t="s">
        <v>59</v>
      </c>
      <c r="K17" s="19"/>
      <c r="L17" s="19"/>
      <c r="M17" s="293" t="s">
        <v>61</v>
      </c>
      <c r="N17" s="15"/>
      <c r="O17" s="15"/>
      <c r="P17" s="15"/>
      <c r="Q17" s="24"/>
      <c r="R17" s="24"/>
      <c r="S17" s="24"/>
    </row>
    <row r="18" spans="1:19">
      <c r="A18" s="18" t="s">
        <v>102</v>
      </c>
      <c r="B18" s="426"/>
      <c r="C18" s="426"/>
      <c r="D18" s="437"/>
      <c r="E18" s="438"/>
      <c r="F18" s="117" t="s">
        <v>69</v>
      </c>
      <c r="G18" s="19" t="s">
        <v>70</v>
      </c>
      <c r="H18" s="21"/>
      <c r="I18" s="12" t="s">
        <v>71</v>
      </c>
      <c r="J18" s="23" t="s">
        <v>59</v>
      </c>
      <c r="K18" s="217" t="s">
        <v>103</v>
      </c>
      <c r="L18" s="19"/>
      <c r="M18" s="293" t="s">
        <v>61</v>
      </c>
      <c r="N18" s="15"/>
      <c r="O18" s="15"/>
      <c r="P18" s="15"/>
      <c r="Q18" s="24"/>
      <c r="R18" s="24"/>
      <c r="S18" s="24"/>
    </row>
    <row r="19" spans="1:19" ht="30">
      <c r="A19" s="18" t="s">
        <v>104</v>
      </c>
      <c r="B19" s="426"/>
      <c r="C19" s="426"/>
      <c r="D19" s="437"/>
      <c r="E19" s="438"/>
      <c r="F19" s="117" t="s">
        <v>73</v>
      </c>
      <c r="G19" s="12" t="s">
        <v>74</v>
      </c>
      <c r="H19" s="21"/>
      <c r="I19" s="12" t="s">
        <v>71</v>
      </c>
      <c r="J19" s="23" t="s">
        <v>59</v>
      </c>
      <c r="K19" s="217" t="s">
        <v>103</v>
      </c>
      <c r="L19" s="19"/>
      <c r="M19" s="293" t="s">
        <v>61</v>
      </c>
      <c r="N19" s="15"/>
      <c r="O19" s="15"/>
      <c r="P19" s="15"/>
      <c r="Q19" s="24"/>
      <c r="R19" s="24"/>
      <c r="S19" s="24"/>
    </row>
    <row r="20" spans="1:19" ht="75">
      <c r="A20" s="18" t="s">
        <v>105</v>
      </c>
      <c r="B20" s="426"/>
      <c r="C20" s="426"/>
      <c r="D20" s="437" t="s">
        <v>76</v>
      </c>
      <c r="E20" s="438"/>
      <c r="F20" s="119" t="s">
        <v>77</v>
      </c>
      <c r="G20" s="12"/>
      <c r="H20" s="19"/>
      <c r="I20" s="12" t="s">
        <v>78</v>
      </c>
      <c r="J20" s="23" t="s">
        <v>59</v>
      </c>
      <c r="K20" s="19"/>
      <c r="L20" s="19"/>
      <c r="M20" s="293" t="s">
        <v>61</v>
      </c>
      <c r="N20" s="15"/>
      <c r="O20" s="15"/>
      <c r="P20" s="15"/>
      <c r="Q20" s="24"/>
      <c r="R20" s="24"/>
      <c r="S20" s="24"/>
    </row>
    <row r="21" spans="1:19">
      <c r="A21" s="18" t="s">
        <v>106</v>
      </c>
      <c r="B21" s="426"/>
      <c r="C21" s="426"/>
      <c r="D21" s="437"/>
      <c r="E21" s="438"/>
      <c r="F21" s="119" t="s">
        <v>83</v>
      </c>
      <c r="G21" s="12"/>
      <c r="H21" s="19"/>
      <c r="I21" s="12" t="s">
        <v>84</v>
      </c>
      <c r="J21" s="23" t="s">
        <v>59</v>
      </c>
      <c r="K21" s="217" t="s">
        <v>103</v>
      </c>
      <c r="L21" s="19"/>
      <c r="M21" s="293" t="s">
        <v>61</v>
      </c>
      <c r="N21" s="15"/>
      <c r="O21" s="15"/>
      <c r="P21" s="15"/>
      <c r="Q21" s="24"/>
      <c r="R21" s="24"/>
      <c r="S21" s="24"/>
    </row>
    <row r="22" spans="1:19" ht="30">
      <c r="A22" s="18" t="s">
        <v>107</v>
      </c>
      <c r="B22" s="426"/>
      <c r="C22" s="426"/>
      <c r="D22" s="437"/>
      <c r="E22" s="438"/>
      <c r="F22" s="119" t="s">
        <v>86</v>
      </c>
      <c r="G22" s="28"/>
      <c r="H22" s="19"/>
      <c r="I22" s="12" t="s">
        <v>87</v>
      </c>
      <c r="J22" s="23" t="s">
        <v>59</v>
      </c>
      <c r="K22" s="18"/>
      <c r="L22" s="19"/>
      <c r="M22" s="293" t="s">
        <v>61</v>
      </c>
      <c r="N22" s="15"/>
      <c r="O22" s="15"/>
      <c r="P22" s="15"/>
      <c r="Q22" s="24"/>
      <c r="R22" s="24"/>
      <c r="S22" s="24"/>
    </row>
    <row r="23" spans="1:19" ht="30">
      <c r="A23" s="18" t="s">
        <v>108</v>
      </c>
      <c r="B23" s="426"/>
      <c r="C23" s="426"/>
      <c r="D23" s="437"/>
      <c r="E23" s="438"/>
      <c r="F23" s="119" t="s">
        <v>89</v>
      </c>
      <c r="G23" s="12"/>
      <c r="H23" s="19"/>
      <c r="I23" s="12" t="s">
        <v>90</v>
      </c>
      <c r="J23" s="23" t="s">
        <v>59</v>
      </c>
      <c r="K23" s="208">
        <v>37709</v>
      </c>
      <c r="L23" s="19"/>
      <c r="M23" s="293" t="s">
        <v>61</v>
      </c>
      <c r="N23" s="15"/>
      <c r="O23" s="15"/>
      <c r="P23" s="15"/>
      <c r="Q23" s="24"/>
      <c r="R23" s="24"/>
      <c r="S23" s="24"/>
    </row>
  </sheetData>
  <mergeCells count="12">
    <mergeCell ref="B15:B23"/>
    <mergeCell ref="C15:C23"/>
    <mergeCell ref="A2:M2"/>
    <mergeCell ref="D3:D7"/>
    <mergeCell ref="E3:E13"/>
    <mergeCell ref="D8:D13"/>
    <mergeCell ref="A14:M14"/>
    <mergeCell ref="D15:D19"/>
    <mergeCell ref="E15:E23"/>
    <mergeCell ref="D20:D23"/>
    <mergeCell ref="B3:B13"/>
    <mergeCell ref="C3:C13"/>
  </mergeCells>
  <conditionalFormatting sqref="J1:J2">
    <cfRule type="containsText" dxfId="211" priority="51" operator="containsText" text="FAIL">
      <formula>NOT(ISERROR(SEARCH("FAIL",J1)))</formula>
    </cfRule>
    <cfRule type="containsText" dxfId="210" priority="52" operator="containsText" text="PASS">
      <formula>NOT(ISERROR(SEARCH("PASS",J1)))</formula>
    </cfRule>
  </conditionalFormatting>
  <conditionalFormatting sqref="J3:J10">
    <cfRule type="containsText" dxfId="209" priority="9" operator="containsText" text="BLOCKED">
      <formula>NOT(ISERROR(SEARCH("BLOCKED",J3)))</formula>
    </cfRule>
    <cfRule type="containsText" dxfId="208" priority="10" stopIfTrue="1" operator="containsText" text="IN PROGRESS">
      <formula>NOT(ISERROR(SEARCH("IN PROGRESS",J3)))</formula>
    </cfRule>
    <cfRule type="containsText" dxfId="207" priority="11" stopIfTrue="1" operator="containsText" text="PASS">
      <formula>NOT(ISERROR(SEARCH("PASS",J3)))</formula>
    </cfRule>
    <cfRule type="containsText" dxfId="206" priority="12" stopIfTrue="1" operator="containsText" text="FAIL">
      <formula>NOT(ISERROR(SEARCH("FAIL",J3)))</formula>
    </cfRule>
  </conditionalFormatting>
  <conditionalFormatting sqref="J10:J13">
    <cfRule type="containsText" dxfId="205" priority="1" operator="containsText" text="BLOCKED">
      <formula>NOT(ISERROR(SEARCH("BLOCKED",J10)))</formula>
    </cfRule>
    <cfRule type="containsText" dxfId="204" priority="2" stopIfTrue="1" operator="containsText" text="IN PROGRESS">
      <formula>NOT(ISERROR(SEARCH("IN PROGRESS",J10)))</formula>
    </cfRule>
    <cfRule type="containsText" dxfId="203" priority="3" stopIfTrue="1" operator="containsText" text="PASS">
      <formula>NOT(ISERROR(SEARCH("PASS",J10)))</formula>
    </cfRule>
    <cfRule type="containsText" dxfId="202" priority="4" stopIfTrue="1" operator="containsText" text="FAIL">
      <formula>NOT(ISERROR(SEARCH("FAIL",J10)))</formula>
    </cfRule>
  </conditionalFormatting>
  <conditionalFormatting sqref="J12 J15:J23">
    <cfRule type="containsText" dxfId="201" priority="43" operator="containsText" text="BLOCKED">
      <formula>NOT(ISERROR(SEARCH("BLOCKED",J12)))</formula>
    </cfRule>
    <cfRule type="containsText" dxfId="200" priority="44" stopIfTrue="1" operator="containsText" text="IN PROGRESS">
      <formula>NOT(ISERROR(SEARCH("IN PROGRESS",J12)))</formula>
    </cfRule>
    <cfRule type="containsText" dxfId="199" priority="45" stopIfTrue="1" operator="containsText" text="PASS">
      <formula>NOT(ISERROR(SEARCH("PASS",J12)))</formula>
    </cfRule>
    <cfRule type="containsText" dxfId="198" priority="46" stopIfTrue="1" operator="containsText" text="FAIL">
      <formula>NOT(ISERROR(SEARCH("FAIL",J12)))</formula>
    </cfRule>
  </conditionalFormatting>
  <conditionalFormatting sqref="J14">
    <cfRule type="containsText" dxfId="197" priority="41" operator="containsText" text="FAIL">
      <formula>NOT(ISERROR(SEARCH("FAIL",J14)))</formula>
    </cfRule>
    <cfRule type="containsText" dxfId="196" priority="42" operator="containsText" text="PASS">
      <formula>NOT(ISERROR(SEARCH("PASS",J14)))</formula>
    </cfRule>
  </conditionalFormatting>
  <dataValidations count="1">
    <dataValidation type="list" allowBlank="1" showInputMessage="1" showErrorMessage="1" sqref="J3:J13 J15:J23" xr:uid="{D6541A1E-CAF0-4190-ACBE-C79F7D7860AC}">
      <formula1>"PASS, FAIL, IN PROGRESS, BLOCKED,"</formula1>
    </dataValidation>
  </dataValidations>
  <hyperlinks>
    <hyperlink ref="K21" r:id="rId1" xr:uid="{FE34534F-8C0B-4DE6-A1EB-E986668B053F}"/>
    <hyperlink ref="K18" r:id="rId2" xr:uid="{B6B4BB8E-223F-4994-86B8-079954EEC5C3}"/>
    <hyperlink ref="K19" r:id="rId3" xr:uid="{74AF8859-549F-4BD6-B34C-C0B4081F764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E1AD-0FDD-4942-B464-812C14587907}">
  <dimension ref="A1:S112"/>
  <sheetViews>
    <sheetView topLeftCell="D99" workbookViewId="0">
      <selection activeCell="J112" sqref="J112"/>
    </sheetView>
  </sheetViews>
  <sheetFormatPr defaultColWidth="8.85546875" defaultRowHeight="15"/>
  <cols>
    <col min="1" max="1" width="18.42578125" customWidth="1"/>
    <col min="2" max="2" width="11.140625" customWidth="1"/>
    <col min="3" max="3" width="10.42578125" customWidth="1"/>
    <col min="4" max="4" width="33" style="311" customWidth="1"/>
    <col min="5" max="5" width="26.5703125" customWidth="1"/>
    <col min="6" max="6" width="40.7109375" customWidth="1"/>
    <col min="7" max="7" width="28" customWidth="1"/>
    <col min="8" max="8" width="19.42578125" customWidth="1"/>
    <col min="9" max="9" width="36.7109375" customWidth="1"/>
    <col min="10" max="10" width="13.28515625" bestFit="1" customWidth="1"/>
    <col min="11" max="11" width="12.140625" style="183" customWidth="1"/>
    <col min="12" max="12" width="31.28515625" customWidth="1"/>
  </cols>
  <sheetData>
    <row r="1" spans="1:19" ht="36" customHeight="1">
      <c r="A1" s="138" t="s">
        <v>38</v>
      </c>
      <c r="B1" s="138" t="s">
        <v>39</v>
      </c>
      <c r="C1" s="138" t="s">
        <v>40</v>
      </c>
      <c r="D1" s="138" t="s">
        <v>41</v>
      </c>
      <c r="E1" s="138" t="s">
        <v>42</v>
      </c>
      <c r="F1" s="138" t="s">
        <v>43</v>
      </c>
      <c r="G1" s="138" t="s">
        <v>44</v>
      </c>
      <c r="H1" s="138" t="s">
        <v>45</v>
      </c>
      <c r="I1" s="138" t="s">
        <v>46</v>
      </c>
      <c r="J1" s="138" t="s">
        <v>47</v>
      </c>
      <c r="K1" s="138" t="s">
        <v>48</v>
      </c>
      <c r="L1" s="139" t="s">
        <v>49</v>
      </c>
      <c r="M1" s="138" t="s">
        <v>50</v>
      </c>
      <c r="N1" s="15">
        <f>SUM(N2:N136)</f>
        <v>105</v>
      </c>
      <c r="O1" s="15">
        <f>SUM(O2:O136)</f>
        <v>0</v>
      </c>
      <c r="P1" s="15">
        <f>SUM(P2:P136)</f>
        <v>0</v>
      </c>
      <c r="Q1" s="15">
        <f>SUM(Q2:Q136)</f>
        <v>0</v>
      </c>
      <c r="R1" s="15">
        <f>SUM(R2:R136)</f>
        <v>0</v>
      </c>
      <c r="S1" s="24"/>
    </row>
    <row r="2" spans="1:19">
      <c r="A2" s="390" t="s">
        <v>109</v>
      </c>
      <c r="B2" s="390"/>
      <c r="C2" s="390"/>
      <c r="D2" s="390"/>
      <c r="E2" s="390"/>
      <c r="F2" s="390"/>
      <c r="G2" s="390"/>
      <c r="H2" s="390"/>
      <c r="I2" s="390"/>
      <c r="J2" s="390"/>
      <c r="K2" s="390"/>
      <c r="L2" s="390"/>
      <c r="M2" s="390"/>
      <c r="N2" s="17">
        <f>COUNTIF($J3:J25,"PASS")</f>
        <v>23</v>
      </c>
      <c r="O2" s="17">
        <f>COUNTIF($J3:J25,"FAIL")</f>
        <v>0</v>
      </c>
      <c r="P2" s="17">
        <f>COUNTBLANK(J3:J25)</f>
        <v>0</v>
      </c>
      <c r="Q2" s="17">
        <f>COUNTIF($J3:J25,"IN PROGRESS")</f>
        <v>0</v>
      </c>
      <c r="R2" s="17">
        <f>COUNTIF($J3:J25,"BLOCKED")</f>
        <v>0</v>
      </c>
    </row>
    <row r="3" spans="1:19" ht="75">
      <c r="A3" s="142" t="s">
        <v>110</v>
      </c>
      <c r="B3" s="425" t="s">
        <v>111</v>
      </c>
      <c r="C3" s="426" t="s">
        <v>54</v>
      </c>
      <c r="D3" s="436" t="s">
        <v>55</v>
      </c>
      <c r="E3" s="458" t="s">
        <v>112</v>
      </c>
      <c r="F3" s="80" t="s">
        <v>57</v>
      </c>
      <c r="G3" s="81"/>
      <c r="H3" s="82"/>
      <c r="I3" s="22" t="s">
        <v>58</v>
      </c>
      <c r="J3" s="66" t="s">
        <v>59</v>
      </c>
      <c r="K3" s="373" t="s">
        <v>113</v>
      </c>
      <c r="L3" s="18"/>
      <c r="M3" s="293" t="s">
        <v>61</v>
      </c>
      <c r="N3" s="15"/>
      <c r="O3" s="15"/>
      <c r="P3" s="15"/>
      <c r="Q3" s="24"/>
      <c r="R3" s="24"/>
      <c r="S3" s="24"/>
    </row>
    <row r="4" spans="1:19" ht="15.75">
      <c r="A4" s="142" t="s">
        <v>114</v>
      </c>
      <c r="B4" s="425"/>
      <c r="C4" s="426"/>
      <c r="D4" s="436"/>
      <c r="E4" s="458"/>
      <c r="F4" s="80" t="s">
        <v>63</v>
      </c>
      <c r="G4" s="83"/>
      <c r="H4" s="82"/>
      <c r="I4" s="22" t="s">
        <v>64</v>
      </c>
      <c r="J4" s="66" t="s">
        <v>59</v>
      </c>
      <c r="K4" s="346"/>
      <c r="L4" s="19"/>
      <c r="M4" s="293" t="s">
        <v>61</v>
      </c>
      <c r="N4" s="15"/>
      <c r="O4" s="15"/>
      <c r="P4" s="15"/>
      <c r="Q4" s="24"/>
      <c r="R4" s="24"/>
      <c r="S4" s="24"/>
    </row>
    <row r="5" spans="1:19" ht="30">
      <c r="A5" s="142" t="s">
        <v>115</v>
      </c>
      <c r="B5" s="425"/>
      <c r="C5" s="426"/>
      <c r="D5" s="436"/>
      <c r="E5" s="458"/>
      <c r="F5" s="80" t="s">
        <v>66</v>
      </c>
      <c r="G5" s="83"/>
      <c r="H5" s="82"/>
      <c r="I5" s="22" t="s">
        <v>67</v>
      </c>
      <c r="J5" s="66" t="s">
        <v>59</v>
      </c>
      <c r="K5" s="355">
        <v>37746</v>
      </c>
      <c r="L5" s="19"/>
      <c r="M5" s="293" t="s">
        <v>61</v>
      </c>
      <c r="N5" s="15"/>
      <c r="O5" s="15"/>
      <c r="P5" s="15"/>
      <c r="Q5" s="24"/>
      <c r="R5" s="24"/>
      <c r="S5" s="24"/>
    </row>
    <row r="6" spans="1:19" ht="30">
      <c r="A6" s="142" t="s">
        <v>116</v>
      </c>
      <c r="B6" s="425"/>
      <c r="C6" s="426"/>
      <c r="D6" s="436"/>
      <c r="E6" s="458"/>
      <c r="F6" s="141" t="s">
        <v>69</v>
      </c>
      <c r="G6" s="83" t="s">
        <v>70</v>
      </c>
      <c r="H6" s="82"/>
      <c r="I6" s="81" t="s">
        <v>71</v>
      </c>
      <c r="J6" s="66" t="s">
        <v>59</v>
      </c>
      <c r="K6" s="346"/>
      <c r="L6" s="19"/>
      <c r="M6" s="293" t="s">
        <v>61</v>
      </c>
      <c r="N6" s="15"/>
      <c r="O6" s="15"/>
      <c r="P6" s="15"/>
      <c r="Q6" s="24"/>
      <c r="R6" s="24"/>
      <c r="S6" s="24"/>
    </row>
    <row r="7" spans="1:19" ht="30">
      <c r="A7" s="142" t="s">
        <v>117</v>
      </c>
      <c r="B7" s="425"/>
      <c r="C7" s="426"/>
      <c r="D7" s="436"/>
      <c r="E7" s="458"/>
      <c r="F7" s="141" t="s">
        <v>73</v>
      </c>
      <c r="G7" s="81" t="s">
        <v>74</v>
      </c>
      <c r="H7" s="82"/>
      <c r="I7" s="81" t="s">
        <v>71</v>
      </c>
      <c r="J7" s="66" t="s">
        <v>59</v>
      </c>
      <c r="K7" s="346"/>
      <c r="L7" s="19"/>
      <c r="M7" s="293" t="s">
        <v>61</v>
      </c>
      <c r="N7" s="15"/>
      <c r="O7" s="15"/>
      <c r="P7" s="15"/>
      <c r="Q7" s="24"/>
      <c r="R7" s="24"/>
      <c r="S7" s="24"/>
    </row>
    <row r="8" spans="1:19" ht="30">
      <c r="A8" s="142" t="s">
        <v>118</v>
      </c>
      <c r="B8" s="425"/>
      <c r="C8" s="426"/>
      <c r="D8" s="436"/>
      <c r="E8" s="458"/>
      <c r="F8" s="80" t="s">
        <v>119</v>
      </c>
      <c r="G8" s="81"/>
      <c r="H8" s="82"/>
      <c r="I8" s="80" t="s">
        <v>120</v>
      </c>
      <c r="J8" s="66" t="s">
        <v>59</v>
      </c>
      <c r="K8" s="355">
        <v>37745</v>
      </c>
      <c r="L8" s="19"/>
      <c r="M8" s="293" t="s">
        <v>61</v>
      </c>
      <c r="N8" s="15"/>
      <c r="O8" s="15"/>
      <c r="P8" s="15"/>
      <c r="Q8" s="24"/>
      <c r="R8" s="24"/>
      <c r="S8" s="24"/>
    </row>
    <row r="9" spans="1:19" ht="15.75">
      <c r="A9" s="142" t="s">
        <v>121</v>
      </c>
      <c r="B9" s="425"/>
      <c r="C9" s="426"/>
      <c r="D9" s="436"/>
      <c r="E9" s="458"/>
      <c r="F9" s="80" t="s">
        <v>122</v>
      </c>
      <c r="G9" s="81"/>
      <c r="H9" s="82"/>
      <c r="I9" s="80" t="s">
        <v>123</v>
      </c>
      <c r="J9" s="66" t="s">
        <v>59</v>
      </c>
      <c r="K9" s="346"/>
      <c r="L9" s="19"/>
      <c r="M9" s="293" t="s">
        <v>61</v>
      </c>
      <c r="N9" s="15"/>
      <c r="O9" s="15"/>
      <c r="P9" s="15"/>
      <c r="Q9" s="24"/>
      <c r="R9" s="24"/>
      <c r="S9" s="24"/>
    </row>
    <row r="10" spans="1:19" ht="15.75">
      <c r="A10" s="142" t="s">
        <v>124</v>
      </c>
      <c r="B10" s="425"/>
      <c r="C10" s="426"/>
      <c r="D10" s="436"/>
      <c r="E10" s="458"/>
      <c r="F10" s="80" t="s">
        <v>125</v>
      </c>
      <c r="G10" s="81"/>
      <c r="H10" s="82"/>
      <c r="I10" s="80" t="s">
        <v>123</v>
      </c>
      <c r="J10" s="66" t="s">
        <v>59</v>
      </c>
      <c r="K10" s="346"/>
      <c r="L10" s="19"/>
      <c r="M10" s="293" t="s">
        <v>61</v>
      </c>
      <c r="N10" s="15"/>
      <c r="O10" s="15"/>
      <c r="P10" s="15"/>
      <c r="Q10" s="24"/>
      <c r="R10" s="24"/>
      <c r="S10" s="24"/>
    </row>
    <row r="11" spans="1:19" ht="90">
      <c r="A11" s="142" t="s">
        <v>126</v>
      </c>
      <c r="B11" s="425"/>
      <c r="C11" s="426"/>
      <c r="D11" s="437" t="s">
        <v>76</v>
      </c>
      <c r="E11" s="458"/>
      <c r="F11" s="84" t="s">
        <v>77</v>
      </c>
      <c r="G11" s="81"/>
      <c r="H11" s="83"/>
      <c r="I11" s="81" t="s">
        <v>78</v>
      </c>
      <c r="J11" s="66" t="s">
        <v>59</v>
      </c>
      <c r="K11" s="371" t="s">
        <v>127</v>
      </c>
      <c r="L11" s="19"/>
      <c r="M11" s="293" t="s">
        <v>61</v>
      </c>
      <c r="N11" s="15"/>
      <c r="O11" s="15"/>
      <c r="P11" s="15"/>
      <c r="Q11" s="24"/>
      <c r="R11" s="24"/>
      <c r="S11" s="24"/>
    </row>
    <row r="12" spans="1:19" ht="30">
      <c r="A12" s="142" t="s">
        <v>128</v>
      </c>
      <c r="B12" s="425"/>
      <c r="C12" s="426"/>
      <c r="D12" s="437"/>
      <c r="E12" s="458"/>
      <c r="F12" s="84" t="s">
        <v>80</v>
      </c>
      <c r="G12" s="85"/>
      <c r="H12" s="82"/>
      <c r="I12" s="22" t="s">
        <v>81</v>
      </c>
      <c r="J12" s="66" t="s">
        <v>59</v>
      </c>
      <c r="K12" s="346"/>
      <c r="L12" s="19"/>
      <c r="M12" s="293" t="s">
        <v>61</v>
      </c>
      <c r="N12" s="15"/>
      <c r="O12" s="15"/>
      <c r="P12" s="15"/>
      <c r="Q12" s="24"/>
      <c r="R12" s="24"/>
      <c r="S12" s="24"/>
    </row>
    <row r="13" spans="1:19" ht="15.75">
      <c r="A13" s="142" t="s">
        <v>129</v>
      </c>
      <c r="B13" s="425"/>
      <c r="C13" s="426"/>
      <c r="D13" s="437"/>
      <c r="E13" s="458"/>
      <c r="F13" s="84" t="s">
        <v>83</v>
      </c>
      <c r="G13" s="81"/>
      <c r="H13" s="83"/>
      <c r="I13" s="81" t="s">
        <v>84</v>
      </c>
      <c r="J13" s="66" t="s">
        <v>59</v>
      </c>
      <c r="K13" s="346"/>
      <c r="L13" s="19"/>
      <c r="M13" s="293" t="s">
        <v>61</v>
      </c>
      <c r="N13" s="15"/>
      <c r="O13" s="15"/>
      <c r="P13" s="15"/>
      <c r="Q13" s="24"/>
      <c r="R13" s="24"/>
      <c r="S13" s="24"/>
    </row>
    <row r="14" spans="1:19" ht="30">
      <c r="A14" s="142" t="s">
        <v>130</v>
      </c>
      <c r="B14" s="425"/>
      <c r="C14" s="426"/>
      <c r="D14" s="437"/>
      <c r="E14" s="458"/>
      <c r="F14" s="84" t="s">
        <v>86</v>
      </c>
      <c r="G14" s="85"/>
      <c r="H14" s="83"/>
      <c r="I14" s="81" t="s">
        <v>87</v>
      </c>
      <c r="J14" s="66" t="s">
        <v>59</v>
      </c>
      <c r="K14" s="371"/>
      <c r="L14" s="19"/>
      <c r="M14" s="293" t="s">
        <v>61</v>
      </c>
      <c r="N14" s="15"/>
      <c r="O14" s="15"/>
      <c r="P14" s="15"/>
      <c r="Q14" s="24"/>
      <c r="R14" s="24"/>
      <c r="S14" s="24"/>
    </row>
    <row r="15" spans="1:19" ht="45">
      <c r="A15" s="142" t="s">
        <v>131</v>
      </c>
      <c r="B15" s="425"/>
      <c r="C15" s="426"/>
      <c r="D15" s="437"/>
      <c r="E15" s="458"/>
      <c r="F15" s="84" t="s">
        <v>89</v>
      </c>
      <c r="G15" s="81"/>
      <c r="H15" s="83"/>
      <c r="I15" s="81" t="s">
        <v>90</v>
      </c>
      <c r="J15" s="66" t="s">
        <v>59</v>
      </c>
      <c r="K15" s="371"/>
      <c r="L15" s="19"/>
      <c r="M15" s="293" t="s">
        <v>61</v>
      </c>
      <c r="N15" s="15"/>
      <c r="O15" s="15"/>
      <c r="P15" s="15"/>
      <c r="Q15" s="24"/>
      <c r="R15" s="24"/>
      <c r="S15" s="24"/>
    </row>
    <row r="16" spans="1:19" ht="30">
      <c r="A16" s="151" t="s">
        <v>132</v>
      </c>
      <c r="B16" s="425"/>
      <c r="C16" s="426"/>
      <c r="D16" s="437"/>
      <c r="E16" s="458"/>
      <c r="F16" s="144" t="s">
        <v>92</v>
      </c>
      <c r="G16" s="144" t="s">
        <v>93</v>
      </c>
      <c r="H16" s="145"/>
      <c r="I16" s="144" t="s">
        <v>94</v>
      </c>
      <c r="J16" s="66" t="s">
        <v>59</v>
      </c>
      <c r="K16" s="355" t="s">
        <v>133</v>
      </c>
      <c r="L16" s="87"/>
      <c r="M16" s="293" t="s">
        <v>61</v>
      </c>
      <c r="N16" s="15"/>
      <c r="O16" s="15"/>
      <c r="P16" s="15"/>
      <c r="Q16" s="24"/>
      <c r="R16" s="24"/>
      <c r="S16" s="24"/>
    </row>
    <row r="17" spans="1:19" ht="75">
      <c r="A17" s="151" t="s">
        <v>134</v>
      </c>
      <c r="B17" s="450" t="s">
        <v>135</v>
      </c>
      <c r="C17" s="450" t="s">
        <v>54</v>
      </c>
      <c r="D17" s="449" t="s">
        <v>136</v>
      </c>
      <c r="E17" s="458"/>
      <c r="F17" s="80" t="s">
        <v>57</v>
      </c>
      <c r="G17" s="81"/>
      <c r="H17" s="82"/>
      <c r="I17" s="22" t="s">
        <v>58</v>
      </c>
      <c r="J17" s="66" t="s">
        <v>59</v>
      </c>
      <c r="K17" s="355">
        <v>37823</v>
      </c>
      <c r="L17" s="72"/>
      <c r="M17" s="293" t="s">
        <v>61</v>
      </c>
    </row>
    <row r="18" spans="1:19" ht="30">
      <c r="A18" s="151" t="s">
        <v>137</v>
      </c>
      <c r="B18" s="450"/>
      <c r="C18" s="450"/>
      <c r="D18" s="449"/>
      <c r="E18" s="458"/>
      <c r="F18" s="88" t="s">
        <v>138</v>
      </c>
      <c r="G18" s="88"/>
      <c r="H18" s="88"/>
      <c r="I18" s="88" t="s">
        <v>139</v>
      </c>
      <c r="J18" s="66" t="s">
        <v>59</v>
      </c>
      <c r="K18" s="355" t="s">
        <v>140</v>
      </c>
      <c r="L18" s="72"/>
      <c r="M18" s="293" t="s">
        <v>61</v>
      </c>
    </row>
    <row r="19" spans="1:19" ht="30">
      <c r="A19" s="151" t="s">
        <v>141</v>
      </c>
      <c r="B19" s="450"/>
      <c r="C19" s="450"/>
      <c r="D19" s="449"/>
      <c r="E19" s="458"/>
      <c r="F19" s="130" t="s">
        <v>142</v>
      </c>
      <c r="G19" s="131"/>
      <c r="H19" s="131"/>
      <c r="I19" s="132" t="s">
        <v>143</v>
      </c>
      <c r="J19" s="66" t="s">
        <v>59</v>
      </c>
      <c r="K19" s="176"/>
      <c r="L19" s="72"/>
      <c r="M19" s="293" t="s">
        <v>61</v>
      </c>
    </row>
    <row r="20" spans="1:19" ht="30">
      <c r="A20" s="151" t="s">
        <v>144</v>
      </c>
      <c r="B20" s="450"/>
      <c r="C20" s="450"/>
      <c r="D20" s="449"/>
      <c r="E20" s="458"/>
      <c r="F20" s="130" t="s">
        <v>145</v>
      </c>
      <c r="G20" s="131"/>
      <c r="H20" s="131"/>
      <c r="I20" s="132" t="s">
        <v>146</v>
      </c>
      <c r="J20" s="66" t="s">
        <v>59</v>
      </c>
      <c r="K20" s="176"/>
      <c r="L20" s="72" t="s">
        <v>147</v>
      </c>
      <c r="M20" s="293" t="s">
        <v>61</v>
      </c>
    </row>
    <row r="21" spans="1:19" ht="30">
      <c r="A21" s="151" t="s">
        <v>148</v>
      </c>
      <c r="B21" s="450"/>
      <c r="C21" s="450"/>
      <c r="D21" s="449"/>
      <c r="E21" s="458"/>
      <c r="F21" s="88" t="s">
        <v>149</v>
      </c>
      <c r="G21" s="72"/>
      <c r="H21" s="72"/>
      <c r="I21" s="88" t="s">
        <v>150</v>
      </c>
      <c r="J21" s="66" t="s">
        <v>59</v>
      </c>
      <c r="K21" s="176"/>
      <c r="L21" s="72"/>
      <c r="M21" s="293" t="s">
        <v>61</v>
      </c>
    </row>
    <row r="22" spans="1:19" ht="15.75">
      <c r="A22" s="151" t="s">
        <v>151</v>
      </c>
      <c r="B22" s="450"/>
      <c r="C22" s="450"/>
      <c r="D22" s="449"/>
      <c r="E22" s="458"/>
      <c r="F22" s="88" t="s">
        <v>152</v>
      </c>
      <c r="G22" s="72"/>
      <c r="H22" s="72"/>
      <c r="I22" s="88" t="s">
        <v>153</v>
      </c>
      <c r="J22" s="66" t="s">
        <v>59</v>
      </c>
      <c r="K22" s="176"/>
      <c r="L22" s="72"/>
      <c r="M22" s="293" t="s">
        <v>61</v>
      </c>
    </row>
    <row r="23" spans="1:19" ht="30">
      <c r="A23" s="151" t="s">
        <v>154</v>
      </c>
      <c r="B23" s="450"/>
      <c r="C23" s="450"/>
      <c r="D23" s="449"/>
      <c r="E23" s="458"/>
      <c r="F23" s="148" t="s">
        <v>155</v>
      </c>
      <c r="G23" s="147"/>
      <c r="H23" s="147"/>
      <c r="I23" s="95" t="s">
        <v>156</v>
      </c>
      <c r="J23" s="156" t="s">
        <v>59</v>
      </c>
      <c r="K23" s="355">
        <v>37824</v>
      </c>
      <c r="L23" s="147" t="s">
        <v>157</v>
      </c>
      <c r="M23" s="293" t="s">
        <v>61</v>
      </c>
    </row>
    <row r="24" spans="1:19" ht="75">
      <c r="A24" s="151" t="s">
        <v>158</v>
      </c>
      <c r="B24" s="450" t="s">
        <v>159</v>
      </c>
      <c r="C24" s="450" t="s">
        <v>54</v>
      </c>
      <c r="D24" s="395" t="s">
        <v>160</v>
      </c>
      <c r="E24" s="458"/>
      <c r="F24" s="80" t="s">
        <v>57</v>
      </c>
      <c r="G24" s="81"/>
      <c r="H24" s="82"/>
      <c r="I24" s="22" t="s">
        <v>58</v>
      </c>
      <c r="J24" s="66" t="s">
        <v>59</v>
      </c>
      <c r="K24" s="355">
        <v>37823</v>
      </c>
      <c r="L24" s="122"/>
      <c r="M24" s="293" t="s">
        <v>61</v>
      </c>
    </row>
    <row r="25" spans="1:19" ht="30">
      <c r="A25" s="151" t="s">
        <v>161</v>
      </c>
      <c r="B25" s="450"/>
      <c r="C25" s="450"/>
      <c r="D25" s="395"/>
      <c r="E25" s="458"/>
      <c r="F25" s="88" t="s">
        <v>138</v>
      </c>
      <c r="G25" s="88"/>
      <c r="H25" s="88"/>
      <c r="I25" s="88" t="s">
        <v>139</v>
      </c>
      <c r="J25" s="66" t="s">
        <v>59</v>
      </c>
      <c r="K25" s="176"/>
      <c r="L25" s="122"/>
      <c r="M25" s="293" t="s">
        <v>61</v>
      </c>
    </row>
    <row r="26" spans="1:19">
      <c r="A26" s="390" t="s">
        <v>162</v>
      </c>
      <c r="B26" s="390"/>
      <c r="C26" s="390"/>
      <c r="D26" s="390"/>
      <c r="E26" s="390"/>
      <c r="F26" s="390"/>
      <c r="G26" s="390"/>
      <c r="H26" s="390"/>
      <c r="I26" s="390"/>
      <c r="J26" s="390"/>
      <c r="K26" s="390"/>
      <c r="L26" s="390"/>
      <c r="M26" s="390"/>
      <c r="N26" s="17">
        <f>COUNTIF($J27:J46,"PASS")</f>
        <v>20</v>
      </c>
      <c r="O26" s="17">
        <f>COUNTIF($J27:J46,"FAIL")</f>
        <v>0</v>
      </c>
      <c r="P26" s="17">
        <f>COUNTBLANK(J27:J46)</f>
        <v>0</v>
      </c>
      <c r="Q26" s="17">
        <f>COUNTIF($J27:J46,"IN PROGRESS")</f>
        <v>0</v>
      </c>
      <c r="R26" s="17">
        <f>COUNTIF($J27:J46,"BLOCKED")</f>
        <v>0</v>
      </c>
    </row>
    <row r="27" spans="1:19" ht="72.75" customHeight="1">
      <c r="A27" s="142" t="s">
        <v>163</v>
      </c>
      <c r="B27" s="401" t="s">
        <v>164</v>
      </c>
      <c r="C27" s="457" t="s">
        <v>54</v>
      </c>
      <c r="D27" s="436" t="s">
        <v>55</v>
      </c>
      <c r="E27" s="458" t="s">
        <v>165</v>
      </c>
      <c r="F27" s="80" t="s">
        <v>57</v>
      </c>
      <c r="G27" s="81"/>
      <c r="H27" s="82"/>
      <c r="I27" s="22" t="s">
        <v>58</v>
      </c>
      <c r="J27" s="66" t="s">
        <v>59</v>
      </c>
      <c r="K27" s="355" t="s">
        <v>166</v>
      </c>
      <c r="L27" s="18"/>
      <c r="M27" s="293" t="s">
        <v>61</v>
      </c>
      <c r="N27" s="15"/>
      <c r="O27" s="15"/>
      <c r="P27" s="15"/>
      <c r="Q27" s="24"/>
      <c r="R27" s="24"/>
      <c r="S27" s="24"/>
    </row>
    <row r="28" spans="1:19" ht="15.75">
      <c r="A28" s="142" t="s">
        <v>167</v>
      </c>
      <c r="B28" s="401"/>
      <c r="C28" s="457"/>
      <c r="D28" s="436"/>
      <c r="E28" s="458"/>
      <c r="F28" s="80" t="s">
        <v>63</v>
      </c>
      <c r="G28" s="83"/>
      <c r="H28" s="82"/>
      <c r="I28" s="22" t="s">
        <v>64</v>
      </c>
      <c r="J28" s="66" t="s">
        <v>59</v>
      </c>
      <c r="K28" s="355" t="s">
        <v>166</v>
      </c>
      <c r="L28" s="19"/>
      <c r="M28" s="293" t="s">
        <v>61</v>
      </c>
      <c r="N28" s="15"/>
      <c r="O28" s="15"/>
      <c r="P28" s="15"/>
      <c r="Q28" s="24"/>
      <c r="R28" s="24"/>
      <c r="S28" s="24"/>
    </row>
    <row r="29" spans="1:19" ht="30">
      <c r="A29" s="142" t="s">
        <v>168</v>
      </c>
      <c r="B29" s="401"/>
      <c r="C29" s="457"/>
      <c r="D29" s="436"/>
      <c r="E29" s="458"/>
      <c r="F29" s="80" t="s">
        <v>66</v>
      </c>
      <c r="G29" s="83"/>
      <c r="H29" s="82"/>
      <c r="I29" s="22" t="s">
        <v>67</v>
      </c>
      <c r="J29" s="66" t="s">
        <v>59</v>
      </c>
      <c r="K29" s="346"/>
      <c r="L29" s="19"/>
      <c r="M29" s="293" t="s">
        <v>61</v>
      </c>
      <c r="N29" s="15"/>
      <c r="O29" s="15"/>
      <c r="P29" s="15"/>
      <c r="Q29" s="24"/>
      <c r="R29" s="24"/>
      <c r="S29" s="24"/>
    </row>
    <row r="30" spans="1:19" ht="30">
      <c r="A30" s="142" t="s">
        <v>169</v>
      </c>
      <c r="B30" s="401"/>
      <c r="C30" s="457"/>
      <c r="D30" s="436"/>
      <c r="E30" s="458"/>
      <c r="F30" s="141" t="s">
        <v>69</v>
      </c>
      <c r="G30" s="83" t="s">
        <v>70</v>
      </c>
      <c r="H30" s="82"/>
      <c r="I30" s="81" t="s">
        <v>71</v>
      </c>
      <c r="J30" s="66" t="s">
        <v>59</v>
      </c>
      <c r="K30" s="346"/>
      <c r="L30" s="19"/>
      <c r="M30" s="293" t="s">
        <v>61</v>
      </c>
      <c r="N30" s="15"/>
      <c r="O30" s="15"/>
      <c r="P30" s="15"/>
      <c r="Q30" s="24"/>
      <c r="R30" s="24"/>
      <c r="S30" s="24"/>
    </row>
    <row r="31" spans="1:19" ht="30">
      <c r="A31" s="142" t="s">
        <v>170</v>
      </c>
      <c r="B31" s="401"/>
      <c r="C31" s="457"/>
      <c r="D31" s="436"/>
      <c r="E31" s="458"/>
      <c r="F31" s="141" t="s">
        <v>73</v>
      </c>
      <c r="G31" s="81" t="s">
        <v>74</v>
      </c>
      <c r="H31" s="82"/>
      <c r="I31" s="81" t="s">
        <v>71</v>
      </c>
      <c r="J31" s="66" t="s">
        <v>59</v>
      </c>
      <c r="K31" s="346"/>
      <c r="L31" s="19"/>
      <c r="M31" s="293" t="s">
        <v>61</v>
      </c>
      <c r="N31" s="15"/>
      <c r="O31" s="15"/>
      <c r="P31" s="15"/>
      <c r="Q31" s="24"/>
      <c r="R31" s="24"/>
      <c r="S31" s="24"/>
    </row>
    <row r="32" spans="1:19" ht="30">
      <c r="A32" s="142" t="s">
        <v>171</v>
      </c>
      <c r="B32" s="401"/>
      <c r="C32" s="457"/>
      <c r="D32" s="436"/>
      <c r="E32" s="458"/>
      <c r="F32" s="80" t="s">
        <v>119</v>
      </c>
      <c r="G32" s="81"/>
      <c r="H32" s="82"/>
      <c r="I32" s="80" t="s">
        <v>120</v>
      </c>
      <c r="J32" s="66" t="s">
        <v>59</v>
      </c>
      <c r="K32" s="355">
        <v>37745</v>
      </c>
      <c r="L32" s="19"/>
      <c r="M32" s="293" t="s">
        <v>61</v>
      </c>
      <c r="N32" s="15"/>
      <c r="O32" s="15"/>
      <c r="P32" s="15"/>
      <c r="Q32" s="24"/>
      <c r="R32" s="24"/>
      <c r="S32" s="24"/>
    </row>
    <row r="33" spans="1:19" ht="15.75">
      <c r="A33" s="142" t="s">
        <v>172</v>
      </c>
      <c r="B33" s="401"/>
      <c r="C33" s="457"/>
      <c r="D33" s="436"/>
      <c r="E33" s="458"/>
      <c r="F33" s="80" t="s">
        <v>122</v>
      </c>
      <c r="G33" s="81"/>
      <c r="H33" s="82"/>
      <c r="I33" s="80" t="s">
        <v>123</v>
      </c>
      <c r="J33" s="66" t="s">
        <v>59</v>
      </c>
      <c r="K33" s="346"/>
      <c r="L33" s="19"/>
      <c r="M33" s="293" t="s">
        <v>61</v>
      </c>
      <c r="N33" s="15"/>
      <c r="O33" s="15"/>
      <c r="P33" s="15"/>
      <c r="Q33" s="24"/>
      <c r="R33" s="24"/>
      <c r="S33" s="24"/>
    </row>
    <row r="34" spans="1:19" ht="15.75">
      <c r="A34" s="142" t="s">
        <v>173</v>
      </c>
      <c r="B34" s="401"/>
      <c r="C34" s="457"/>
      <c r="D34" s="436"/>
      <c r="E34" s="458"/>
      <c r="F34" s="80" t="s">
        <v>125</v>
      </c>
      <c r="G34" s="81"/>
      <c r="H34" s="82"/>
      <c r="I34" s="80" t="s">
        <v>123</v>
      </c>
      <c r="J34" s="66" t="s">
        <v>59</v>
      </c>
      <c r="K34" s="346"/>
      <c r="L34" s="19"/>
      <c r="M34" s="293" t="s">
        <v>61</v>
      </c>
      <c r="N34" s="15"/>
      <c r="O34" s="15"/>
      <c r="P34" s="15"/>
      <c r="Q34" s="24"/>
      <c r="R34" s="24"/>
      <c r="S34" s="24"/>
    </row>
    <row r="35" spans="1:19" ht="90">
      <c r="A35" s="142" t="s">
        <v>174</v>
      </c>
      <c r="B35" s="401"/>
      <c r="C35" s="457"/>
      <c r="D35" s="459" t="s">
        <v>76</v>
      </c>
      <c r="E35" s="458"/>
      <c r="F35" s="84" t="s">
        <v>77</v>
      </c>
      <c r="G35" s="81"/>
      <c r="H35" s="83"/>
      <c r="I35" s="81" t="s">
        <v>78</v>
      </c>
      <c r="J35" s="66" t="s">
        <v>59</v>
      </c>
      <c r="K35" s="346"/>
      <c r="L35" s="19"/>
      <c r="M35" s="293" t="s">
        <v>61</v>
      </c>
      <c r="N35" s="15"/>
      <c r="O35" s="15"/>
      <c r="P35" s="15"/>
      <c r="Q35" s="24"/>
      <c r="R35" s="24"/>
      <c r="S35" s="24"/>
    </row>
    <row r="36" spans="1:19" ht="70.5" customHeight="1">
      <c r="A36" s="142" t="s">
        <v>175</v>
      </c>
      <c r="B36" s="401"/>
      <c r="C36" s="457"/>
      <c r="D36" s="459"/>
      <c r="E36" s="458"/>
      <c r="F36" s="84" t="s">
        <v>80</v>
      </c>
      <c r="G36" s="85"/>
      <c r="H36" s="82"/>
      <c r="I36" s="22" t="s">
        <v>81</v>
      </c>
      <c r="J36" s="66" t="s">
        <v>59</v>
      </c>
      <c r="K36" s="346"/>
      <c r="L36" s="19"/>
      <c r="M36" s="293" t="s">
        <v>61</v>
      </c>
      <c r="N36" s="15"/>
      <c r="O36" s="15"/>
      <c r="P36" s="15"/>
      <c r="Q36" s="24"/>
      <c r="R36" s="24"/>
      <c r="S36" s="24"/>
    </row>
    <row r="37" spans="1:19" ht="15.75">
      <c r="A37" s="142" t="s">
        <v>176</v>
      </c>
      <c r="B37" s="401"/>
      <c r="C37" s="457"/>
      <c r="D37" s="459"/>
      <c r="E37" s="458"/>
      <c r="F37" s="84" t="s">
        <v>83</v>
      </c>
      <c r="G37" s="81"/>
      <c r="H37" s="83"/>
      <c r="I37" s="81" t="s">
        <v>84</v>
      </c>
      <c r="J37" s="66" t="s">
        <v>59</v>
      </c>
      <c r="K37" s="346"/>
      <c r="L37" s="19"/>
      <c r="M37" s="293" t="s">
        <v>61</v>
      </c>
      <c r="N37" s="15"/>
      <c r="O37" s="15"/>
      <c r="P37" s="15"/>
      <c r="Q37" s="24"/>
      <c r="R37" s="24"/>
      <c r="S37" s="24"/>
    </row>
    <row r="38" spans="1:19" ht="30">
      <c r="A38" s="142" t="s">
        <v>177</v>
      </c>
      <c r="B38" s="401"/>
      <c r="C38" s="457"/>
      <c r="D38" s="459"/>
      <c r="E38" s="458"/>
      <c r="F38" s="84" t="s">
        <v>86</v>
      </c>
      <c r="G38" s="85"/>
      <c r="H38" s="83"/>
      <c r="I38" s="81" t="s">
        <v>87</v>
      </c>
      <c r="J38" s="66" t="s">
        <v>59</v>
      </c>
      <c r="K38" s="371"/>
      <c r="L38" s="19"/>
      <c r="M38" s="293" t="s">
        <v>61</v>
      </c>
      <c r="N38" s="15"/>
      <c r="O38" s="15"/>
      <c r="P38" s="15"/>
      <c r="Q38" s="24"/>
      <c r="R38" s="24"/>
      <c r="S38" s="24"/>
    </row>
    <row r="39" spans="1:19" ht="45">
      <c r="A39" s="142" t="s">
        <v>178</v>
      </c>
      <c r="B39" s="401"/>
      <c r="C39" s="457"/>
      <c r="D39" s="459"/>
      <c r="E39" s="458"/>
      <c r="F39" s="84" t="s">
        <v>89</v>
      </c>
      <c r="G39" s="81"/>
      <c r="H39" s="83"/>
      <c r="I39" s="81" t="s">
        <v>90</v>
      </c>
      <c r="J39" s="66" t="s">
        <v>59</v>
      </c>
      <c r="K39" s="354"/>
      <c r="L39" s="87"/>
      <c r="M39" s="293" t="s">
        <v>61</v>
      </c>
      <c r="N39" s="15"/>
      <c r="O39" s="15"/>
      <c r="P39" s="15"/>
      <c r="Q39" s="24"/>
      <c r="R39" s="24"/>
      <c r="S39" s="24"/>
    </row>
    <row r="40" spans="1:19" ht="30">
      <c r="A40" s="151" t="s">
        <v>179</v>
      </c>
      <c r="B40" s="401"/>
      <c r="C40" s="457"/>
      <c r="D40" s="459"/>
      <c r="E40" s="458"/>
      <c r="F40" s="144" t="s">
        <v>92</v>
      </c>
      <c r="G40" s="144" t="s">
        <v>93</v>
      </c>
      <c r="H40" s="145"/>
      <c r="I40" s="144" t="s">
        <v>94</v>
      </c>
      <c r="J40" s="66" t="s">
        <v>59</v>
      </c>
      <c r="K40" s="66"/>
      <c r="L40" s="83"/>
      <c r="M40" s="293" t="s">
        <v>61</v>
      </c>
      <c r="N40" s="15"/>
      <c r="O40" s="15"/>
      <c r="P40" s="15"/>
      <c r="Q40" s="24"/>
      <c r="R40" s="24"/>
      <c r="S40" s="24"/>
    </row>
    <row r="41" spans="1:19" ht="45">
      <c r="A41" s="151" t="s">
        <v>180</v>
      </c>
      <c r="B41" s="401"/>
      <c r="C41" s="457"/>
      <c r="D41" s="459"/>
      <c r="E41" s="458"/>
      <c r="F41" s="144" t="s">
        <v>181</v>
      </c>
      <c r="G41" s="144" t="s">
        <v>182</v>
      </c>
      <c r="H41" s="145"/>
      <c r="I41" s="144" t="s">
        <v>183</v>
      </c>
      <c r="J41" s="66" t="s">
        <v>59</v>
      </c>
      <c r="K41" s="355">
        <v>38300</v>
      </c>
      <c r="L41" s="83"/>
      <c r="M41" s="293" t="s">
        <v>61</v>
      </c>
      <c r="N41" s="15"/>
      <c r="O41" s="15"/>
      <c r="P41" s="15"/>
      <c r="Q41" s="24"/>
      <c r="R41" s="24"/>
      <c r="S41" s="24"/>
    </row>
    <row r="42" spans="1:19" ht="75">
      <c r="A42" s="151" t="s">
        <v>184</v>
      </c>
      <c r="B42" s="447" t="s">
        <v>185</v>
      </c>
      <c r="C42" s="447" t="s">
        <v>54</v>
      </c>
      <c r="D42" s="395" t="s">
        <v>136</v>
      </c>
      <c r="E42" s="72"/>
      <c r="F42" s="80" t="s">
        <v>57</v>
      </c>
      <c r="G42" s="81"/>
      <c r="H42" s="82"/>
      <c r="I42" s="22" t="s">
        <v>58</v>
      </c>
      <c r="J42" s="66" t="s">
        <v>59</v>
      </c>
      <c r="K42" s="374" t="s">
        <v>186</v>
      </c>
      <c r="L42" s="150"/>
      <c r="M42" s="293" t="s">
        <v>61</v>
      </c>
    </row>
    <row r="43" spans="1:19" ht="75">
      <c r="A43" s="151" t="s">
        <v>187</v>
      </c>
      <c r="B43" s="447"/>
      <c r="C43" s="447"/>
      <c r="D43" s="395"/>
      <c r="E43" s="72"/>
      <c r="F43" s="372"/>
      <c r="G43" s="88"/>
      <c r="H43" s="88"/>
      <c r="I43" s="88" t="s">
        <v>139</v>
      </c>
      <c r="J43" s="66" t="s">
        <v>59</v>
      </c>
      <c r="K43" s="374" t="s">
        <v>186</v>
      </c>
      <c r="L43" s="72"/>
      <c r="M43" s="293" t="s">
        <v>61</v>
      </c>
    </row>
    <row r="44" spans="1:19" ht="30">
      <c r="A44" s="151" t="s">
        <v>188</v>
      </c>
      <c r="B44" s="447"/>
      <c r="C44" s="447"/>
      <c r="D44" s="395"/>
      <c r="E44" s="72"/>
      <c r="F44" s="130" t="s">
        <v>189</v>
      </c>
      <c r="G44" s="131"/>
      <c r="H44" s="131"/>
      <c r="I44" s="132" t="s">
        <v>143</v>
      </c>
      <c r="J44" s="66" t="s">
        <v>59</v>
      </c>
      <c r="K44" s="176"/>
      <c r="L44" s="72"/>
      <c r="M44" s="293" t="s">
        <v>61</v>
      </c>
    </row>
    <row r="45" spans="1:19" ht="30">
      <c r="A45" s="151" t="s">
        <v>190</v>
      </c>
      <c r="B45" s="447"/>
      <c r="C45" s="447"/>
      <c r="D45" s="395"/>
      <c r="E45" s="72"/>
      <c r="F45" s="88" t="s">
        <v>149</v>
      </c>
      <c r="G45" s="72"/>
      <c r="H45" s="72"/>
      <c r="I45" s="88" t="s">
        <v>150</v>
      </c>
      <c r="J45" s="66" t="s">
        <v>59</v>
      </c>
      <c r="K45" s="176">
        <v>37781</v>
      </c>
      <c r="L45" s="72"/>
      <c r="M45" s="293" t="s">
        <v>61</v>
      </c>
    </row>
    <row r="46" spans="1:19" ht="30">
      <c r="A46" s="151" t="s">
        <v>191</v>
      </c>
      <c r="B46" s="447"/>
      <c r="C46" s="447"/>
      <c r="D46" s="395"/>
      <c r="E46" s="72"/>
      <c r="F46" s="133" t="s">
        <v>155</v>
      </c>
      <c r="G46" s="72"/>
      <c r="H46" s="72"/>
      <c r="I46" s="88" t="s">
        <v>156</v>
      </c>
      <c r="J46" s="66" t="s">
        <v>59</v>
      </c>
      <c r="K46" s="176">
        <v>37783</v>
      </c>
      <c r="L46" s="72"/>
      <c r="M46" s="293" t="s">
        <v>61</v>
      </c>
    </row>
    <row r="47" spans="1:19">
      <c r="A47" s="390" t="s">
        <v>192</v>
      </c>
      <c r="B47" s="390"/>
      <c r="C47" s="390"/>
      <c r="D47" s="390"/>
      <c r="E47" s="390"/>
      <c r="F47" s="390"/>
      <c r="G47" s="390"/>
      <c r="H47" s="390"/>
      <c r="I47" s="390"/>
      <c r="J47" s="390"/>
      <c r="K47" s="390"/>
      <c r="L47" s="390"/>
      <c r="M47" s="390"/>
      <c r="N47" s="17">
        <f>COUNTIF($J48:J69,"PASS")</f>
        <v>22</v>
      </c>
      <c r="O47" s="17">
        <f>COUNTIF($J48:J69,"FAIL")</f>
        <v>0</v>
      </c>
      <c r="P47" s="17">
        <f>COUNTBLANK(J48:J69)</f>
        <v>0</v>
      </c>
      <c r="Q47" s="17">
        <f>COUNTIF($J48:J69,"IN PROGRESS")</f>
        <v>0</v>
      </c>
      <c r="R47" s="17">
        <f>COUNTIF($J48:J69,"BLOCKED")</f>
        <v>0</v>
      </c>
    </row>
    <row r="48" spans="1:19" ht="75">
      <c r="A48" s="151" t="s">
        <v>193</v>
      </c>
      <c r="B48" s="401" t="s">
        <v>194</v>
      </c>
      <c r="C48" s="457" t="s">
        <v>54</v>
      </c>
      <c r="D48" s="436" t="s">
        <v>55</v>
      </c>
      <c r="E48" s="458" t="s">
        <v>165</v>
      </c>
      <c r="F48" s="80" t="s">
        <v>57</v>
      </c>
      <c r="G48" s="81"/>
      <c r="H48" s="82"/>
      <c r="I48" s="22" t="s">
        <v>58</v>
      </c>
      <c r="J48" s="66" t="s">
        <v>59</v>
      </c>
      <c r="K48" s="371"/>
      <c r="L48" s="18"/>
      <c r="M48" s="293" t="s">
        <v>61</v>
      </c>
      <c r="N48" s="15"/>
      <c r="O48" s="15"/>
      <c r="P48" s="15"/>
      <c r="Q48" s="24"/>
      <c r="R48" s="24"/>
      <c r="S48" s="24"/>
    </row>
    <row r="49" spans="1:19" ht="15.75">
      <c r="A49" s="151" t="s">
        <v>195</v>
      </c>
      <c r="B49" s="401"/>
      <c r="C49" s="457"/>
      <c r="D49" s="436"/>
      <c r="E49" s="458"/>
      <c r="F49" s="80" t="s">
        <v>63</v>
      </c>
      <c r="G49" s="83"/>
      <c r="H49" s="82"/>
      <c r="I49" s="22" t="s">
        <v>64</v>
      </c>
      <c r="J49" s="66" t="s">
        <v>59</v>
      </c>
      <c r="K49" s="346"/>
      <c r="L49" s="19"/>
      <c r="M49" s="293" t="s">
        <v>61</v>
      </c>
      <c r="N49" s="15"/>
      <c r="O49" s="15"/>
      <c r="P49" s="15"/>
      <c r="Q49" s="24"/>
      <c r="R49" s="24"/>
      <c r="S49" s="24"/>
    </row>
    <row r="50" spans="1:19" ht="30">
      <c r="A50" s="151" t="s">
        <v>196</v>
      </c>
      <c r="B50" s="401"/>
      <c r="C50" s="457"/>
      <c r="D50" s="436"/>
      <c r="E50" s="458"/>
      <c r="F50" s="80" t="s">
        <v>66</v>
      </c>
      <c r="G50" s="83"/>
      <c r="H50" s="82"/>
      <c r="I50" s="22" t="s">
        <v>67</v>
      </c>
      <c r="J50" s="66" t="s">
        <v>59</v>
      </c>
      <c r="K50" s="355">
        <v>37747</v>
      </c>
      <c r="L50" s="19"/>
      <c r="M50" s="293" t="s">
        <v>61</v>
      </c>
      <c r="N50" s="15"/>
      <c r="O50" s="15"/>
      <c r="P50" s="15"/>
      <c r="Q50" s="24"/>
      <c r="R50" s="24"/>
      <c r="S50" s="24"/>
    </row>
    <row r="51" spans="1:19" ht="30">
      <c r="A51" s="151" t="s">
        <v>197</v>
      </c>
      <c r="B51" s="401"/>
      <c r="C51" s="457"/>
      <c r="D51" s="436"/>
      <c r="E51" s="458"/>
      <c r="F51" s="141" t="s">
        <v>69</v>
      </c>
      <c r="G51" s="83" t="s">
        <v>70</v>
      </c>
      <c r="H51" s="82"/>
      <c r="I51" s="81" t="s">
        <v>71</v>
      </c>
      <c r="J51" s="66" t="s">
        <v>59</v>
      </c>
      <c r="K51" s="355" t="s">
        <v>198</v>
      </c>
      <c r="L51" s="19"/>
      <c r="M51" s="293" t="s">
        <v>61</v>
      </c>
      <c r="N51" s="15"/>
      <c r="O51" s="15"/>
      <c r="P51" s="15"/>
      <c r="Q51" s="24"/>
      <c r="R51" s="24"/>
      <c r="S51" s="24"/>
    </row>
    <row r="52" spans="1:19" ht="30">
      <c r="A52" s="151" t="s">
        <v>199</v>
      </c>
      <c r="B52" s="401"/>
      <c r="C52" s="457"/>
      <c r="D52" s="436"/>
      <c r="E52" s="458"/>
      <c r="F52" s="141" t="s">
        <v>73</v>
      </c>
      <c r="G52" s="81" t="s">
        <v>74</v>
      </c>
      <c r="H52" s="82"/>
      <c r="I52" s="81" t="s">
        <v>71</v>
      </c>
      <c r="J52" s="66" t="s">
        <v>59</v>
      </c>
      <c r="K52" s="346"/>
      <c r="L52" s="19"/>
      <c r="M52" s="293" t="s">
        <v>61</v>
      </c>
      <c r="N52" s="15"/>
      <c r="O52" s="15"/>
      <c r="P52" s="15"/>
      <c r="Q52" s="24"/>
      <c r="R52" s="24"/>
      <c r="S52" s="24"/>
    </row>
    <row r="53" spans="1:19" ht="30">
      <c r="A53" s="151" t="s">
        <v>200</v>
      </c>
      <c r="B53" s="401"/>
      <c r="C53" s="457"/>
      <c r="D53" s="436"/>
      <c r="E53" s="458"/>
      <c r="F53" s="80" t="s">
        <v>119</v>
      </c>
      <c r="G53" s="81"/>
      <c r="H53" s="82"/>
      <c r="I53" s="80" t="s">
        <v>120</v>
      </c>
      <c r="J53" s="66" t="s">
        <v>59</v>
      </c>
      <c r="K53" s="355">
        <v>37745</v>
      </c>
      <c r="L53" s="19"/>
      <c r="M53" s="293" t="s">
        <v>61</v>
      </c>
      <c r="N53" s="15"/>
      <c r="O53" s="15"/>
      <c r="P53" s="15"/>
      <c r="Q53" s="24"/>
      <c r="R53" s="24"/>
      <c r="S53" s="24"/>
    </row>
    <row r="54" spans="1:19" ht="15.75">
      <c r="A54" s="151" t="s">
        <v>201</v>
      </c>
      <c r="B54" s="401"/>
      <c r="C54" s="457"/>
      <c r="D54" s="436"/>
      <c r="E54" s="458"/>
      <c r="F54" s="80" t="s">
        <v>122</v>
      </c>
      <c r="G54" s="81"/>
      <c r="H54" s="82"/>
      <c r="I54" s="80" t="s">
        <v>123</v>
      </c>
      <c r="J54" s="66" t="s">
        <v>59</v>
      </c>
      <c r="K54" s="346"/>
      <c r="L54" s="19"/>
      <c r="M54" s="293" t="s">
        <v>61</v>
      </c>
      <c r="N54" s="15"/>
      <c r="O54" s="15"/>
      <c r="P54" s="15"/>
      <c r="Q54" s="24"/>
      <c r="R54" s="24"/>
      <c r="S54" s="24"/>
    </row>
    <row r="55" spans="1:19" ht="15.75">
      <c r="A55" s="151" t="s">
        <v>202</v>
      </c>
      <c r="B55" s="401"/>
      <c r="C55" s="457"/>
      <c r="D55" s="436"/>
      <c r="E55" s="458"/>
      <c r="F55" s="80" t="s">
        <v>125</v>
      </c>
      <c r="G55" s="81"/>
      <c r="H55" s="82"/>
      <c r="I55" s="80" t="s">
        <v>123</v>
      </c>
      <c r="J55" s="66" t="s">
        <v>59</v>
      </c>
      <c r="K55" s="346"/>
      <c r="L55" s="19"/>
      <c r="M55" s="293" t="s">
        <v>61</v>
      </c>
      <c r="N55" s="15"/>
      <c r="O55" s="15"/>
      <c r="P55" s="15"/>
      <c r="Q55" s="24"/>
      <c r="R55" s="24"/>
      <c r="S55" s="24"/>
    </row>
    <row r="56" spans="1:19" ht="90">
      <c r="A56" s="151" t="s">
        <v>203</v>
      </c>
      <c r="B56" s="401"/>
      <c r="C56" s="457"/>
      <c r="D56" s="459" t="s">
        <v>76</v>
      </c>
      <c r="E56" s="458"/>
      <c r="F56" s="84" t="s">
        <v>77</v>
      </c>
      <c r="G56" s="81"/>
      <c r="H56" s="83"/>
      <c r="I56" s="81" t="s">
        <v>78</v>
      </c>
      <c r="J56" s="66" t="s">
        <v>59</v>
      </c>
      <c r="K56" s="346"/>
      <c r="L56" s="19"/>
      <c r="M56" s="293" t="s">
        <v>61</v>
      </c>
      <c r="N56" s="15"/>
      <c r="O56" s="15"/>
      <c r="P56" s="15"/>
      <c r="Q56" s="24"/>
      <c r="R56" s="24"/>
      <c r="S56" s="24"/>
    </row>
    <row r="57" spans="1:19" ht="30">
      <c r="A57" s="151" t="s">
        <v>204</v>
      </c>
      <c r="B57" s="401"/>
      <c r="C57" s="457"/>
      <c r="D57" s="459"/>
      <c r="E57" s="458"/>
      <c r="F57" s="84" t="s">
        <v>80</v>
      </c>
      <c r="G57" s="85"/>
      <c r="H57" s="82"/>
      <c r="I57" s="22" t="s">
        <v>81</v>
      </c>
      <c r="J57" s="156" t="s">
        <v>59</v>
      </c>
      <c r="K57" s="355" t="s">
        <v>205</v>
      </c>
      <c r="L57" s="19"/>
      <c r="M57" s="293" t="s">
        <v>61</v>
      </c>
      <c r="N57" s="15"/>
      <c r="O57" s="15"/>
      <c r="P57" s="15"/>
      <c r="Q57" s="24"/>
      <c r="R57" s="24"/>
      <c r="S57" s="24"/>
    </row>
    <row r="58" spans="1:19" ht="15.75">
      <c r="A58" s="151" t="s">
        <v>206</v>
      </c>
      <c r="B58" s="401"/>
      <c r="C58" s="457"/>
      <c r="D58" s="459"/>
      <c r="E58" s="458"/>
      <c r="F58" s="84" t="s">
        <v>83</v>
      </c>
      <c r="G58" s="81"/>
      <c r="H58" s="83"/>
      <c r="I58" s="81" t="s">
        <v>84</v>
      </c>
      <c r="J58" s="66" t="s">
        <v>59</v>
      </c>
      <c r="K58" s="346"/>
      <c r="L58" s="19"/>
      <c r="M58" s="293" t="s">
        <v>61</v>
      </c>
      <c r="N58" s="15"/>
      <c r="O58" s="15"/>
      <c r="P58" s="15"/>
      <c r="Q58" s="24"/>
      <c r="R58" s="24"/>
      <c r="S58" s="24"/>
    </row>
    <row r="59" spans="1:19" ht="30">
      <c r="A59" s="151" t="s">
        <v>207</v>
      </c>
      <c r="B59" s="401"/>
      <c r="C59" s="457"/>
      <c r="D59" s="459"/>
      <c r="E59" s="458"/>
      <c r="F59" s="84" t="s">
        <v>86</v>
      </c>
      <c r="G59" s="85"/>
      <c r="H59" s="83"/>
      <c r="I59" s="81" t="s">
        <v>87</v>
      </c>
      <c r="J59" s="66" t="s">
        <v>59</v>
      </c>
      <c r="K59" s="371"/>
      <c r="L59" s="19"/>
      <c r="M59" s="293" t="s">
        <v>61</v>
      </c>
      <c r="N59" s="15"/>
      <c r="O59" s="15"/>
      <c r="P59" s="15"/>
      <c r="Q59" s="24"/>
      <c r="R59" s="24"/>
      <c r="S59" s="24"/>
    </row>
    <row r="60" spans="1:19" ht="45">
      <c r="A60" s="151" t="s">
        <v>208</v>
      </c>
      <c r="B60" s="401"/>
      <c r="C60" s="457"/>
      <c r="D60" s="459"/>
      <c r="E60" s="458"/>
      <c r="F60" s="84" t="s">
        <v>89</v>
      </c>
      <c r="G60" s="81"/>
      <c r="H60" s="83"/>
      <c r="I60" s="81" t="s">
        <v>90</v>
      </c>
      <c r="J60" s="66" t="s">
        <v>59</v>
      </c>
      <c r="K60" s="354"/>
      <c r="L60" s="87"/>
      <c r="M60" s="293" t="s">
        <v>61</v>
      </c>
      <c r="N60" s="15"/>
      <c r="O60" s="15"/>
      <c r="P60" s="15"/>
      <c r="Q60" s="24"/>
      <c r="R60" s="24"/>
      <c r="S60" s="24"/>
    </row>
    <row r="61" spans="1:19" ht="30">
      <c r="A61" s="151" t="s">
        <v>209</v>
      </c>
      <c r="B61" s="401"/>
      <c r="C61" s="457"/>
      <c r="D61" s="459"/>
      <c r="E61" s="458"/>
      <c r="F61" s="144" t="s">
        <v>92</v>
      </c>
      <c r="G61" s="144" t="s">
        <v>93</v>
      </c>
      <c r="H61" s="145"/>
      <c r="I61" s="144" t="s">
        <v>94</v>
      </c>
      <c r="J61" s="149" t="s">
        <v>59</v>
      </c>
      <c r="K61" s="66"/>
      <c r="L61" s="83"/>
      <c r="M61" s="293" t="s">
        <v>61</v>
      </c>
      <c r="N61" s="15"/>
      <c r="O61" s="15"/>
      <c r="P61" s="15"/>
      <c r="Q61" s="24"/>
      <c r="R61" s="24"/>
      <c r="S61" s="24"/>
    </row>
    <row r="62" spans="1:19" ht="75">
      <c r="A62" s="151" t="s">
        <v>210</v>
      </c>
      <c r="B62" s="447" t="s">
        <v>211</v>
      </c>
      <c r="C62" s="447" t="s">
        <v>54</v>
      </c>
      <c r="D62" s="395" t="s">
        <v>136</v>
      </c>
      <c r="E62" s="72"/>
      <c r="F62" s="80" t="s">
        <v>57</v>
      </c>
      <c r="G62" s="81"/>
      <c r="H62" s="82"/>
      <c r="I62" s="22" t="s">
        <v>58</v>
      </c>
      <c r="J62" s="149" t="s">
        <v>59</v>
      </c>
      <c r="K62" s="355">
        <v>38138</v>
      </c>
      <c r="L62" s="150"/>
      <c r="M62" s="293" t="s">
        <v>61</v>
      </c>
    </row>
    <row r="63" spans="1:19" ht="30">
      <c r="A63" s="151" t="s">
        <v>212</v>
      </c>
      <c r="B63" s="447"/>
      <c r="C63" s="447"/>
      <c r="D63" s="395"/>
      <c r="E63" s="72"/>
      <c r="F63" s="88" t="s">
        <v>138</v>
      </c>
      <c r="G63" s="88"/>
      <c r="H63" s="88"/>
      <c r="I63" s="88" t="s">
        <v>139</v>
      </c>
      <c r="J63" s="149" t="s">
        <v>59</v>
      </c>
      <c r="K63" s="355">
        <v>38182</v>
      </c>
      <c r="L63" s="72"/>
      <c r="M63" s="293" t="s">
        <v>61</v>
      </c>
    </row>
    <row r="64" spans="1:19" ht="30">
      <c r="A64" s="151" t="s">
        <v>213</v>
      </c>
      <c r="B64" s="447"/>
      <c r="C64" s="447"/>
      <c r="D64" s="395"/>
      <c r="E64" s="72"/>
      <c r="F64" s="130" t="s">
        <v>214</v>
      </c>
      <c r="G64" s="131"/>
      <c r="H64" s="131"/>
      <c r="I64" s="132" t="s">
        <v>143</v>
      </c>
      <c r="J64" s="325" t="s">
        <v>59</v>
      </c>
      <c r="K64" s="176"/>
      <c r="L64" s="72"/>
      <c r="M64" s="293" t="s">
        <v>61</v>
      </c>
    </row>
    <row r="65" spans="1:19" ht="30">
      <c r="A65" s="151" t="s">
        <v>215</v>
      </c>
      <c r="B65" s="447"/>
      <c r="C65" s="447"/>
      <c r="D65" s="395"/>
      <c r="E65" s="72"/>
      <c r="F65" s="130" t="s">
        <v>216</v>
      </c>
      <c r="G65" s="131"/>
      <c r="H65" s="131"/>
      <c r="I65" s="132" t="s">
        <v>146</v>
      </c>
      <c r="J65" s="325" t="s">
        <v>59</v>
      </c>
      <c r="K65" s="176"/>
      <c r="L65" s="72"/>
      <c r="M65" s="293" t="s">
        <v>61</v>
      </c>
    </row>
    <row r="66" spans="1:19" ht="15.75">
      <c r="A66" s="151" t="s">
        <v>217</v>
      </c>
      <c r="B66" s="447"/>
      <c r="C66" s="447"/>
      <c r="D66" s="395"/>
      <c r="E66" s="72"/>
      <c r="F66" s="130" t="s">
        <v>218</v>
      </c>
      <c r="G66" s="131"/>
      <c r="H66" s="131"/>
      <c r="I66" s="132"/>
      <c r="J66" s="325" t="s">
        <v>59</v>
      </c>
      <c r="K66" s="176"/>
      <c r="L66" s="72"/>
      <c r="M66" s="293" t="s">
        <v>61</v>
      </c>
    </row>
    <row r="67" spans="1:19" ht="15.75">
      <c r="A67" s="151" t="s">
        <v>219</v>
      </c>
      <c r="B67" s="447"/>
      <c r="C67" s="447"/>
      <c r="D67" s="395"/>
      <c r="E67" s="72"/>
      <c r="F67" s="130" t="s">
        <v>220</v>
      </c>
      <c r="G67" s="131"/>
      <c r="H67" s="131"/>
      <c r="I67" s="132"/>
      <c r="J67" s="325" t="s">
        <v>59</v>
      </c>
      <c r="K67" s="176"/>
      <c r="L67" s="72"/>
      <c r="M67" s="293" t="s">
        <v>61</v>
      </c>
    </row>
    <row r="68" spans="1:19" ht="30">
      <c r="A68" s="151" t="s">
        <v>221</v>
      </c>
      <c r="B68" s="447"/>
      <c r="C68" s="447"/>
      <c r="D68" s="395"/>
      <c r="E68" s="72"/>
      <c r="F68" s="88" t="s">
        <v>149</v>
      </c>
      <c r="G68" s="72"/>
      <c r="H68" s="72"/>
      <c r="I68" s="88" t="s">
        <v>150</v>
      </c>
      <c r="J68" s="149" t="s">
        <v>59</v>
      </c>
      <c r="K68" s="176"/>
      <c r="L68" s="72"/>
      <c r="M68" s="293" t="s">
        <v>61</v>
      </c>
    </row>
    <row r="69" spans="1:19" ht="30">
      <c r="A69" s="151" t="s">
        <v>222</v>
      </c>
      <c r="B69" s="447"/>
      <c r="C69" s="447"/>
      <c r="D69" s="395"/>
      <c r="E69" s="72"/>
      <c r="F69" s="133" t="s">
        <v>155</v>
      </c>
      <c r="G69" s="72"/>
      <c r="H69" s="72"/>
      <c r="I69" s="88" t="s">
        <v>156</v>
      </c>
      <c r="J69" s="149" t="s">
        <v>59</v>
      </c>
      <c r="K69" s="176"/>
      <c r="L69" s="72"/>
      <c r="M69" s="293" t="s">
        <v>61</v>
      </c>
    </row>
    <row r="70" spans="1:19">
      <c r="A70" s="391" t="s">
        <v>223</v>
      </c>
      <c r="B70" s="391"/>
      <c r="C70" s="391"/>
      <c r="D70" s="391"/>
      <c r="E70" s="391"/>
      <c r="F70" s="391"/>
      <c r="G70" s="391"/>
      <c r="H70" s="391"/>
      <c r="I70" s="391"/>
      <c r="J70" s="391"/>
      <c r="K70" s="391"/>
      <c r="L70" s="391"/>
      <c r="M70" s="391"/>
      <c r="N70" s="17">
        <f>COUNTIF($J71:J93,"PASS")</f>
        <v>23</v>
      </c>
      <c r="O70" s="17">
        <f>COUNTIF($J71:J93,"FAIL")</f>
        <v>0</v>
      </c>
      <c r="P70" s="17">
        <f>COUNTBLANK(J71:J93)</f>
        <v>0</v>
      </c>
      <c r="Q70" s="17">
        <f>COUNTIF($J71:J93,"IN PROGRESS")</f>
        <v>0</v>
      </c>
      <c r="R70" s="17">
        <f>COUNTIF($J71:J93,"BLOCKED")</f>
        <v>0</v>
      </c>
    </row>
    <row r="71" spans="1:19" ht="75">
      <c r="A71" s="151" t="s">
        <v>224</v>
      </c>
      <c r="B71" s="425" t="s">
        <v>225</v>
      </c>
      <c r="C71" s="426" t="s">
        <v>54</v>
      </c>
      <c r="D71" s="436" t="s">
        <v>55</v>
      </c>
      <c r="E71" s="438" t="s">
        <v>165</v>
      </c>
      <c r="F71" s="80" t="s">
        <v>57</v>
      </c>
      <c r="G71" s="81"/>
      <c r="H71" s="82"/>
      <c r="I71" s="22" t="s">
        <v>58</v>
      </c>
      <c r="J71" s="66" t="s">
        <v>59</v>
      </c>
      <c r="K71" s="353"/>
      <c r="L71" s="89"/>
      <c r="M71" s="293" t="s">
        <v>61</v>
      </c>
      <c r="N71" s="15"/>
      <c r="O71" s="15"/>
      <c r="P71" s="15"/>
      <c r="Q71" s="24"/>
      <c r="R71" s="24"/>
      <c r="S71" s="24"/>
    </row>
    <row r="72" spans="1:19" ht="15.75">
      <c r="A72" s="151" t="s">
        <v>226</v>
      </c>
      <c r="B72" s="425"/>
      <c r="C72" s="426"/>
      <c r="D72" s="436"/>
      <c r="E72" s="438"/>
      <c r="F72" s="80" t="s">
        <v>63</v>
      </c>
      <c r="G72" s="83"/>
      <c r="H72" s="82"/>
      <c r="I72" s="22" t="s">
        <v>64</v>
      </c>
      <c r="J72" s="66" t="s">
        <v>59</v>
      </c>
      <c r="K72" s="66"/>
      <c r="L72" s="83"/>
      <c r="M72" s="293" t="s">
        <v>61</v>
      </c>
      <c r="N72" s="15"/>
      <c r="O72" s="15"/>
      <c r="P72" s="15"/>
      <c r="Q72" s="24"/>
      <c r="R72" s="24"/>
      <c r="S72" s="24"/>
    </row>
    <row r="73" spans="1:19" ht="30">
      <c r="A73" s="151" t="s">
        <v>227</v>
      </c>
      <c r="B73" s="425"/>
      <c r="C73" s="426"/>
      <c r="D73" s="436"/>
      <c r="E73" s="438"/>
      <c r="F73" s="80" t="s">
        <v>66</v>
      </c>
      <c r="G73" s="83"/>
      <c r="H73" s="82"/>
      <c r="I73" s="22" t="s">
        <v>67</v>
      </c>
      <c r="J73" s="66" t="s">
        <v>59</v>
      </c>
      <c r="K73" s="66"/>
      <c r="L73" s="83"/>
      <c r="M73" s="293" t="s">
        <v>61</v>
      </c>
      <c r="N73" s="15"/>
      <c r="O73" s="15"/>
      <c r="P73" s="15"/>
      <c r="Q73" s="24"/>
      <c r="R73" s="24"/>
      <c r="S73" s="24"/>
    </row>
    <row r="74" spans="1:19" ht="30">
      <c r="A74" s="151" t="s">
        <v>228</v>
      </c>
      <c r="B74" s="425"/>
      <c r="C74" s="426"/>
      <c r="D74" s="436"/>
      <c r="E74" s="438"/>
      <c r="F74" s="141" t="s">
        <v>69</v>
      </c>
      <c r="G74" s="83" t="s">
        <v>70</v>
      </c>
      <c r="H74" s="82"/>
      <c r="I74" s="81" t="s">
        <v>71</v>
      </c>
      <c r="J74" s="66" t="s">
        <v>59</v>
      </c>
      <c r="K74" s="66"/>
      <c r="L74" s="83"/>
      <c r="M74" s="293" t="s">
        <v>61</v>
      </c>
      <c r="N74" s="15"/>
      <c r="O74" s="15"/>
      <c r="P74" s="15"/>
      <c r="Q74" s="24"/>
      <c r="R74" s="24"/>
      <c r="S74" s="24"/>
    </row>
    <row r="75" spans="1:19" ht="30">
      <c r="A75" s="151" t="s">
        <v>229</v>
      </c>
      <c r="B75" s="425"/>
      <c r="C75" s="426"/>
      <c r="D75" s="436"/>
      <c r="E75" s="438"/>
      <c r="F75" s="141" t="s">
        <v>73</v>
      </c>
      <c r="G75" s="81" t="s">
        <v>74</v>
      </c>
      <c r="H75" s="82"/>
      <c r="I75" s="81" t="s">
        <v>71</v>
      </c>
      <c r="J75" s="66" t="s">
        <v>59</v>
      </c>
      <c r="K75" s="66"/>
      <c r="L75" s="83"/>
      <c r="M75" s="293" t="s">
        <v>61</v>
      </c>
      <c r="N75" s="15"/>
      <c r="O75" s="15"/>
      <c r="P75" s="15"/>
      <c r="Q75" s="24"/>
      <c r="R75" s="24"/>
      <c r="S75" s="24"/>
    </row>
    <row r="76" spans="1:19" ht="90">
      <c r="A76" s="151" t="s">
        <v>230</v>
      </c>
      <c r="B76" s="425"/>
      <c r="C76" s="426"/>
      <c r="D76" s="437" t="s">
        <v>76</v>
      </c>
      <c r="E76" s="438"/>
      <c r="F76" s="84" t="s">
        <v>77</v>
      </c>
      <c r="G76" s="81"/>
      <c r="H76" s="83"/>
      <c r="I76" s="81" t="s">
        <v>78</v>
      </c>
      <c r="J76" s="66" t="s">
        <v>59</v>
      </c>
      <c r="K76" s="66"/>
      <c r="L76" s="83"/>
      <c r="M76" s="293" t="s">
        <v>61</v>
      </c>
      <c r="N76" s="15"/>
      <c r="O76" s="15"/>
      <c r="P76" s="15"/>
      <c r="Q76" s="24"/>
      <c r="R76" s="24"/>
      <c r="S76" s="24"/>
    </row>
    <row r="77" spans="1:19" ht="30">
      <c r="A77" s="151" t="s">
        <v>231</v>
      </c>
      <c r="B77" s="425"/>
      <c r="C77" s="426"/>
      <c r="D77" s="437"/>
      <c r="E77" s="438"/>
      <c r="F77" s="84" t="s">
        <v>80</v>
      </c>
      <c r="G77" s="85"/>
      <c r="H77" s="82"/>
      <c r="I77" s="22" t="s">
        <v>81</v>
      </c>
      <c r="J77" s="66" t="s">
        <v>59</v>
      </c>
      <c r="K77" s="66"/>
      <c r="L77" s="83"/>
      <c r="M77" s="293" t="s">
        <v>61</v>
      </c>
      <c r="N77" s="15"/>
      <c r="O77" s="15"/>
      <c r="P77" s="15"/>
      <c r="Q77" s="24"/>
      <c r="R77" s="24"/>
      <c r="S77" s="24"/>
    </row>
    <row r="78" spans="1:19" ht="15.75">
      <c r="A78" s="151" t="s">
        <v>232</v>
      </c>
      <c r="B78" s="425"/>
      <c r="C78" s="426"/>
      <c r="D78" s="437"/>
      <c r="E78" s="438"/>
      <c r="F78" s="84" t="s">
        <v>83</v>
      </c>
      <c r="G78" s="81"/>
      <c r="H78" s="83"/>
      <c r="I78" s="81" t="s">
        <v>84</v>
      </c>
      <c r="J78" s="66" t="s">
        <v>59</v>
      </c>
      <c r="K78" s="66"/>
      <c r="L78" s="83"/>
      <c r="M78" s="293" t="s">
        <v>61</v>
      </c>
      <c r="N78" s="15"/>
      <c r="O78" s="15"/>
      <c r="P78" s="15"/>
      <c r="Q78" s="24"/>
      <c r="R78" s="24"/>
      <c r="S78" s="24"/>
    </row>
    <row r="79" spans="1:19" ht="30">
      <c r="A79" s="151" t="s">
        <v>233</v>
      </c>
      <c r="B79" s="425"/>
      <c r="C79" s="426"/>
      <c r="D79" s="437"/>
      <c r="E79" s="438"/>
      <c r="F79" s="84" t="s">
        <v>86</v>
      </c>
      <c r="G79" s="85"/>
      <c r="H79" s="83"/>
      <c r="I79" s="81" t="s">
        <v>87</v>
      </c>
      <c r="J79" s="66" t="s">
        <v>59</v>
      </c>
      <c r="K79" s="353"/>
      <c r="L79" s="83"/>
      <c r="M79" s="293" t="s">
        <v>61</v>
      </c>
      <c r="N79" s="15"/>
      <c r="O79" s="15"/>
      <c r="P79" s="15"/>
      <c r="Q79" s="24"/>
      <c r="R79" s="24"/>
      <c r="S79" s="24"/>
    </row>
    <row r="80" spans="1:19" ht="45">
      <c r="A80" s="151" t="s">
        <v>234</v>
      </c>
      <c r="B80" s="425"/>
      <c r="C80" s="426"/>
      <c r="D80" s="437"/>
      <c r="E80" s="438"/>
      <c r="F80" s="84" t="s">
        <v>89</v>
      </c>
      <c r="G80" s="81"/>
      <c r="H80" s="83"/>
      <c r="I80" s="81" t="s">
        <v>90</v>
      </c>
      <c r="J80" s="66" t="s">
        <v>59</v>
      </c>
      <c r="K80" s="353"/>
      <c r="L80" s="83"/>
      <c r="M80" s="293" t="s">
        <v>61</v>
      </c>
      <c r="N80" s="15"/>
      <c r="O80" s="15"/>
      <c r="P80" s="15"/>
      <c r="Q80" s="24"/>
      <c r="R80" s="24"/>
      <c r="S80" s="24"/>
    </row>
    <row r="81" spans="1:19" ht="30">
      <c r="A81" s="151" t="s">
        <v>235</v>
      </c>
      <c r="B81" s="425"/>
      <c r="C81" s="426"/>
      <c r="D81" s="437"/>
      <c r="E81" s="438"/>
      <c r="F81" s="144" t="s">
        <v>92</v>
      </c>
      <c r="G81" s="144" t="s">
        <v>93</v>
      </c>
      <c r="H81" s="145"/>
      <c r="I81" s="144" t="s">
        <v>94</v>
      </c>
      <c r="J81" s="66" t="s">
        <v>59</v>
      </c>
      <c r="K81" s="68"/>
      <c r="L81" s="145"/>
      <c r="M81" s="293" t="s">
        <v>61</v>
      </c>
      <c r="N81" s="15"/>
      <c r="O81" s="15"/>
      <c r="P81" s="15"/>
      <c r="Q81" s="24"/>
      <c r="R81" s="24"/>
      <c r="S81" s="24"/>
    </row>
    <row r="82" spans="1:19" ht="75">
      <c r="A82" s="151" t="s">
        <v>236</v>
      </c>
      <c r="B82" s="450" t="s">
        <v>237</v>
      </c>
      <c r="C82" s="451" t="s">
        <v>54</v>
      </c>
      <c r="D82" s="449" t="s">
        <v>238</v>
      </c>
      <c r="E82" s="72"/>
      <c r="F82" s="80" t="s">
        <v>57</v>
      </c>
      <c r="G82" s="81"/>
      <c r="H82" s="82"/>
      <c r="I82" s="22" t="s">
        <v>58</v>
      </c>
      <c r="J82" s="66" t="s">
        <v>59</v>
      </c>
      <c r="K82" s="176"/>
      <c r="L82" s="72"/>
      <c r="M82" s="293" t="s">
        <v>61</v>
      </c>
    </row>
    <row r="83" spans="1:19" ht="30">
      <c r="A83" s="151" t="s">
        <v>239</v>
      </c>
      <c r="B83" s="450"/>
      <c r="C83" s="451"/>
      <c r="D83" s="449"/>
      <c r="E83" s="72"/>
      <c r="F83" s="88" t="s">
        <v>138</v>
      </c>
      <c r="G83" s="88"/>
      <c r="H83" s="88"/>
      <c r="I83" s="88" t="s">
        <v>139</v>
      </c>
      <c r="J83" s="66" t="s">
        <v>59</v>
      </c>
      <c r="K83" s="176"/>
      <c r="L83" s="72"/>
      <c r="M83" s="293" t="s">
        <v>61</v>
      </c>
    </row>
    <row r="84" spans="1:19" ht="30">
      <c r="A84" s="151" t="s">
        <v>240</v>
      </c>
      <c r="B84" s="450"/>
      <c r="C84" s="451"/>
      <c r="D84" s="449"/>
      <c r="E84" s="72"/>
      <c r="F84" s="72" t="s">
        <v>241</v>
      </c>
      <c r="G84" s="72"/>
      <c r="H84" s="72"/>
      <c r="I84" s="88" t="s">
        <v>242</v>
      </c>
      <c r="J84" s="66" t="s">
        <v>59</v>
      </c>
      <c r="K84" s="176">
        <v>38299</v>
      </c>
      <c r="L84" s="72"/>
      <c r="M84" s="293" t="s">
        <v>61</v>
      </c>
    </row>
    <row r="85" spans="1:19" ht="30">
      <c r="A85" s="151" t="s">
        <v>243</v>
      </c>
      <c r="B85" s="450"/>
      <c r="C85" s="451"/>
      <c r="D85" s="449"/>
      <c r="E85" s="72"/>
      <c r="F85" s="88" t="s">
        <v>149</v>
      </c>
      <c r="G85" s="72"/>
      <c r="H85" s="72"/>
      <c r="I85" s="88" t="s">
        <v>150</v>
      </c>
      <c r="J85" s="66" t="s">
        <v>59</v>
      </c>
      <c r="K85" s="176"/>
      <c r="L85" s="72"/>
      <c r="M85" s="293" t="s">
        <v>61</v>
      </c>
    </row>
    <row r="86" spans="1:19" ht="75">
      <c r="A86" s="151" t="s">
        <v>244</v>
      </c>
      <c r="B86" s="450" t="s">
        <v>245</v>
      </c>
      <c r="C86" s="451" t="s">
        <v>54</v>
      </c>
      <c r="D86" s="449" t="s">
        <v>246</v>
      </c>
      <c r="E86" s="72"/>
      <c r="F86" s="80" t="s">
        <v>57</v>
      </c>
      <c r="G86" s="81"/>
      <c r="H86" s="82"/>
      <c r="I86" s="22" t="s">
        <v>58</v>
      </c>
      <c r="J86" s="156" t="s">
        <v>59</v>
      </c>
      <c r="K86" s="176"/>
      <c r="L86" s="72"/>
      <c r="M86" s="293" t="s">
        <v>61</v>
      </c>
    </row>
    <row r="87" spans="1:19" ht="30">
      <c r="A87" s="151" t="s">
        <v>247</v>
      </c>
      <c r="B87" s="450"/>
      <c r="C87" s="451"/>
      <c r="D87" s="449"/>
      <c r="E87" s="72"/>
      <c r="F87" s="88" t="s">
        <v>138</v>
      </c>
      <c r="G87" s="88"/>
      <c r="H87" s="88"/>
      <c r="I87" s="88" t="s">
        <v>139</v>
      </c>
      <c r="J87" s="156" t="s">
        <v>59</v>
      </c>
      <c r="K87" s="176"/>
      <c r="L87" s="72"/>
      <c r="M87" s="293" t="s">
        <v>61</v>
      </c>
    </row>
    <row r="88" spans="1:19" ht="30">
      <c r="A88" s="151" t="s">
        <v>248</v>
      </c>
      <c r="B88" s="450"/>
      <c r="C88" s="451"/>
      <c r="D88" s="449"/>
      <c r="E88" s="72"/>
      <c r="F88" s="72" t="s">
        <v>249</v>
      </c>
      <c r="G88" s="72"/>
      <c r="H88" s="72"/>
      <c r="I88" s="88" t="s">
        <v>242</v>
      </c>
      <c r="J88" s="156" t="s">
        <v>59</v>
      </c>
      <c r="K88" s="176"/>
      <c r="L88" s="72"/>
      <c r="M88" s="293" t="s">
        <v>61</v>
      </c>
    </row>
    <row r="89" spans="1:19" ht="30">
      <c r="A89" s="151" t="s">
        <v>250</v>
      </c>
      <c r="B89" s="450"/>
      <c r="C89" s="451"/>
      <c r="D89" s="449"/>
      <c r="E89" s="72"/>
      <c r="F89" s="88" t="s">
        <v>149</v>
      </c>
      <c r="G89" s="72"/>
      <c r="H89" s="72"/>
      <c r="I89" s="88" t="s">
        <v>150</v>
      </c>
      <c r="J89" s="156" t="s">
        <v>59</v>
      </c>
      <c r="K89" s="176"/>
      <c r="L89" s="72"/>
      <c r="M89" s="293" t="s">
        <v>61</v>
      </c>
    </row>
    <row r="90" spans="1:19" ht="75">
      <c r="A90" s="151" t="s">
        <v>251</v>
      </c>
      <c r="B90" s="450" t="s">
        <v>252</v>
      </c>
      <c r="C90" s="451" t="s">
        <v>54</v>
      </c>
      <c r="D90" s="449" t="s">
        <v>253</v>
      </c>
      <c r="E90" s="72"/>
      <c r="F90" s="80" t="s">
        <v>57</v>
      </c>
      <c r="G90" s="81"/>
      <c r="H90" s="82"/>
      <c r="I90" s="22" t="s">
        <v>58</v>
      </c>
      <c r="J90" s="156" t="s">
        <v>59</v>
      </c>
      <c r="K90" s="176"/>
      <c r="L90" s="72"/>
      <c r="M90" s="293" t="s">
        <v>61</v>
      </c>
    </row>
    <row r="91" spans="1:19" ht="30">
      <c r="A91" s="151" t="s">
        <v>254</v>
      </c>
      <c r="B91" s="450"/>
      <c r="C91" s="451"/>
      <c r="D91" s="449"/>
      <c r="E91" s="72"/>
      <c r="F91" s="88" t="s">
        <v>138</v>
      </c>
      <c r="G91" s="88"/>
      <c r="H91" s="88"/>
      <c r="I91" s="88" t="s">
        <v>139</v>
      </c>
      <c r="J91" s="156" t="s">
        <v>59</v>
      </c>
      <c r="K91" s="176"/>
      <c r="L91" s="72"/>
      <c r="M91" s="293" t="s">
        <v>61</v>
      </c>
    </row>
    <row r="92" spans="1:19" ht="30">
      <c r="A92" s="151" t="s">
        <v>255</v>
      </c>
      <c r="B92" s="450"/>
      <c r="C92" s="451"/>
      <c r="D92" s="449"/>
      <c r="E92" s="72"/>
      <c r="F92" s="72" t="s">
        <v>249</v>
      </c>
      <c r="G92" s="72"/>
      <c r="H92" s="72"/>
      <c r="I92" s="88" t="s">
        <v>242</v>
      </c>
      <c r="J92" s="156" t="s">
        <v>59</v>
      </c>
      <c r="K92" s="176"/>
      <c r="L92" s="72"/>
      <c r="M92" s="293" t="s">
        <v>61</v>
      </c>
    </row>
    <row r="93" spans="1:19" ht="30">
      <c r="A93" s="151" t="s">
        <v>256</v>
      </c>
      <c r="B93" s="450"/>
      <c r="C93" s="451"/>
      <c r="D93" s="449"/>
      <c r="E93" s="72"/>
      <c r="F93" s="88" t="s">
        <v>149</v>
      </c>
      <c r="G93" s="72"/>
      <c r="H93" s="72"/>
      <c r="I93" s="88" t="s">
        <v>150</v>
      </c>
      <c r="J93" s="156" t="s">
        <v>59</v>
      </c>
      <c r="K93" s="176"/>
      <c r="L93" s="72"/>
      <c r="M93" s="293" t="s">
        <v>61</v>
      </c>
    </row>
    <row r="94" spans="1:19">
      <c r="A94" s="452" t="s">
        <v>257</v>
      </c>
      <c r="B94" s="452"/>
      <c r="C94" s="452"/>
      <c r="D94" s="452"/>
      <c r="E94" s="452"/>
      <c r="F94" s="452"/>
      <c r="G94" s="452"/>
      <c r="H94" s="452"/>
      <c r="I94" s="452"/>
      <c r="J94" s="452"/>
      <c r="K94" s="452"/>
      <c r="L94" s="452"/>
      <c r="M94" s="452"/>
      <c r="N94" s="17">
        <f>COUNTIF($J95:J108,"PASS")</f>
        <v>14</v>
      </c>
      <c r="O94" s="17">
        <f>COUNTIF($J95:J108,"FAIL")</f>
        <v>0</v>
      </c>
      <c r="P94" s="17">
        <f>COUNTBLANK(J95:J108)</f>
        <v>0</v>
      </c>
      <c r="Q94" s="17">
        <f>COUNTIF($J95:J108,"IN PROGRESS")</f>
        <v>0</v>
      </c>
      <c r="R94" s="17">
        <f>COUNTIF($J95:J108,"BLOCKED")</f>
        <v>0</v>
      </c>
    </row>
    <row r="95" spans="1:19" ht="76.5" customHeight="1">
      <c r="A95" s="151" t="s">
        <v>258</v>
      </c>
      <c r="B95" s="456" t="s">
        <v>259</v>
      </c>
      <c r="C95" s="450" t="s">
        <v>54</v>
      </c>
      <c r="D95" s="453" t="s">
        <v>55</v>
      </c>
      <c r="E95" s="454"/>
      <c r="F95" s="152" t="s">
        <v>57</v>
      </c>
      <c r="G95" s="153"/>
      <c r="H95" s="154"/>
      <c r="I95" s="155" t="s">
        <v>58</v>
      </c>
      <c r="J95" s="156" t="s">
        <v>59</v>
      </c>
      <c r="K95" s="373" t="s">
        <v>260</v>
      </c>
      <c r="L95" s="161"/>
      <c r="M95" s="293" t="s">
        <v>61</v>
      </c>
    </row>
    <row r="96" spans="1:19" ht="15.75">
      <c r="A96" s="151" t="s">
        <v>261</v>
      </c>
      <c r="B96" s="456"/>
      <c r="C96" s="450"/>
      <c r="D96" s="453"/>
      <c r="E96" s="454"/>
      <c r="F96" s="152" t="s">
        <v>63</v>
      </c>
      <c r="G96" s="157"/>
      <c r="H96" s="154"/>
      <c r="I96" s="155" t="s">
        <v>64</v>
      </c>
      <c r="J96" s="156" t="s">
        <v>59</v>
      </c>
      <c r="K96" s="156"/>
      <c r="L96" s="157"/>
      <c r="M96" s="293" t="s">
        <v>61</v>
      </c>
    </row>
    <row r="97" spans="1:18" ht="42.75" customHeight="1">
      <c r="A97" s="151" t="s">
        <v>262</v>
      </c>
      <c r="B97" s="456"/>
      <c r="C97" s="450"/>
      <c r="D97" s="453"/>
      <c r="E97" s="454"/>
      <c r="F97" s="152" t="s">
        <v>66</v>
      </c>
      <c r="G97" s="157"/>
      <c r="H97" s="154"/>
      <c r="I97" s="155" t="s">
        <v>67</v>
      </c>
      <c r="J97" s="156" t="s">
        <v>59</v>
      </c>
      <c r="K97" s="355">
        <v>38193</v>
      </c>
      <c r="L97" s="157"/>
      <c r="M97" s="293" t="s">
        <v>61</v>
      </c>
    </row>
    <row r="98" spans="1:18" ht="15" customHeight="1">
      <c r="A98" s="151" t="s">
        <v>263</v>
      </c>
      <c r="B98" s="456"/>
      <c r="C98" s="450"/>
      <c r="D98" s="453"/>
      <c r="E98" s="454"/>
      <c r="F98" s="158" t="s">
        <v>69</v>
      </c>
      <c r="G98" s="157" t="s">
        <v>70</v>
      </c>
      <c r="H98" s="154"/>
      <c r="I98" s="153" t="s">
        <v>71</v>
      </c>
      <c r="J98" s="156" t="s">
        <v>59</v>
      </c>
      <c r="K98" s="156"/>
      <c r="L98" s="157"/>
      <c r="M98" s="293" t="s">
        <v>61</v>
      </c>
    </row>
    <row r="99" spans="1:18" ht="38.25" customHeight="1">
      <c r="A99" s="151" t="s">
        <v>264</v>
      </c>
      <c r="B99" s="456"/>
      <c r="C99" s="450"/>
      <c r="D99" s="453"/>
      <c r="E99" s="454"/>
      <c r="F99" s="158" t="s">
        <v>73</v>
      </c>
      <c r="G99" s="153" t="s">
        <v>74</v>
      </c>
      <c r="H99" s="154"/>
      <c r="I99" s="153" t="s">
        <v>71</v>
      </c>
      <c r="J99" s="156" t="s">
        <v>59</v>
      </c>
      <c r="K99" s="156"/>
      <c r="L99" s="157"/>
      <c r="M99" s="293" t="s">
        <v>61</v>
      </c>
    </row>
    <row r="100" spans="1:18" ht="33" customHeight="1">
      <c r="A100" s="151" t="s">
        <v>265</v>
      </c>
      <c r="B100" s="456"/>
      <c r="C100" s="450"/>
      <c r="D100" s="453"/>
      <c r="E100" s="454"/>
      <c r="F100" s="152" t="s">
        <v>119</v>
      </c>
      <c r="G100" s="153"/>
      <c r="H100" s="154"/>
      <c r="I100" s="152" t="s">
        <v>120</v>
      </c>
      <c r="J100" s="156" t="s">
        <v>59</v>
      </c>
      <c r="K100" s="156"/>
      <c r="L100" s="157"/>
      <c r="M100" s="293" t="s">
        <v>61</v>
      </c>
    </row>
    <row r="101" spans="1:18" ht="15.75">
      <c r="A101" s="151" t="s">
        <v>266</v>
      </c>
      <c r="B101" s="456"/>
      <c r="C101" s="450"/>
      <c r="D101" s="453"/>
      <c r="E101" s="454"/>
      <c r="F101" s="152" t="s">
        <v>122</v>
      </c>
      <c r="G101" s="153"/>
      <c r="H101" s="154"/>
      <c r="I101" s="152" t="s">
        <v>123</v>
      </c>
      <c r="J101" s="156" t="s">
        <v>59</v>
      </c>
      <c r="K101" s="156"/>
      <c r="L101" s="157"/>
      <c r="M101" s="293" t="s">
        <v>61</v>
      </c>
    </row>
    <row r="102" spans="1:18" ht="15.75">
      <c r="A102" s="151" t="s">
        <v>267</v>
      </c>
      <c r="B102" s="456"/>
      <c r="C102" s="450"/>
      <c r="D102" s="453"/>
      <c r="E102" s="454"/>
      <c r="F102" s="152" t="s">
        <v>125</v>
      </c>
      <c r="G102" s="153"/>
      <c r="H102" s="154"/>
      <c r="I102" s="152" t="s">
        <v>123</v>
      </c>
      <c r="J102" s="156" t="s">
        <v>59</v>
      </c>
      <c r="K102" s="156"/>
      <c r="L102" s="157"/>
      <c r="M102" s="293" t="s">
        <v>61</v>
      </c>
    </row>
    <row r="103" spans="1:18" ht="87" customHeight="1">
      <c r="A103" s="151" t="s">
        <v>268</v>
      </c>
      <c r="B103" s="456"/>
      <c r="C103" s="450"/>
      <c r="D103" s="455" t="s">
        <v>76</v>
      </c>
      <c r="E103" s="454"/>
      <c r="F103" s="159" t="s">
        <v>77</v>
      </c>
      <c r="G103" s="153"/>
      <c r="H103" s="157"/>
      <c r="I103" s="153" t="s">
        <v>78</v>
      </c>
      <c r="J103" s="156" t="s">
        <v>59</v>
      </c>
      <c r="K103" s="156"/>
      <c r="L103" s="157"/>
      <c r="M103" s="293" t="s">
        <v>61</v>
      </c>
    </row>
    <row r="104" spans="1:18" ht="15" customHeight="1">
      <c r="A104" s="151" t="s">
        <v>269</v>
      </c>
      <c r="B104" s="456"/>
      <c r="C104" s="450"/>
      <c r="D104" s="455"/>
      <c r="E104" s="454"/>
      <c r="F104" s="159" t="s">
        <v>80</v>
      </c>
      <c r="G104" s="160"/>
      <c r="H104" s="154"/>
      <c r="I104" s="155" t="s">
        <v>81</v>
      </c>
      <c r="J104" s="156" t="s">
        <v>59</v>
      </c>
      <c r="K104" s="156"/>
      <c r="L104" s="157"/>
      <c r="M104" s="293" t="s">
        <v>61</v>
      </c>
    </row>
    <row r="105" spans="1:18" ht="15.75">
      <c r="A105" s="151" t="s">
        <v>270</v>
      </c>
      <c r="B105" s="456"/>
      <c r="C105" s="450"/>
      <c r="D105" s="455"/>
      <c r="E105" s="454"/>
      <c r="F105" s="159" t="s">
        <v>83</v>
      </c>
      <c r="G105" s="153"/>
      <c r="H105" s="157"/>
      <c r="I105" s="153" t="s">
        <v>84</v>
      </c>
      <c r="J105" s="156" t="s">
        <v>59</v>
      </c>
      <c r="K105" s="156"/>
      <c r="L105" s="157"/>
      <c r="M105" s="293" t="s">
        <v>61</v>
      </c>
    </row>
    <row r="106" spans="1:18" ht="29.25" customHeight="1">
      <c r="A106" s="151" t="s">
        <v>271</v>
      </c>
      <c r="B106" s="456"/>
      <c r="C106" s="450"/>
      <c r="D106" s="455"/>
      <c r="E106" s="454"/>
      <c r="F106" s="159" t="s">
        <v>86</v>
      </c>
      <c r="G106" s="160"/>
      <c r="H106" s="157"/>
      <c r="I106" s="153" t="s">
        <v>87</v>
      </c>
      <c r="J106" s="156" t="s">
        <v>59</v>
      </c>
      <c r="K106" s="337"/>
      <c r="L106" s="157"/>
      <c r="M106" s="293" t="s">
        <v>61</v>
      </c>
    </row>
    <row r="107" spans="1:18" ht="29.25" customHeight="1">
      <c r="A107" s="151" t="s">
        <v>272</v>
      </c>
      <c r="B107" s="456"/>
      <c r="C107" s="450"/>
      <c r="D107" s="455"/>
      <c r="E107" s="454"/>
      <c r="F107" s="159" t="s">
        <v>89</v>
      </c>
      <c r="G107" s="153"/>
      <c r="H107" s="157"/>
      <c r="I107" s="153" t="s">
        <v>90</v>
      </c>
      <c r="J107" s="156" t="s">
        <v>59</v>
      </c>
      <c r="K107" s="337"/>
      <c r="L107" s="157"/>
      <c r="M107" s="293" t="s">
        <v>61</v>
      </c>
    </row>
    <row r="108" spans="1:18" ht="15" customHeight="1">
      <c r="A108" s="151" t="s">
        <v>273</v>
      </c>
      <c r="B108" s="456"/>
      <c r="C108" s="450"/>
      <c r="D108" s="455"/>
      <c r="E108" s="454"/>
      <c r="F108" s="153" t="s">
        <v>92</v>
      </c>
      <c r="G108" s="153" t="s">
        <v>93</v>
      </c>
      <c r="H108" s="157"/>
      <c r="I108" s="153" t="s">
        <v>94</v>
      </c>
      <c r="J108" s="156" t="s">
        <v>59</v>
      </c>
      <c r="K108" s="156"/>
      <c r="L108" s="157"/>
      <c r="M108" s="293" t="s">
        <v>61</v>
      </c>
    </row>
    <row r="109" spans="1:18">
      <c r="A109" s="448" t="s">
        <v>274</v>
      </c>
      <c r="B109" s="448"/>
      <c r="C109" s="448"/>
      <c r="D109" s="448"/>
      <c r="E109" s="448"/>
      <c r="F109" s="448"/>
      <c r="G109" s="448"/>
      <c r="H109" s="448"/>
      <c r="I109" s="448"/>
      <c r="J109" s="448"/>
      <c r="K109" s="448"/>
      <c r="L109" s="448"/>
      <c r="M109" s="448"/>
      <c r="N109" s="313">
        <f>COUNTIF($J110:J112,"PASS")</f>
        <v>3</v>
      </c>
      <c r="O109" s="313">
        <f>COUNTIF($J110:J112,"FAIL")</f>
        <v>0</v>
      </c>
      <c r="P109" s="313">
        <f>COUNTBLANK(J110:J112)</f>
        <v>0</v>
      </c>
      <c r="Q109" s="313">
        <f>COUNTIF($J110:J112,"IN PROGRESS")</f>
        <v>0</v>
      </c>
      <c r="R109" s="313">
        <f>COUNTIF($J110:J112,"BLOCKED")</f>
        <v>0</v>
      </c>
    </row>
    <row r="110" spans="1:18" ht="120">
      <c r="A110" s="151" t="s">
        <v>275</v>
      </c>
      <c r="B110" s="445"/>
      <c r="C110" s="447"/>
      <c r="D110" s="173" t="s">
        <v>276</v>
      </c>
      <c r="E110" s="316" t="s">
        <v>277</v>
      </c>
      <c r="F110" s="173" t="s">
        <v>278</v>
      </c>
      <c r="G110" s="122"/>
      <c r="H110" s="122"/>
      <c r="I110" s="443"/>
      <c r="J110" s="156" t="s">
        <v>59</v>
      </c>
      <c r="K110" s="355">
        <v>38298</v>
      </c>
      <c r="L110" s="122"/>
      <c r="M110" s="336" t="s">
        <v>61</v>
      </c>
    </row>
    <row r="111" spans="1:18" ht="180">
      <c r="A111" s="151" t="s">
        <v>279</v>
      </c>
      <c r="B111" s="445"/>
      <c r="C111" s="447"/>
      <c r="D111" s="173" t="s">
        <v>280</v>
      </c>
      <c r="E111" s="124" t="s">
        <v>281</v>
      </c>
      <c r="F111" s="173" t="s">
        <v>278</v>
      </c>
      <c r="G111" s="122"/>
      <c r="H111" s="122"/>
      <c r="I111" s="443"/>
      <c r="J111" s="156" t="s">
        <v>59</v>
      </c>
      <c r="K111" s="176"/>
      <c r="L111" s="122"/>
      <c r="M111" s="336" t="s">
        <v>61</v>
      </c>
    </row>
    <row r="112" spans="1:18" ht="90">
      <c r="A112" s="151" t="s">
        <v>282</v>
      </c>
      <c r="B112" s="446"/>
      <c r="C112" s="447"/>
      <c r="D112" s="173" t="s">
        <v>283</v>
      </c>
      <c r="E112" s="124" t="s">
        <v>284</v>
      </c>
      <c r="F112" s="173" t="s">
        <v>278</v>
      </c>
      <c r="G112" s="122"/>
      <c r="H112" s="122"/>
      <c r="I112" s="444"/>
      <c r="J112" s="156" t="s">
        <v>59</v>
      </c>
      <c r="K112" s="355" t="s">
        <v>285</v>
      </c>
      <c r="L112" s="122"/>
      <c r="M112" s="336" t="s">
        <v>61</v>
      </c>
    </row>
  </sheetData>
  <mergeCells count="55">
    <mergeCell ref="A2:M2"/>
    <mergeCell ref="B3:B16"/>
    <mergeCell ref="C3:C16"/>
    <mergeCell ref="D3:D10"/>
    <mergeCell ref="D11:D16"/>
    <mergeCell ref="E3:E25"/>
    <mergeCell ref="D17:D23"/>
    <mergeCell ref="B17:B23"/>
    <mergeCell ref="C17:C23"/>
    <mergeCell ref="D24:D25"/>
    <mergeCell ref="B24:B25"/>
    <mergeCell ref="C24:C25"/>
    <mergeCell ref="B42:B46"/>
    <mergeCell ref="C42:C46"/>
    <mergeCell ref="D42:D46"/>
    <mergeCell ref="A26:M26"/>
    <mergeCell ref="D27:D34"/>
    <mergeCell ref="C27:C41"/>
    <mergeCell ref="B27:B41"/>
    <mergeCell ref="D35:D41"/>
    <mergeCell ref="E27:E41"/>
    <mergeCell ref="A47:M47"/>
    <mergeCell ref="B48:B61"/>
    <mergeCell ref="C48:C61"/>
    <mergeCell ref="D48:D55"/>
    <mergeCell ref="E48:E61"/>
    <mergeCell ref="D56:D61"/>
    <mergeCell ref="D103:D108"/>
    <mergeCell ref="B95:B108"/>
    <mergeCell ref="C95:C108"/>
    <mergeCell ref="B62:B69"/>
    <mergeCell ref="C62:C69"/>
    <mergeCell ref="D62:D69"/>
    <mergeCell ref="A70:M70"/>
    <mergeCell ref="B71:B81"/>
    <mergeCell ref="C71:C81"/>
    <mergeCell ref="D71:D75"/>
    <mergeCell ref="E71:E81"/>
    <mergeCell ref="D76:D81"/>
    <mergeCell ref="I110:I112"/>
    <mergeCell ref="B110:B112"/>
    <mergeCell ref="C110:C112"/>
    <mergeCell ref="A109:M109"/>
    <mergeCell ref="D82:D85"/>
    <mergeCell ref="B82:B85"/>
    <mergeCell ref="C82:C85"/>
    <mergeCell ref="B86:B89"/>
    <mergeCell ref="C86:C89"/>
    <mergeCell ref="D86:D89"/>
    <mergeCell ref="B90:B93"/>
    <mergeCell ref="C90:C93"/>
    <mergeCell ref="D90:D93"/>
    <mergeCell ref="A94:M94"/>
    <mergeCell ref="D95:D102"/>
    <mergeCell ref="E95:E108"/>
  </mergeCells>
  <conditionalFormatting sqref="J1:J2">
    <cfRule type="containsText" dxfId="195" priority="232" operator="containsText" text="PASS">
      <formula>NOT(ISERROR(SEARCH("PASS",J1)))</formula>
    </cfRule>
    <cfRule type="containsText" dxfId="194" priority="231" operator="containsText" text="FAIL">
      <formula>NOT(ISERROR(SEARCH("FAIL",J1)))</formula>
    </cfRule>
  </conditionalFormatting>
  <conditionalFormatting sqref="J3:J25">
    <cfRule type="containsText" dxfId="193" priority="37" operator="containsText" text="BLOCKED">
      <formula>NOT(ISERROR(SEARCH("BLOCKED",J3)))</formula>
    </cfRule>
    <cfRule type="containsText" dxfId="192" priority="38" stopIfTrue="1" operator="containsText" text="IN PROGRESS">
      <formula>NOT(ISERROR(SEARCH("IN PROGRESS",J3)))</formula>
    </cfRule>
    <cfRule type="containsText" dxfId="191" priority="39" stopIfTrue="1" operator="containsText" text="PASS">
      <formula>NOT(ISERROR(SEARCH("PASS",J3)))</formula>
    </cfRule>
    <cfRule type="containsText" dxfId="190" priority="40" stopIfTrue="1" operator="containsText" text="FAIL">
      <formula>NOT(ISERROR(SEARCH("FAIL",J3)))</formula>
    </cfRule>
  </conditionalFormatting>
  <conditionalFormatting sqref="J26">
    <cfRule type="containsText" dxfId="189" priority="226" operator="containsText" text="PASS">
      <formula>NOT(ISERROR(SEARCH("PASS",J26)))</formula>
    </cfRule>
    <cfRule type="containsText" dxfId="188" priority="225" operator="containsText" text="FAIL">
      <formula>NOT(ISERROR(SEARCH("FAIL",J26)))</formula>
    </cfRule>
  </conditionalFormatting>
  <conditionalFormatting sqref="J27:J46">
    <cfRule type="containsText" dxfId="187" priority="1" operator="containsText" text="BLOCKED">
      <formula>NOT(ISERROR(SEARCH("BLOCKED",J27)))</formula>
    </cfRule>
    <cfRule type="containsText" dxfId="186" priority="2" stopIfTrue="1" operator="containsText" text="IN PROGRESS">
      <formula>NOT(ISERROR(SEARCH("IN PROGRESS",J27)))</formula>
    </cfRule>
    <cfRule type="containsText" dxfId="185" priority="3" stopIfTrue="1" operator="containsText" text="PASS">
      <formula>NOT(ISERROR(SEARCH("PASS",J27)))</formula>
    </cfRule>
    <cfRule type="containsText" dxfId="184" priority="4" stopIfTrue="1" operator="containsText" text="FAIL">
      <formula>NOT(ISERROR(SEARCH("FAIL",J27)))</formula>
    </cfRule>
  </conditionalFormatting>
  <conditionalFormatting sqref="J47">
    <cfRule type="containsText" dxfId="183" priority="219" operator="containsText" text="FAIL">
      <formula>NOT(ISERROR(SEARCH("FAIL",J47)))</formula>
    </cfRule>
    <cfRule type="containsText" dxfId="182" priority="220" operator="containsText" text="PASS">
      <formula>NOT(ISERROR(SEARCH("PASS",J47)))</formula>
    </cfRule>
  </conditionalFormatting>
  <conditionalFormatting sqref="J48:J69">
    <cfRule type="containsText" dxfId="181" priority="5" operator="containsText" text="BLOCKED">
      <formula>NOT(ISERROR(SEARCH("BLOCKED",J48)))</formula>
    </cfRule>
    <cfRule type="containsText" dxfId="180" priority="6" stopIfTrue="1" operator="containsText" text="IN PROGRESS">
      <formula>NOT(ISERROR(SEARCH("IN PROGRESS",J48)))</formula>
    </cfRule>
    <cfRule type="containsText" dxfId="179" priority="7" stopIfTrue="1" operator="containsText" text="PASS">
      <formula>NOT(ISERROR(SEARCH("PASS",J48)))</formula>
    </cfRule>
    <cfRule type="containsText" dxfId="178" priority="8" stopIfTrue="1" operator="containsText" text="FAIL">
      <formula>NOT(ISERROR(SEARCH("FAIL",J48)))</formula>
    </cfRule>
  </conditionalFormatting>
  <conditionalFormatting sqref="J70">
    <cfRule type="containsText" dxfId="177" priority="213" operator="containsText" text="FAIL">
      <formula>NOT(ISERROR(SEARCH("FAIL",J70)))</formula>
    </cfRule>
    <cfRule type="containsText" dxfId="176" priority="214" operator="containsText" text="PASS">
      <formula>NOT(ISERROR(SEARCH("PASS",J70)))</formula>
    </cfRule>
  </conditionalFormatting>
  <conditionalFormatting sqref="J71:J93">
    <cfRule type="containsText" dxfId="175" priority="42" stopIfTrue="1" operator="containsText" text="IN PROGRESS">
      <formula>NOT(ISERROR(SEARCH("IN PROGRESS",J71)))</formula>
    </cfRule>
    <cfRule type="containsText" dxfId="174" priority="43" stopIfTrue="1" operator="containsText" text="PASS">
      <formula>NOT(ISERROR(SEARCH("PASS",J71)))</formula>
    </cfRule>
    <cfRule type="containsText" dxfId="173" priority="41" operator="containsText" text="BLOCKED">
      <formula>NOT(ISERROR(SEARCH("BLOCKED",J71)))</formula>
    </cfRule>
    <cfRule type="containsText" dxfId="172" priority="44" stopIfTrue="1" operator="containsText" text="FAIL">
      <formula>NOT(ISERROR(SEARCH("FAIL",J71)))</formula>
    </cfRule>
  </conditionalFormatting>
  <conditionalFormatting sqref="J94">
    <cfRule type="containsText" dxfId="171" priority="208" operator="containsText" text="PASS">
      <formula>NOT(ISERROR(SEARCH("PASS",J94)))</formula>
    </cfRule>
    <cfRule type="containsText" dxfId="170" priority="207" operator="containsText" text="FAIL">
      <formula>NOT(ISERROR(SEARCH("FAIL",J94)))</formula>
    </cfRule>
  </conditionalFormatting>
  <conditionalFormatting sqref="J95:J108">
    <cfRule type="containsText" dxfId="169" priority="206" stopIfTrue="1" operator="containsText" text="FAIL">
      <formula>NOT(ISERROR(SEARCH("FAIL",J95)))</formula>
    </cfRule>
    <cfRule type="containsText" dxfId="168" priority="205" stopIfTrue="1" operator="containsText" text="PASS">
      <formula>NOT(ISERROR(SEARCH("PASS",J95)))</formula>
    </cfRule>
    <cfRule type="containsText" dxfId="167" priority="204" stopIfTrue="1" operator="containsText" text="IN PROGRESS">
      <formula>NOT(ISERROR(SEARCH("IN PROGRESS",J95)))</formula>
    </cfRule>
    <cfRule type="containsText" dxfId="166" priority="203" operator="containsText" text="BLOCKED">
      <formula>NOT(ISERROR(SEARCH("BLOCKED",J95)))</formula>
    </cfRule>
  </conditionalFormatting>
  <conditionalFormatting sqref="J109">
    <cfRule type="containsText" dxfId="165" priority="73" operator="containsText" text="FAIL">
      <formula>NOT(ISERROR(SEARCH("FAIL",J109)))</formula>
    </cfRule>
    <cfRule type="containsText" dxfId="164" priority="74" operator="containsText" text="PASS">
      <formula>NOT(ISERROR(SEARCH("PASS",J109)))</formula>
    </cfRule>
  </conditionalFormatting>
  <conditionalFormatting sqref="J110:J112">
    <cfRule type="containsText" dxfId="163" priority="10" stopIfTrue="1" operator="containsText" text="IN PROGRESS">
      <formula>NOT(ISERROR(SEARCH("IN PROGRESS",J110)))</formula>
    </cfRule>
    <cfRule type="containsText" dxfId="162" priority="11" stopIfTrue="1" operator="containsText" text="PASS">
      <formula>NOT(ISERROR(SEARCH("PASS",J110)))</formula>
    </cfRule>
    <cfRule type="containsText" dxfId="161" priority="12" stopIfTrue="1" operator="containsText" text="FAIL">
      <formula>NOT(ISERROR(SEARCH("FAIL",J110)))</formula>
    </cfRule>
    <cfRule type="containsText" dxfId="160" priority="9" operator="containsText" text="BLOCKED">
      <formula>NOT(ISERROR(SEARCH("BLOCKED",J110)))</formula>
    </cfRule>
  </conditionalFormatting>
  <dataValidations count="1">
    <dataValidation type="list" allowBlank="1" showInputMessage="1" showErrorMessage="1" sqref="J71:J93 J110:J112 J27:J46 J3:J25 J48:J69 J95:J108" xr:uid="{A3916816-34A0-4223-90DD-2E4830DEE2E0}">
      <formula1>"PASS, FAIL, IN PROGRESS, BLOCKED,"</formula1>
    </dataValidation>
  </dataValidations>
  <hyperlinks>
    <hyperlink ref="K8" r:id="rId1" display="37745" xr:uid="{4BC5F304-0379-4686-AC6F-BCA31071D378}"/>
    <hyperlink ref="K32" r:id="rId2" display="37745" xr:uid="{C89E0685-C812-4B87-B047-04FDD71416B4}"/>
    <hyperlink ref="K53" r:id="rId3" display="37745" xr:uid="{A2EA06F7-5749-49EE-B1AC-A3ADF9411B06}"/>
    <hyperlink ref="K5" r:id="rId4" display="37746" xr:uid="{706CAE80-AE46-4CF8-853F-03F5D962BED8}"/>
    <hyperlink ref="K50" r:id="rId5" display="7747" xr:uid="{80CF8C49-5209-409E-A8A2-64D978524CCC}"/>
    <hyperlink ref="K16" r:id="rId6" xr:uid="{F356A761-9A12-451C-84BF-8B8CBA764D8A}"/>
    <hyperlink ref="K42" r:id="rId7" display="#37777" xr:uid="{397AE5D9-8414-41CB-BD1E-D7046D352668}"/>
    <hyperlink ref="K18" r:id="rId8" xr:uid="{AD5F14B9-8628-465C-8FDC-2DA2A60699EB}"/>
    <hyperlink ref="K3" r:id="rId9" display="37823" xr:uid="{C2C4F074-67C6-4370-B061-8CC607232658}"/>
    <hyperlink ref="K17" r:id="rId10" display="37823" xr:uid="{A819F729-92FA-40BC-A40F-FFDC1AC2E812}"/>
    <hyperlink ref="K23" r:id="rId11" display="37824" xr:uid="{A544E915-E3BE-483B-811A-65AD79F6E655}"/>
    <hyperlink ref="K24" r:id="rId12" display="37823" xr:uid="{0EDD56BA-DC91-43B1-9ED5-9DA2AB581452}"/>
    <hyperlink ref="K27" r:id="rId13" xr:uid="{EBF89468-C928-428C-8698-EFC6CF354CE1}"/>
    <hyperlink ref="K28" r:id="rId14" xr:uid="{6D4A5BDD-3304-4A39-B212-F31987046B6C}"/>
    <hyperlink ref="K95" r:id="rId15" display="37826" xr:uid="{FB1B5604-84FB-47FA-9D5F-9EF07E463BE4}"/>
    <hyperlink ref="K62" r:id="rId16" display="38138" xr:uid="{B5267C9D-DF22-4C5D-8007-E82783D710FD}"/>
    <hyperlink ref="K63" r:id="rId17" display="38182" xr:uid="{7CCAA37A-3D6D-4EED-AD74-0EA4E76FC544}"/>
    <hyperlink ref="K97" r:id="rId18" display="38193" xr:uid="{C113AE1B-BA9E-49E0-89D1-346A4B8DB31A}"/>
    <hyperlink ref="K57" r:id="rId19" xr:uid="{63C7CFAF-568D-481F-8AF1-8E3FA4FD438E}"/>
    <hyperlink ref="K51" r:id="rId20" xr:uid="{1E303D5A-C9A5-4A68-AC85-EE91B30F5731}"/>
    <hyperlink ref="K112" r:id="rId21" xr:uid="{994F6F75-AC2C-428A-B556-70BF9419E1F0}"/>
    <hyperlink ref="K110" r:id="rId22" display="38298" xr:uid="{2C095206-04A0-4BC7-BA55-A2EB7C719841}"/>
    <hyperlink ref="K41" r:id="rId23" display="38300" xr:uid="{F4DB8EC7-63E8-4A44-BF41-1B3CE9AF43EC}"/>
    <hyperlink ref="K43" r:id="rId24" display="#37777" xr:uid="{4392D753-0E0A-48C7-9DFB-DA49E81C213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61DA8-7D0F-4067-8E64-E97E2861FC6B}">
  <dimension ref="A1:S48"/>
  <sheetViews>
    <sheetView topLeftCell="F52" workbookViewId="0">
      <selection activeCell="K52" sqref="K52"/>
    </sheetView>
  </sheetViews>
  <sheetFormatPr defaultColWidth="8.85546875" defaultRowHeight="15"/>
  <cols>
    <col min="1" max="1" width="18.42578125" customWidth="1"/>
    <col min="2" max="2" width="14.42578125" customWidth="1"/>
    <col min="3" max="3" width="12.42578125" customWidth="1"/>
    <col min="4" max="4" width="36.85546875" customWidth="1"/>
    <col min="5" max="5" width="24.140625" customWidth="1"/>
    <col min="6" max="7" width="32.42578125" customWidth="1"/>
    <col min="8" max="8" width="26.42578125" customWidth="1"/>
    <col min="9" max="9" width="40.42578125" customWidth="1"/>
    <col min="11" max="11" width="13" customWidth="1"/>
    <col min="12" max="12" width="26.140625" customWidth="1"/>
  </cols>
  <sheetData>
    <row r="1" spans="1:19" ht="27.75" customHeight="1">
      <c r="A1" s="13" t="s">
        <v>38</v>
      </c>
      <c r="B1" s="13" t="s">
        <v>39</v>
      </c>
      <c r="C1" s="13" t="s">
        <v>40</v>
      </c>
      <c r="D1" s="13" t="s">
        <v>41</v>
      </c>
      <c r="E1" s="13" t="s">
        <v>42</v>
      </c>
      <c r="F1" s="13" t="s">
        <v>43</v>
      </c>
      <c r="G1" s="13" t="s">
        <v>44</v>
      </c>
      <c r="H1" s="13" t="s">
        <v>45</v>
      </c>
      <c r="I1" s="13" t="s">
        <v>46</v>
      </c>
      <c r="J1" s="13" t="s">
        <v>47</v>
      </c>
      <c r="K1" s="13" t="s">
        <v>48</v>
      </c>
      <c r="L1" s="14" t="s">
        <v>49</v>
      </c>
      <c r="M1" s="13" t="s">
        <v>50</v>
      </c>
      <c r="N1" s="15">
        <f>SUM(N2:N101)</f>
        <v>40</v>
      </c>
      <c r="O1" s="15">
        <f>SUM(O2:O101)</f>
        <v>0</v>
      </c>
      <c r="P1" s="15">
        <f>SUM(P2:P101)</f>
        <v>0</v>
      </c>
      <c r="Q1" s="15">
        <f>SUM(Q2:Q101)</f>
        <v>0</v>
      </c>
      <c r="R1" s="15">
        <f>SUM(R2:R101)</f>
        <v>4</v>
      </c>
      <c r="S1" s="16"/>
    </row>
    <row r="2" spans="1:19">
      <c r="A2" s="427" t="s">
        <v>286</v>
      </c>
      <c r="B2" s="427"/>
      <c r="C2" s="427"/>
      <c r="D2" s="427"/>
      <c r="E2" s="427"/>
      <c r="F2" s="427"/>
      <c r="G2" s="427"/>
      <c r="H2" s="427"/>
      <c r="I2" s="427"/>
      <c r="J2" s="427"/>
      <c r="K2" s="427"/>
      <c r="L2" s="427"/>
      <c r="M2" s="427"/>
      <c r="N2" s="17">
        <f>COUNTIF($J3:J16,"PASS")</f>
        <v>12</v>
      </c>
      <c r="O2" s="17">
        <f>COUNTIF($J3:J16,"FAIL")</f>
        <v>0</v>
      </c>
      <c r="P2" s="17">
        <f>COUNTBLANK(J3:J16)</f>
        <v>0</v>
      </c>
      <c r="Q2" s="17">
        <f>COUNTIF($J3:J16,"IN PROGRESS")</f>
        <v>0</v>
      </c>
      <c r="R2" s="17">
        <f>COUNTIF($J3:J16,"BLOCKED")</f>
        <v>2</v>
      </c>
      <c r="S2" s="16"/>
    </row>
    <row r="3" spans="1:19" s="9" customFormat="1" ht="75">
      <c r="A3" s="18" t="s">
        <v>287</v>
      </c>
      <c r="B3" s="439" t="s">
        <v>288</v>
      </c>
      <c r="C3" s="442" t="s">
        <v>54</v>
      </c>
      <c r="D3" s="428" t="s">
        <v>55</v>
      </c>
      <c r="E3" s="430" t="s">
        <v>289</v>
      </c>
      <c r="F3" s="20" t="s">
        <v>57</v>
      </c>
      <c r="G3" s="12"/>
      <c r="H3" s="21"/>
      <c r="I3" s="22" t="s">
        <v>58</v>
      </c>
      <c r="J3" s="23" t="s">
        <v>59</v>
      </c>
      <c r="K3" s="296" t="s">
        <v>290</v>
      </c>
      <c r="L3" s="18"/>
      <c r="M3" s="293" t="s">
        <v>291</v>
      </c>
      <c r="N3" s="15"/>
      <c r="O3" s="15"/>
      <c r="P3" s="15"/>
      <c r="Q3" s="24"/>
      <c r="R3" s="24"/>
      <c r="S3" s="24"/>
    </row>
    <row r="4" spans="1:19" s="9" customFormat="1" ht="45">
      <c r="A4" s="18" t="s">
        <v>292</v>
      </c>
      <c r="B4" s="439"/>
      <c r="C4" s="442"/>
      <c r="D4" s="428"/>
      <c r="E4" s="430"/>
      <c r="F4" s="20" t="s">
        <v>63</v>
      </c>
      <c r="G4" s="19"/>
      <c r="H4" s="21"/>
      <c r="I4" s="22" t="s">
        <v>64</v>
      </c>
      <c r="J4" s="23" t="s">
        <v>59</v>
      </c>
      <c r="K4" s="297" t="s">
        <v>293</v>
      </c>
      <c r="L4" s="19"/>
      <c r="M4" s="293" t="s">
        <v>291</v>
      </c>
      <c r="N4" s="15"/>
      <c r="O4" s="15"/>
      <c r="P4" s="15"/>
      <c r="Q4" s="24"/>
      <c r="R4" s="24"/>
      <c r="S4" s="24"/>
    </row>
    <row r="5" spans="1:19" s="9" customFormat="1" ht="30">
      <c r="A5" s="18" t="s">
        <v>294</v>
      </c>
      <c r="B5" s="439"/>
      <c r="C5" s="442"/>
      <c r="D5" s="428"/>
      <c r="E5" s="430"/>
      <c r="F5" s="20" t="s">
        <v>66</v>
      </c>
      <c r="G5" s="19"/>
      <c r="H5" s="21"/>
      <c r="I5" s="22" t="s">
        <v>67</v>
      </c>
      <c r="J5" s="23" t="s">
        <v>59</v>
      </c>
      <c r="K5" s="297" t="s">
        <v>290</v>
      </c>
      <c r="L5" s="19"/>
      <c r="M5" s="293" t="s">
        <v>291</v>
      </c>
      <c r="N5" s="15"/>
      <c r="O5" s="15"/>
      <c r="P5" s="15"/>
      <c r="Q5" s="24"/>
      <c r="R5" s="24"/>
      <c r="S5" s="24"/>
    </row>
    <row r="6" spans="1:19" s="9" customFormat="1" ht="45">
      <c r="A6" s="18" t="s">
        <v>295</v>
      </c>
      <c r="B6" s="439"/>
      <c r="C6" s="442"/>
      <c r="D6" s="428"/>
      <c r="E6" s="430"/>
      <c r="F6" s="25" t="s">
        <v>69</v>
      </c>
      <c r="G6" s="19" t="s">
        <v>70</v>
      </c>
      <c r="H6" s="21"/>
      <c r="I6" s="12" t="s">
        <v>71</v>
      </c>
      <c r="J6" s="23" t="s">
        <v>59</v>
      </c>
      <c r="K6" s="297" t="s">
        <v>293</v>
      </c>
      <c r="L6" s="19"/>
      <c r="M6" s="293" t="s">
        <v>291</v>
      </c>
      <c r="N6" s="15"/>
      <c r="O6" s="15"/>
      <c r="P6" s="15"/>
      <c r="Q6" s="24"/>
      <c r="R6" s="24"/>
      <c r="S6" s="24"/>
    </row>
    <row r="7" spans="1:19" s="9" customFormat="1" ht="30">
      <c r="A7" s="18" t="s">
        <v>296</v>
      </c>
      <c r="B7" s="439"/>
      <c r="C7" s="442"/>
      <c r="D7" s="428"/>
      <c r="E7" s="430"/>
      <c r="F7" s="25" t="s">
        <v>73</v>
      </c>
      <c r="G7" s="12" t="s">
        <v>74</v>
      </c>
      <c r="H7" s="21"/>
      <c r="I7" s="12" t="s">
        <v>71</v>
      </c>
      <c r="J7" s="23" t="s">
        <v>59</v>
      </c>
      <c r="K7" s="296" t="s">
        <v>297</v>
      </c>
      <c r="L7" s="19"/>
      <c r="M7" s="293" t="s">
        <v>291</v>
      </c>
      <c r="N7" s="15"/>
      <c r="O7" s="15"/>
      <c r="P7" s="15"/>
      <c r="Q7" s="24"/>
      <c r="R7" s="24"/>
      <c r="S7" s="24"/>
    </row>
    <row r="8" spans="1:19" s="9" customFormat="1" ht="60">
      <c r="A8" s="18" t="s">
        <v>298</v>
      </c>
      <c r="B8" s="439"/>
      <c r="C8" s="442"/>
      <c r="D8" s="428"/>
      <c r="E8" s="430"/>
      <c r="F8" s="20" t="s">
        <v>119</v>
      </c>
      <c r="G8" s="12"/>
      <c r="H8" s="21"/>
      <c r="I8" s="26" t="s">
        <v>120</v>
      </c>
      <c r="J8" s="23" t="s">
        <v>59</v>
      </c>
      <c r="K8" s="297" t="s">
        <v>299</v>
      </c>
      <c r="L8" s="19"/>
      <c r="M8" s="293" t="s">
        <v>291</v>
      </c>
      <c r="N8" s="15"/>
      <c r="O8" s="15"/>
      <c r="P8" s="15"/>
      <c r="Q8" s="24"/>
      <c r="R8" s="24"/>
      <c r="S8" s="24"/>
    </row>
    <row r="9" spans="1:19" s="9" customFormat="1">
      <c r="A9" s="18" t="s">
        <v>300</v>
      </c>
      <c r="B9" s="439"/>
      <c r="C9" s="442"/>
      <c r="D9" s="428"/>
      <c r="E9" s="430"/>
      <c r="F9" s="26" t="s">
        <v>122</v>
      </c>
      <c r="G9" s="12"/>
      <c r="H9" s="21"/>
      <c r="I9" s="26" t="s">
        <v>123</v>
      </c>
      <c r="J9" s="23" t="s">
        <v>59</v>
      </c>
      <c r="K9" s="19"/>
      <c r="L9" s="19"/>
      <c r="M9" s="293" t="s">
        <v>291</v>
      </c>
      <c r="N9" s="15"/>
      <c r="O9" s="15"/>
      <c r="P9" s="15"/>
      <c r="Q9" s="24"/>
      <c r="R9" s="24"/>
      <c r="S9" s="24"/>
    </row>
    <row r="10" spans="1:19" s="9" customFormat="1">
      <c r="A10" s="18" t="s">
        <v>301</v>
      </c>
      <c r="B10" s="439"/>
      <c r="C10" s="442"/>
      <c r="D10" s="428"/>
      <c r="E10" s="430"/>
      <c r="F10" s="26" t="s">
        <v>125</v>
      </c>
      <c r="G10" s="12"/>
      <c r="H10" s="21"/>
      <c r="I10" s="26" t="s">
        <v>123</v>
      </c>
      <c r="J10" s="23" t="s">
        <v>59</v>
      </c>
      <c r="K10" s="19"/>
      <c r="L10" s="19"/>
      <c r="M10" s="293" t="s">
        <v>291</v>
      </c>
      <c r="N10" s="15"/>
      <c r="O10" s="15"/>
      <c r="P10" s="15"/>
      <c r="Q10" s="24"/>
      <c r="R10" s="24"/>
      <c r="S10" s="24"/>
    </row>
    <row r="11" spans="1:19" s="9" customFormat="1" ht="30">
      <c r="A11" s="18" t="s">
        <v>302</v>
      </c>
      <c r="B11" s="439"/>
      <c r="C11" s="442"/>
      <c r="D11" s="433" t="s">
        <v>76</v>
      </c>
      <c r="E11" s="430"/>
      <c r="F11" s="27" t="s">
        <v>77</v>
      </c>
      <c r="G11" s="12"/>
      <c r="H11" s="19"/>
      <c r="I11" s="12" t="s">
        <v>303</v>
      </c>
      <c r="J11" s="23" t="s">
        <v>59</v>
      </c>
      <c r="K11" s="19"/>
      <c r="L11" s="19"/>
      <c r="M11" s="293" t="s">
        <v>291</v>
      </c>
      <c r="N11" s="15"/>
      <c r="O11" s="15"/>
      <c r="P11" s="15"/>
      <c r="Q11" s="24"/>
      <c r="R11" s="24"/>
      <c r="S11" s="24"/>
    </row>
    <row r="12" spans="1:19" s="9" customFormat="1" ht="30">
      <c r="A12" s="18" t="s">
        <v>304</v>
      </c>
      <c r="B12" s="439"/>
      <c r="C12" s="442"/>
      <c r="D12" s="433"/>
      <c r="E12" s="430"/>
      <c r="F12" s="27" t="s">
        <v>80</v>
      </c>
      <c r="G12" s="28"/>
      <c r="H12" s="21"/>
      <c r="I12" s="29" t="s">
        <v>81</v>
      </c>
      <c r="J12" s="23" t="s">
        <v>59</v>
      </c>
      <c r="K12" s="297" t="s">
        <v>297</v>
      </c>
      <c r="L12" s="19"/>
      <c r="M12" s="293" t="s">
        <v>291</v>
      </c>
      <c r="N12" s="15"/>
      <c r="O12" s="15"/>
      <c r="P12" s="15"/>
      <c r="Q12" s="24"/>
      <c r="R12" s="24"/>
      <c r="S12" s="24"/>
    </row>
    <row r="13" spans="1:19" s="9" customFormat="1">
      <c r="A13" s="18" t="s">
        <v>305</v>
      </c>
      <c r="B13" s="439"/>
      <c r="C13" s="442"/>
      <c r="D13" s="433"/>
      <c r="E13" s="430"/>
      <c r="F13" s="27" t="s">
        <v>83</v>
      </c>
      <c r="G13" s="12"/>
      <c r="H13" s="19"/>
      <c r="I13" s="12" t="s">
        <v>84</v>
      </c>
      <c r="J13" s="23" t="s">
        <v>59</v>
      </c>
      <c r="K13" s="19"/>
      <c r="L13" s="19"/>
      <c r="M13" s="293" t="s">
        <v>291</v>
      </c>
      <c r="N13" s="15"/>
      <c r="O13" s="15"/>
      <c r="P13" s="15"/>
      <c r="Q13" s="24"/>
      <c r="R13" s="24"/>
      <c r="S13" s="24"/>
    </row>
    <row r="14" spans="1:19" s="9" customFormat="1">
      <c r="A14" s="18" t="s">
        <v>306</v>
      </c>
      <c r="B14" s="439"/>
      <c r="C14" s="442"/>
      <c r="D14" s="433"/>
      <c r="E14" s="430"/>
      <c r="F14" s="12" t="s">
        <v>92</v>
      </c>
      <c r="G14" s="12" t="s">
        <v>93</v>
      </c>
      <c r="H14" s="19"/>
      <c r="I14" s="12" t="s">
        <v>94</v>
      </c>
      <c r="J14" s="23" t="s">
        <v>59</v>
      </c>
      <c r="K14" s="19"/>
      <c r="L14" s="19"/>
      <c r="M14" s="293" t="s">
        <v>291</v>
      </c>
      <c r="N14" s="15"/>
      <c r="O14" s="15"/>
      <c r="P14" s="15"/>
      <c r="Q14" s="24"/>
      <c r="R14" s="24"/>
      <c r="S14" s="24"/>
    </row>
    <row r="15" spans="1:19" s="9" customFormat="1">
      <c r="A15" s="18" t="s">
        <v>307</v>
      </c>
      <c r="B15" s="439"/>
      <c r="C15" s="442"/>
      <c r="D15" s="433"/>
      <c r="E15" s="430"/>
      <c r="F15" s="12" t="s">
        <v>308</v>
      </c>
      <c r="G15" s="12"/>
      <c r="H15" s="19"/>
      <c r="I15" s="12" t="s">
        <v>309</v>
      </c>
      <c r="J15" s="23" t="s">
        <v>310</v>
      </c>
      <c r="K15" s="293" t="s">
        <v>311</v>
      </c>
      <c r="L15" s="18"/>
      <c r="M15" s="293" t="s">
        <v>291</v>
      </c>
      <c r="N15" s="15"/>
      <c r="O15" s="15"/>
      <c r="P15" s="15"/>
      <c r="Q15" s="24"/>
      <c r="R15" s="24"/>
      <c r="S15" s="24"/>
    </row>
    <row r="16" spans="1:19" s="9" customFormat="1">
      <c r="A16" s="18" t="s">
        <v>312</v>
      </c>
      <c r="B16" s="439"/>
      <c r="C16" s="442"/>
      <c r="D16" s="433"/>
      <c r="E16" s="430"/>
      <c r="F16" s="12" t="s">
        <v>313</v>
      </c>
      <c r="G16" s="12"/>
      <c r="H16" s="19"/>
      <c r="I16" s="12" t="s">
        <v>314</v>
      </c>
      <c r="J16" s="23" t="s">
        <v>310</v>
      </c>
      <c r="K16" s="293" t="s">
        <v>311</v>
      </c>
      <c r="L16" s="18"/>
      <c r="M16" s="293" t="s">
        <v>291</v>
      </c>
      <c r="N16" s="15"/>
      <c r="O16" s="15"/>
      <c r="P16" s="15"/>
      <c r="Q16" s="24"/>
      <c r="R16" s="24"/>
      <c r="S16" s="24"/>
    </row>
    <row r="17" spans="1:19" s="9" customFormat="1">
      <c r="A17" s="427" t="s">
        <v>315</v>
      </c>
      <c r="B17" s="427"/>
      <c r="C17" s="427"/>
      <c r="D17" s="427"/>
      <c r="E17" s="427"/>
      <c r="F17" s="427"/>
      <c r="G17" s="427"/>
      <c r="H17" s="427"/>
      <c r="I17" s="427"/>
      <c r="J17" s="427"/>
      <c r="K17" s="427"/>
      <c r="L17" s="427"/>
      <c r="M17" s="427"/>
      <c r="N17" s="17">
        <f>COUNTIF($J18:J31,"PASS")</f>
        <v>14</v>
      </c>
      <c r="O17" s="17">
        <f>COUNTIF($J18:J31,"FAIL")</f>
        <v>0</v>
      </c>
      <c r="P17" s="17">
        <f>COUNTBLANK(J18:J31)</f>
        <v>0</v>
      </c>
      <c r="Q17" s="17">
        <f>COUNTIF($J18:J31,"IN PROGRESS")</f>
        <v>0</v>
      </c>
      <c r="R17" s="17">
        <f>COUNTIF($J18:J31,"BLOCKED")</f>
        <v>0</v>
      </c>
      <c r="S17" s="24"/>
    </row>
    <row r="18" spans="1:19" s="9" customFormat="1" ht="75">
      <c r="A18" s="18" t="s">
        <v>316</v>
      </c>
      <c r="B18" s="439" t="s">
        <v>317</v>
      </c>
      <c r="C18" s="442" t="s">
        <v>54</v>
      </c>
      <c r="D18" s="428" t="s">
        <v>55</v>
      </c>
      <c r="E18" s="430" t="s">
        <v>289</v>
      </c>
      <c r="F18" s="20" t="s">
        <v>57</v>
      </c>
      <c r="G18" s="12"/>
      <c r="H18" s="21"/>
      <c r="I18" s="22" t="s">
        <v>58</v>
      </c>
      <c r="J18" s="23" t="s">
        <v>59</v>
      </c>
      <c r="K18" s="296" t="s">
        <v>290</v>
      </c>
      <c r="L18" s="18"/>
      <c r="M18" s="293" t="s">
        <v>291</v>
      </c>
      <c r="N18" s="15"/>
      <c r="O18" s="15"/>
      <c r="P18" s="15"/>
      <c r="Q18" s="24"/>
      <c r="R18" s="24"/>
      <c r="S18" s="24"/>
    </row>
    <row r="19" spans="1:19" s="9" customFormat="1" ht="45">
      <c r="A19" s="18" t="s">
        <v>318</v>
      </c>
      <c r="B19" s="439"/>
      <c r="C19" s="442"/>
      <c r="D19" s="428"/>
      <c r="E19" s="430"/>
      <c r="F19" s="20" t="s">
        <v>63</v>
      </c>
      <c r="G19" s="19"/>
      <c r="H19" s="21"/>
      <c r="I19" s="22" t="s">
        <v>64</v>
      </c>
      <c r="J19" s="23" t="s">
        <v>59</v>
      </c>
      <c r="K19" s="296" t="s">
        <v>319</v>
      </c>
      <c r="L19" s="19"/>
      <c r="M19" s="293" t="s">
        <v>291</v>
      </c>
      <c r="N19" s="15"/>
      <c r="O19" s="15"/>
      <c r="P19" s="15"/>
      <c r="Q19" s="24"/>
      <c r="R19" s="24"/>
      <c r="S19" s="24"/>
    </row>
    <row r="20" spans="1:19" s="9" customFormat="1" ht="30">
      <c r="A20" s="18" t="s">
        <v>320</v>
      </c>
      <c r="B20" s="439"/>
      <c r="C20" s="442"/>
      <c r="D20" s="428"/>
      <c r="E20" s="430"/>
      <c r="F20" s="20" t="s">
        <v>66</v>
      </c>
      <c r="G20" s="19"/>
      <c r="H20" s="21"/>
      <c r="I20" s="22" t="s">
        <v>67</v>
      </c>
      <c r="J20" s="23" t="s">
        <v>59</v>
      </c>
      <c r="K20" s="296" t="s">
        <v>290</v>
      </c>
      <c r="L20" s="19"/>
      <c r="M20" s="293" t="s">
        <v>291</v>
      </c>
      <c r="N20" s="15"/>
      <c r="O20" s="15"/>
      <c r="P20" s="15"/>
      <c r="Q20" s="24"/>
      <c r="R20" s="24"/>
      <c r="S20" s="24"/>
    </row>
    <row r="21" spans="1:19" s="9" customFormat="1">
      <c r="A21" s="18" t="s">
        <v>321</v>
      </c>
      <c r="B21" s="439"/>
      <c r="C21" s="442"/>
      <c r="D21" s="428"/>
      <c r="E21" s="430"/>
      <c r="F21" s="25" t="s">
        <v>69</v>
      </c>
      <c r="G21" s="19" t="s">
        <v>70</v>
      </c>
      <c r="H21" s="21"/>
      <c r="I21" s="12" t="s">
        <v>71</v>
      </c>
      <c r="J21" s="23" t="s">
        <v>59</v>
      </c>
      <c r="K21" s="336" t="s">
        <v>322</v>
      </c>
      <c r="L21" s="19"/>
      <c r="M21" s="293" t="s">
        <v>291</v>
      </c>
      <c r="N21" s="15"/>
      <c r="O21" s="15"/>
      <c r="P21" s="15"/>
      <c r="Q21" s="24"/>
      <c r="R21" s="24"/>
      <c r="S21" s="24"/>
    </row>
    <row r="22" spans="1:19" s="9" customFormat="1" ht="30">
      <c r="A22" s="18" t="s">
        <v>323</v>
      </c>
      <c r="B22" s="439"/>
      <c r="C22" s="442"/>
      <c r="D22" s="428"/>
      <c r="E22" s="430"/>
      <c r="F22" s="25" t="s">
        <v>73</v>
      </c>
      <c r="G22" s="12" t="s">
        <v>74</v>
      </c>
      <c r="H22" s="21"/>
      <c r="I22" s="12" t="s">
        <v>71</v>
      </c>
      <c r="J22" s="23" t="s">
        <v>59</v>
      </c>
      <c r="K22" s="336" t="s">
        <v>322</v>
      </c>
      <c r="L22" s="19"/>
      <c r="M22" s="293" t="s">
        <v>291</v>
      </c>
      <c r="N22" s="15"/>
      <c r="O22" s="15"/>
      <c r="P22" s="15"/>
      <c r="Q22" s="24"/>
      <c r="R22" s="24"/>
      <c r="S22" s="24"/>
    </row>
    <row r="23" spans="1:19" s="9" customFormat="1" ht="30">
      <c r="A23" s="18" t="s">
        <v>324</v>
      </c>
      <c r="B23" s="439"/>
      <c r="C23" s="442"/>
      <c r="D23" s="428"/>
      <c r="E23" s="430"/>
      <c r="F23" s="20" t="s">
        <v>119</v>
      </c>
      <c r="G23" s="12"/>
      <c r="H23" s="21"/>
      <c r="I23" s="26" t="s">
        <v>120</v>
      </c>
      <c r="J23" s="23" t="s">
        <v>59</v>
      </c>
      <c r="K23" s="297" t="s">
        <v>325</v>
      </c>
      <c r="L23" s="19"/>
      <c r="M23" s="293" t="s">
        <v>291</v>
      </c>
      <c r="N23" s="15"/>
      <c r="O23" s="15"/>
      <c r="P23" s="15"/>
      <c r="Q23" s="24"/>
      <c r="R23" s="24"/>
      <c r="S23" s="24"/>
    </row>
    <row r="24" spans="1:19" s="9" customFormat="1">
      <c r="A24" s="18" t="s">
        <v>326</v>
      </c>
      <c r="B24" s="439"/>
      <c r="C24" s="442"/>
      <c r="D24" s="428"/>
      <c r="E24" s="430"/>
      <c r="F24" s="26" t="s">
        <v>122</v>
      </c>
      <c r="G24" s="12"/>
      <c r="H24" s="21"/>
      <c r="I24" s="26" t="s">
        <v>123</v>
      </c>
      <c r="J24" s="23" t="s">
        <v>59</v>
      </c>
      <c r="K24" s="19"/>
      <c r="L24" s="19"/>
      <c r="M24" s="293" t="s">
        <v>291</v>
      </c>
      <c r="N24" s="15"/>
      <c r="O24" s="15"/>
      <c r="P24" s="15"/>
      <c r="Q24" s="24"/>
      <c r="R24" s="24"/>
      <c r="S24" s="24"/>
    </row>
    <row r="25" spans="1:19" s="9" customFormat="1">
      <c r="A25" s="18" t="s">
        <v>327</v>
      </c>
      <c r="B25" s="439"/>
      <c r="C25" s="442"/>
      <c r="D25" s="428"/>
      <c r="E25" s="430"/>
      <c r="F25" s="26" t="s">
        <v>125</v>
      </c>
      <c r="G25" s="12"/>
      <c r="H25" s="21"/>
      <c r="I25" s="26" t="s">
        <v>123</v>
      </c>
      <c r="J25" s="23" t="s">
        <v>59</v>
      </c>
      <c r="K25" s="19"/>
      <c r="L25" s="19"/>
      <c r="M25" s="293" t="s">
        <v>291</v>
      </c>
      <c r="N25" s="15"/>
      <c r="O25" s="15"/>
      <c r="P25" s="15"/>
      <c r="Q25" s="24"/>
      <c r="R25" s="24"/>
      <c r="S25" s="24"/>
    </row>
    <row r="26" spans="1:19" s="9" customFormat="1" ht="30">
      <c r="A26" s="18" t="s">
        <v>328</v>
      </c>
      <c r="B26" s="439"/>
      <c r="C26" s="442"/>
      <c r="D26" s="433" t="s">
        <v>76</v>
      </c>
      <c r="E26" s="430"/>
      <c r="F26" s="27" t="s">
        <v>77</v>
      </c>
      <c r="G26" s="12"/>
      <c r="H26" s="19"/>
      <c r="I26" s="12" t="s">
        <v>303</v>
      </c>
      <c r="J26" s="23" t="s">
        <v>59</v>
      </c>
      <c r="K26" s="19"/>
      <c r="L26" s="19"/>
      <c r="M26" s="293" t="s">
        <v>291</v>
      </c>
      <c r="N26" s="15"/>
      <c r="O26" s="15"/>
      <c r="P26" s="15"/>
      <c r="Q26" s="24"/>
      <c r="R26" s="24"/>
      <c r="S26" s="24"/>
    </row>
    <row r="27" spans="1:19" s="9" customFormat="1" ht="30">
      <c r="A27" s="18" t="s">
        <v>329</v>
      </c>
      <c r="B27" s="439"/>
      <c r="C27" s="442"/>
      <c r="D27" s="433"/>
      <c r="E27" s="430"/>
      <c r="F27" s="27" t="s">
        <v>80</v>
      </c>
      <c r="G27" s="28"/>
      <c r="H27" s="21"/>
      <c r="I27" s="29" t="s">
        <v>81</v>
      </c>
      <c r="J27" s="23" t="s">
        <v>59</v>
      </c>
      <c r="K27" s="293" t="s">
        <v>322</v>
      </c>
      <c r="L27" s="19"/>
      <c r="M27" s="293" t="s">
        <v>291</v>
      </c>
      <c r="N27" s="15"/>
      <c r="O27" s="15"/>
      <c r="P27" s="15"/>
      <c r="Q27" s="24"/>
      <c r="R27" s="24"/>
      <c r="S27" s="24"/>
    </row>
    <row r="28" spans="1:19" s="9" customFormat="1" ht="30">
      <c r="A28" s="18" t="s">
        <v>330</v>
      </c>
      <c r="B28" s="460"/>
      <c r="C28" s="460"/>
      <c r="D28" s="462"/>
      <c r="E28" s="461"/>
      <c r="F28" s="341" t="s">
        <v>83</v>
      </c>
      <c r="G28" s="298"/>
      <c r="H28" s="305"/>
      <c r="I28" s="298" t="s">
        <v>84</v>
      </c>
      <c r="J28" s="318" t="s">
        <v>59</v>
      </c>
      <c r="K28" s="297" t="s">
        <v>331</v>
      </c>
      <c r="L28" s="305"/>
      <c r="M28" s="336" t="s">
        <v>291</v>
      </c>
      <c r="N28" s="320"/>
      <c r="O28" s="320"/>
      <c r="P28" s="320"/>
      <c r="Q28" s="319"/>
      <c r="R28" s="319"/>
      <c r="S28" s="319"/>
    </row>
    <row r="29" spans="1:19" s="9" customFormat="1">
      <c r="A29" s="18" t="s">
        <v>332</v>
      </c>
      <c r="B29" s="439"/>
      <c r="C29" s="442"/>
      <c r="D29" s="433"/>
      <c r="E29" s="430"/>
      <c r="F29" s="298" t="s">
        <v>308</v>
      </c>
      <c r="G29" s="298"/>
      <c r="H29" s="305"/>
      <c r="I29" s="298" t="s">
        <v>309</v>
      </c>
      <c r="J29" s="318" t="s">
        <v>59</v>
      </c>
      <c r="K29" s="297" t="s">
        <v>333</v>
      </c>
      <c r="L29" s="305"/>
      <c r="M29" s="336" t="s">
        <v>291</v>
      </c>
      <c r="N29" s="320"/>
      <c r="O29" s="320"/>
      <c r="P29" s="320"/>
      <c r="Q29" s="319"/>
      <c r="R29" s="319"/>
      <c r="S29" s="319"/>
    </row>
    <row r="30" spans="1:19" s="9" customFormat="1">
      <c r="A30" s="18" t="s">
        <v>334</v>
      </c>
      <c r="B30" s="439"/>
      <c r="C30" s="442"/>
      <c r="D30" s="433"/>
      <c r="E30" s="430"/>
      <c r="F30" s="298" t="s">
        <v>313</v>
      </c>
      <c r="G30" s="298"/>
      <c r="H30" s="305"/>
      <c r="I30" s="298" t="s">
        <v>314</v>
      </c>
      <c r="J30" s="318" t="s">
        <v>59</v>
      </c>
      <c r="K30" s="297" t="s">
        <v>333</v>
      </c>
      <c r="L30" s="305"/>
      <c r="M30" s="336" t="s">
        <v>291</v>
      </c>
      <c r="N30" s="320"/>
      <c r="O30" s="320"/>
      <c r="P30" s="320"/>
      <c r="Q30" s="319"/>
      <c r="R30" s="319"/>
      <c r="S30" s="319"/>
    </row>
    <row r="31" spans="1:19" s="9" customFormat="1">
      <c r="A31" s="18" t="s">
        <v>335</v>
      </c>
      <c r="B31" s="439"/>
      <c r="C31" s="442"/>
      <c r="D31" s="433"/>
      <c r="E31" s="430"/>
      <c r="F31" s="12" t="s">
        <v>92</v>
      </c>
      <c r="G31" s="12" t="s">
        <v>93</v>
      </c>
      <c r="H31" s="19"/>
      <c r="I31" s="12" t="s">
        <v>94</v>
      </c>
      <c r="J31" s="318" t="s">
        <v>59</v>
      </c>
      <c r="K31" s="297" t="s">
        <v>336</v>
      </c>
      <c r="L31" s="19"/>
      <c r="M31" s="293" t="s">
        <v>291</v>
      </c>
      <c r="N31" s="15"/>
      <c r="O31" s="15"/>
      <c r="P31" s="15"/>
      <c r="Q31" s="24"/>
      <c r="R31" s="24"/>
      <c r="S31" s="24"/>
    </row>
    <row r="32" spans="1:19">
      <c r="A32" s="435" t="s">
        <v>337</v>
      </c>
      <c r="B32" s="435"/>
      <c r="C32" s="435"/>
      <c r="D32" s="435"/>
      <c r="E32" s="435"/>
      <c r="F32" s="435"/>
      <c r="G32" s="427"/>
      <c r="H32" s="427"/>
      <c r="I32" s="427"/>
      <c r="J32" s="427"/>
      <c r="K32" s="427"/>
      <c r="L32" s="427"/>
      <c r="M32" s="427"/>
      <c r="N32" s="17">
        <f>COUNTIF($J33:J48,"PASS")</f>
        <v>14</v>
      </c>
      <c r="O32" s="17">
        <f>COUNTIF($J33:J48,"FAIL")</f>
        <v>0</v>
      </c>
      <c r="P32" s="17">
        <f>COUNTBLANK(J33:J48)</f>
        <v>0</v>
      </c>
      <c r="Q32" s="17">
        <f>COUNTIF($J33:J48,"IN PROGRESS")</f>
        <v>0</v>
      </c>
      <c r="R32" s="17">
        <f>COUNTIF($J33:J48,"BLOCKED")</f>
        <v>2</v>
      </c>
      <c r="S32" s="24"/>
    </row>
    <row r="33" spans="1:19" ht="75">
      <c r="A33" s="89" t="s">
        <v>338</v>
      </c>
      <c r="B33" s="425" t="s">
        <v>339</v>
      </c>
      <c r="C33" s="426" t="s">
        <v>54</v>
      </c>
      <c r="D33" s="436" t="s">
        <v>55</v>
      </c>
      <c r="E33" s="438" t="s">
        <v>289</v>
      </c>
      <c r="F33" s="80" t="s">
        <v>57</v>
      </c>
      <c r="G33" s="120"/>
      <c r="H33" s="21"/>
      <c r="I33" s="22" t="s">
        <v>58</v>
      </c>
      <c r="J33" s="23" t="s">
        <v>59</v>
      </c>
      <c r="K33" s="297" t="s">
        <v>290</v>
      </c>
      <c r="L33" s="18"/>
      <c r="M33" s="293" t="s">
        <v>291</v>
      </c>
      <c r="N33" s="15"/>
      <c r="O33" s="15"/>
      <c r="P33" s="15"/>
      <c r="Q33" s="24"/>
      <c r="R33" s="24"/>
      <c r="S33" s="24"/>
    </row>
    <row r="34" spans="1:19" ht="30">
      <c r="A34" s="89" t="s">
        <v>340</v>
      </c>
      <c r="B34" s="425"/>
      <c r="C34" s="426"/>
      <c r="D34" s="437"/>
      <c r="E34" s="438"/>
      <c r="F34" s="80" t="s">
        <v>63</v>
      </c>
      <c r="G34" s="140"/>
      <c r="H34" s="21"/>
      <c r="I34" s="22" t="s">
        <v>64</v>
      </c>
      <c r="J34" s="23" t="s">
        <v>59</v>
      </c>
      <c r="K34" s="297" t="s">
        <v>341</v>
      </c>
      <c r="L34" s="19"/>
      <c r="M34" s="293" t="s">
        <v>291</v>
      </c>
      <c r="N34" s="15"/>
      <c r="O34" s="15"/>
      <c r="P34" s="15"/>
      <c r="Q34" s="24"/>
      <c r="R34" s="24"/>
      <c r="S34" s="24"/>
    </row>
    <row r="35" spans="1:19" ht="30">
      <c r="A35" s="89" t="s">
        <v>342</v>
      </c>
      <c r="B35" s="425"/>
      <c r="C35" s="426"/>
      <c r="D35" s="437"/>
      <c r="E35" s="438"/>
      <c r="F35" s="80" t="s">
        <v>66</v>
      </c>
      <c r="G35" s="140"/>
      <c r="H35" s="21"/>
      <c r="I35" s="22" t="s">
        <v>67</v>
      </c>
      <c r="J35" s="23" t="s">
        <v>59</v>
      </c>
      <c r="K35" s="297" t="s">
        <v>290</v>
      </c>
      <c r="L35" s="19"/>
      <c r="M35" s="293" t="s">
        <v>291</v>
      </c>
      <c r="N35" s="15"/>
      <c r="O35" s="15"/>
      <c r="P35" s="15"/>
      <c r="Q35" s="24"/>
      <c r="R35" s="24"/>
      <c r="S35" s="24"/>
    </row>
    <row r="36" spans="1:19">
      <c r="A36" s="89" t="s">
        <v>343</v>
      </c>
      <c r="B36" s="425"/>
      <c r="C36" s="426"/>
      <c r="D36" s="437"/>
      <c r="E36" s="438"/>
      <c r="F36" s="141" t="s">
        <v>69</v>
      </c>
      <c r="G36" s="140" t="s">
        <v>70</v>
      </c>
      <c r="H36" s="21"/>
      <c r="I36" s="12" t="s">
        <v>71</v>
      </c>
      <c r="J36" s="23" t="s">
        <v>59</v>
      </c>
      <c r="K36" s="19"/>
      <c r="L36" s="19"/>
      <c r="M36" s="293" t="s">
        <v>291</v>
      </c>
      <c r="N36" s="15"/>
      <c r="O36" s="15"/>
      <c r="P36" s="15"/>
      <c r="Q36" s="24"/>
      <c r="R36" s="24"/>
      <c r="S36" s="24"/>
    </row>
    <row r="37" spans="1:19" ht="30">
      <c r="A37" s="89" t="s">
        <v>344</v>
      </c>
      <c r="B37" s="425"/>
      <c r="C37" s="426"/>
      <c r="D37" s="437"/>
      <c r="E37" s="438"/>
      <c r="F37" s="141" t="s">
        <v>73</v>
      </c>
      <c r="G37" s="120" t="s">
        <v>74</v>
      </c>
      <c r="H37" s="21"/>
      <c r="I37" s="12" t="s">
        <v>71</v>
      </c>
      <c r="J37" s="23" t="s">
        <v>59</v>
      </c>
      <c r="K37" s="293" t="s">
        <v>345</v>
      </c>
      <c r="L37" s="19"/>
      <c r="M37" s="293" t="s">
        <v>291</v>
      </c>
      <c r="N37" s="15"/>
      <c r="O37" s="15"/>
      <c r="P37" s="15"/>
      <c r="Q37" s="24"/>
      <c r="R37" s="24"/>
      <c r="S37" s="24"/>
    </row>
    <row r="38" spans="1:19" ht="30">
      <c r="A38" s="89" t="s">
        <v>346</v>
      </c>
      <c r="B38" s="425"/>
      <c r="C38" s="426"/>
      <c r="D38" s="437"/>
      <c r="E38" s="438"/>
      <c r="F38" s="80" t="s">
        <v>119</v>
      </c>
      <c r="G38" s="120"/>
      <c r="H38" s="21"/>
      <c r="I38" s="26" t="s">
        <v>120</v>
      </c>
      <c r="J38" s="23" t="s">
        <v>59</v>
      </c>
      <c r="K38" s="293" t="s">
        <v>347</v>
      </c>
      <c r="L38" s="19"/>
      <c r="M38" s="293" t="s">
        <v>291</v>
      </c>
      <c r="N38" s="15"/>
      <c r="O38" s="15"/>
      <c r="P38" s="15"/>
      <c r="Q38" s="24"/>
      <c r="R38" s="24"/>
      <c r="S38" s="24"/>
    </row>
    <row r="39" spans="1:19">
      <c r="A39" s="89" t="s">
        <v>348</v>
      </c>
      <c r="B39" s="425"/>
      <c r="C39" s="426"/>
      <c r="D39" s="437"/>
      <c r="E39" s="438"/>
      <c r="F39" s="80" t="s">
        <v>122</v>
      </c>
      <c r="G39" s="120"/>
      <c r="H39" s="21"/>
      <c r="I39" s="26" t="s">
        <v>123</v>
      </c>
      <c r="J39" s="23" t="s">
        <v>59</v>
      </c>
      <c r="K39" s="19"/>
      <c r="L39" s="19"/>
      <c r="M39" s="293" t="s">
        <v>291</v>
      </c>
      <c r="N39" s="15"/>
      <c r="O39" s="15"/>
      <c r="P39" s="15"/>
      <c r="Q39" s="24"/>
      <c r="R39" s="24"/>
      <c r="S39" s="24"/>
    </row>
    <row r="40" spans="1:19">
      <c r="A40" s="89" t="s">
        <v>349</v>
      </c>
      <c r="B40" s="425"/>
      <c r="C40" s="426"/>
      <c r="D40" s="437"/>
      <c r="E40" s="438"/>
      <c r="F40" s="80" t="s">
        <v>125</v>
      </c>
      <c r="G40" s="120"/>
      <c r="H40" s="21"/>
      <c r="I40" s="26" t="s">
        <v>123</v>
      </c>
      <c r="J40" s="23" t="s">
        <v>59</v>
      </c>
      <c r="K40" s="19"/>
      <c r="L40" s="19"/>
      <c r="M40" s="293" t="s">
        <v>291</v>
      </c>
      <c r="N40" s="15"/>
      <c r="O40" s="15"/>
      <c r="P40" s="15"/>
      <c r="Q40" s="24"/>
      <c r="R40" s="24"/>
      <c r="S40" s="24"/>
    </row>
    <row r="41" spans="1:19" ht="30">
      <c r="A41" s="89" t="s">
        <v>350</v>
      </c>
      <c r="B41" s="425"/>
      <c r="C41" s="426"/>
      <c r="D41" s="437" t="s">
        <v>76</v>
      </c>
      <c r="E41" s="438"/>
      <c r="F41" s="84" t="s">
        <v>77</v>
      </c>
      <c r="G41" s="120"/>
      <c r="H41" s="19"/>
      <c r="I41" s="12" t="s">
        <v>303</v>
      </c>
      <c r="J41" s="23" t="s">
        <v>59</v>
      </c>
      <c r="K41" s="19"/>
      <c r="L41" s="19"/>
      <c r="M41" s="293" t="s">
        <v>291</v>
      </c>
      <c r="N41" s="15"/>
      <c r="O41" s="15"/>
      <c r="P41" s="15"/>
      <c r="Q41" s="24"/>
      <c r="R41" s="24"/>
      <c r="S41" s="24"/>
    </row>
    <row r="42" spans="1:19" ht="30">
      <c r="A42" s="89" t="s">
        <v>351</v>
      </c>
      <c r="B42" s="425"/>
      <c r="C42" s="426"/>
      <c r="D42" s="437"/>
      <c r="E42" s="438"/>
      <c r="F42" s="84" t="s">
        <v>80</v>
      </c>
      <c r="G42" s="342"/>
      <c r="H42" s="21"/>
      <c r="I42" s="29" t="s">
        <v>81</v>
      </c>
      <c r="J42" s="23" t="s">
        <v>59</v>
      </c>
      <c r="K42" s="336" t="s">
        <v>345</v>
      </c>
      <c r="L42" s="19"/>
      <c r="M42" s="293" t="s">
        <v>291</v>
      </c>
      <c r="N42" s="15"/>
      <c r="O42" s="15"/>
      <c r="P42" s="15"/>
      <c r="Q42" s="24"/>
      <c r="R42" s="24"/>
      <c r="S42" s="24"/>
    </row>
    <row r="43" spans="1:19">
      <c r="A43" s="89" t="s">
        <v>352</v>
      </c>
      <c r="B43" s="425"/>
      <c r="C43" s="426"/>
      <c r="D43" s="437"/>
      <c r="E43" s="438"/>
      <c r="F43" s="84" t="s">
        <v>83</v>
      </c>
      <c r="G43" s="120"/>
      <c r="H43" s="19"/>
      <c r="I43" s="12" t="s">
        <v>84</v>
      </c>
      <c r="J43" s="23" t="s">
        <v>59</v>
      </c>
      <c r="K43" s="293" t="s">
        <v>353</v>
      </c>
      <c r="L43" s="19"/>
      <c r="M43" s="293" t="s">
        <v>291</v>
      </c>
      <c r="N43" s="15"/>
      <c r="O43" s="15"/>
      <c r="P43" s="15"/>
      <c r="Q43" s="24"/>
      <c r="R43" s="24"/>
      <c r="S43" s="24"/>
    </row>
    <row r="44" spans="1:19" ht="30">
      <c r="A44" s="89" t="s">
        <v>354</v>
      </c>
      <c r="B44" s="425"/>
      <c r="C44" s="426"/>
      <c r="D44" s="437"/>
      <c r="E44" s="438"/>
      <c r="F44" s="84" t="s">
        <v>86</v>
      </c>
      <c r="G44" s="342"/>
      <c r="H44" s="19"/>
      <c r="I44" s="12" t="s">
        <v>87</v>
      </c>
      <c r="J44" s="23" t="s">
        <v>59</v>
      </c>
      <c r="K44" s="336" t="s">
        <v>353</v>
      </c>
      <c r="L44" s="19"/>
      <c r="M44" s="293" t="s">
        <v>291</v>
      </c>
      <c r="N44" s="15"/>
      <c r="O44" s="15"/>
      <c r="P44" s="15"/>
      <c r="Q44" s="24"/>
      <c r="R44" s="24"/>
      <c r="S44" s="24"/>
    </row>
    <row r="45" spans="1:19" ht="30">
      <c r="A45" s="89" t="s">
        <v>355</v>
      </c>
      <c r="B45" s="425"/>
      <c r="C45" s="426"/>
      <c r="D45" s="437"/>
      <c r="E45" s="438"/>
      <c r="F45" s="84" t="s">
        <v>89</v>
      </c>
      <c r="G45" s="120"/>
      <c r="H45" s="19"/>
      <c r="I45" s="86" t="s">
        <v>90</v>
      </c>
      <c r="J45" s="23" t="s">
        <v>59</v>
      </c>
      <c r="K45" s="336" t="s">
        <v>353</v>
      </c>
      <c r="L45" s="87"/>
      <c r="M45" s="293" t="s">
        <v>291</v>
      </c>
      <c r="N45" s="15"/>
      <c r="O45" s="15"/>
      <c r="P45" s="15"/>
      <c r="Q45" s="24"/>
      <c r="R45" s="24"/>
      <c r="S45" s="24"/>
    </row>
    <row r="46" spans="1:19">
      <c r="A46" s="89" t="s">
        <v>356</v>
      </c>
      <c r="B46" s="425"/>
      <c r="C46" s="426"/>
      <c r="D46" s="437"/>
      <c r="E46" s="438"/>
      <c r="F46" s="81" t="s">
        <v>92</v>
      </c>
      <c r="G46" s="120" t="s">
        <v>93</v>
      </c>
      <c r="H46" s="344"/>
      <c r="I46" s="81" t="s">
        <v>94</v>
      </c>
      <c r="J46" s="66" t="s">
        <v>59</v>
      </c>
      <c r="K46" s="83"/>
      <c r="L46" s="83"/>
      <c r="M46" s="346" t="s">
        <v>291</v>
      </c>
      <c r="N46" s="15"/>
      <c r="O46" s="15"/>
      <c r="P46" s="15"/>
      <c r="Q46" s="24"/>
      <c r="R46" s="24"/>
      <c r="S46" s="24"/>
    </row>
    <row r="47" spans="1:19">
      <c r="A47" s="89" t="s">
        <v>357</v>
      </c>
      <c r="B47" s="425"/>
      <c r="C47" s="426"/>
      <c r="D47" s="437"/>
      <c r="E47" s="438"/>
      <c r="F47" s="153" t="s">
        <v>308</v>
      </c>
      <c r="G47" s="331"/>
      <c r="H47" s="345"/>
      <c r="I47" s="153" t="s">
        <v>309</v>
      </c>
      <c r="J47" s="156" t="s">
        <v>310</v>
      </c>
      <c r="K47" s="337" t="s">
        <v>358</v>
      </c>
      <c r="L47" s="157"/>
      <c r="M47" s="347" t="s">
        <v>291</v>
      </c>
      <c r="N47" s="320"/>
      <c r="O47" s="320"/>
      <c r="P47" s="320"/>
      <c r="Q47" s="319"/>
      <c r="R47" s="319"/>
      <c r="S47" s="319"/>
    </row>
    <row r="48" spans="1:19">
      <c r="A48" s="89" t="s">
        <v>359</v>
      </c>
      <c r="B48" s="425"/>
      <c r="C48" s="426"/>
      <c r="D48" s="437"/>
      <c r="E48" s="438"/>
      <c r="F48" s="153" t="s">
        <v>313</v>
      </c>
      <c r="G48" s="331"/>
      <c r="H48" s="345"/>
      <c r="I48" s="153" t="s">
        <v>314</v>
      </c>
      <c r="J48" s="156" t="s">
        <v>310</v>
      </c>
      <c r="K48" s="337" t="s">
        <v>358</v>
      </c>
      <c r="L48" s="157"/>
      <c r="M48" s="347" t="s">
        <v>291</v>
      </c>
      <c r="N48" s="320"/>
      <c r="O48" s="320"/>
      <c r="P48" s="320"/>
      <c r="Q48" s="319"/>
      <c r="R48" s="319"/>
      <c r="S48" s="319"/>
    </row>
  </sheetData>
  <mergeCells count="18">
    <mergeCell ref="A2:M2"/>
    <mergeCell ref="D3:D10"/>
    <mergeCell ref="D11:D16"/>
    <mergeCell ref="E3:E16"/>
    <mergeCell ref="C3:C16"/>
    <mergeCell ref="B3:B16"/>
    <mergeCell ref="A17:M17"/>
    <mergeCell ref="B18:B31"/>
    <mergeCell ref="C18:C31"/>
    <mergeCell ref="D18:D25"/>
    <mergeCell ref="E18:E31"/>
    <mergeCell ref="D26:D31"/>
    <mergeCell ref="A32:M32"/>
    <mergeCell ref="D33:D40"/>
    <mergeCell ref="D41:D48"/>
    <mergeCell ref="C33:C48"/>
    <mergeCell ref="B33:B48"/>
    <mergeCell ref="E33:E48"/>
  </mergeCells>
  <conditionalFormatting sqref="J1:J2">
    <cfRule type="containsText" dxfId="159" priority="41" operator="containsText" text="FAIL">
      <formula>NOT(ISERROR(SEARCH("FAIL",J1)))</formula>
    </cfRule>
    <cfRule type="containsText" dxfId="158" priority="42" operator="containsText" text="PASS">
      <formula>NOT(ISERROR(SEARCH("PASS",J1)))</formula>
    </cfRule>
  </conditionalFormatting>
  <conditionalFormatting sqref="J3:J16">
    <cfRule type="containsText" dxfId="157" priority="37" operator="containsText" text="BLOCKED">
      <formula>NOT(ISERROR(SEARCH("BLOCKED",J3)))</formula>
    </cfRule>
    <cfRule type="containsText" dxfId="156" priority="38" stopIfTrue="1" operator="containsText" text="IN PROGRESS">
      <formula>NOT(ISERROR(SEARCH("IN PROGRESS",J3)))</formula>
    </cfRule>
    <cfRule type="containsText" dxfId="155" priority="39" stopIfTrue="1" operator="containsText" text="PASS">
      <formula>NOT(ISERROR(SEARCH("PASS",J3)))</formula>
    </cfRule>
    <cfRule type="containsText" dxfId="154" priority="40" stopIfTrue="1" operator="containsText" text="FAIL">
      <formula>NOT(ISERROR(SEARCH("FAIL",J3)))</formula>
    </cfRule>
  </conditionalFormatting>
  <conditionalFormatting sqref="J17">
    <cfRule type="containsText" dxfId="153" priority="35" operator="containsText" text="FAIL">
      <formula>NOT(ISERROR(SEARCH("FAIL",J17)))</formula>
    </cfRule>
    <cfRule type="containsText" dxfId="152" priority="36" operator="containsText" text="PASS">
      <formula>NOT(ISERROR(SEARCH("PASS",J17)))</formula>
    </cfRule>
  </conditionalFormatting>
  <conditionalFormatting sqref="J18:J31">
    <cfRule type="containsText" dxfId="151" priority="13" operator="containsText" text="BLOCKED">
      <formula>NOT(ISERROR(SEARCH("BLOCKED",J18)))</formula>
    </cfRule>
    <cfRule type="containsText" dxfId="150" priority="14" stopIfTrue="1" operator="containsText" text="IN PROGRESS">
      <formula>NOT(ISERROR(SEARCH("IN PROGRESS",J18)))</formula>
    </cfRule>
    <cfRule type="containsText" dxfId="149" priority="15" stopIfTrue="1" operator="containsText" text="PASS">
      <formula>NOT(ISERROR(SEARCH("PASS",J18)))</formula>
    </cfRule>
    <cfRule type="containsText" dxfId="148" priority="16" stopIfTrue="1" operator="containsText" text="FAIL">
      <formula>NOT(ISERROR(SEARCH("FAIL",J18)))</formula>
    </cfRule>
  </conditionalFormatting>
  <conditionalFormatting sqref="J32">
    <cfRule type="containsText" dxfId="147" priority="29" operator="containsText" text="FAIL">
      <formula>NOT(ISERROR(SEARCH("FAIL",J32)))</formula>
    </cfRule>
    <cfRule type="containsText" dxfId="146" priority="30" operator="containsText" text="PASS">
      <formula>NOT(ISERROR(SEARCH("PASS",J32)))</formula>
    </cfRule>
  </conditionalFormatting>
  <conditionalFormatting sqref="J33:J48">
    <cfRule type="containsText" dxfId="145" priority="1" operator="containsText" text="BLOCKED">
      <formula>NOT(ISERROR(SEARCH("BLOCKED",J33)))</formula>
    </cfRule>
    <cfRule type="containsText" dxfId="144" priority="2" stopIfTrue="1" operator="containsText" text="IN PROGRESS">
      <formula>NOT(ISERROR(SEARCH("IN PROGRESS",J33)))</formula>
    </cfRule>
    <cfRule type="containsText" dxfId="143" priority="3" stopIfTrue="1" operator="containsText" text="PASS">
      <formula>NOT(ISERROR(SEARCH("PASS",J33)))</formula>
    </cfRule>
    <cfRule type="containsText" dxfId="142" priority="4" stopIfTrue="1" operator="containsText" text="FAIL">
      <formula>NOT(ISERROR(SEARCH("FAIL",J33)))</formula>
    </cfRule>
  </conditionalFormatting>
  <dataValidations count="1">
    <dataValidation type="list" allowBlank="1" showInputMessage="1" showErrorMessage="1" sqref="J18:J31 J3:J16 J33:J48" xr:uid="{054A3C3B-FCE6-4CB8-868D-C4E84C8B87CA}">
      <formula1>"PASS, FAIL, IN PROGRESS, BLOCKED,"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BFB50-E6D8-4925-AD29-328207EE6A3C}">
  <dimension ref="A1:S111"/>
  <sheetViews>
    <sheetView workbookViewId="0">
      <pane ySplit="1" topLeftCell="A34" activePane="bottomLeft" state="frozen"/>
      <selection pane="bottomLeft" activeCell="K43" sqref="K43"/>
    </sheetView>
  </sheetViews>
  <sheetFormatPr defaultColWidth="8.85546875" defaultRowHeight="15"/>
  <cols>
    <col min="1" max="1" width="22.28515625" customWidth="1"/>
    <col min="2" max="2" width="14.42578125" customWidth="1"/>
    <col min="3" max="3" width="12.42578125" customWidth="1"/>
    <col min="4" max="4" width="20.85546875" style="311" customWidth="1"/>
    <col min="5" max="5" width="30" style="9" customWidth="1"/>
    <col min="6" max="6" width="32.42578125" style="311" customWidth="1"/>
    <col min="7" max="7" width="32.42578125" customWidth="1"/>
    <col min="8" max="8" width="26.42578125" customWidth="1"/>
    <col min="9" max="9" width="46.42578125" customWidth="1"/>
    <col min="10" max="10" width="11.140625" customWidth="1"/>
    <col min="11" max="11" width="13" style="377" customWidth="1"/>
    <col min="12" max="12" width="19.7109375" customWidth="1"/>
  </cols>
  <sheetData>
    <row r="1" spans="1:19" ht="27.75" customHeight="1">
      <c r="A1" s="13" t="s">
        <v>38</v>
      </c>
      <c r="B1" s="13" t="s">
        <v>39</v>
      </c>
      <c r="C1" s="13" t="s">
        <v>40</v>
      </c>
      <c r="D1" s="13" t="s">
        <v>41</v>
      </c>
      <c r="E1" s="13" t="s">
        <v>42</v>
      </c>
      <c r="F1" s="13" t="s">
        <v>43</v>
      </c>
      <c r="G1" s="13" t="s">
        <v>44</v>
      </c>
      <c r="H1" s="13" t="s">
        <v>45</v>
      </c>
      <c r="I1" s="13" t="s">
        <v>46</v>
      </c>
      <c r="J1" s="13" t="s">
        <v>47</v>
      </c>
      <c r="K1" s="13" t="s">
        <v>48</v>
      </c>
      <c r="L1" s="14" t="s">
        <v>49</v>
      </c>
      <c r="M1" s="13" t="s">
        <v>50</v>
      </c>
      <c r="N1" s="15">
        <f>SUM(N2:N115)</f>
        <v>98</v>
      </c>
      <c r="O1" s="15">
        <f>SUM(O2:O115)</f>
        <v>0</v>
      </c>
      <c r="P1" s="15">
        <f>SUM(P2:P115)</f>
        <v>0</v>
      </c>
      <c r="Q1" s="15">
        <f>SUM(Q2:Q115)</f>
        <v>0</v>
      </c>
      <c r="R1" s="15">
        <f>SUM(R2:R115)</f>
        <v>2</v>
      </c>
      <c r="S1" s="16"/>
    </row>
    <row r="2" spans="1:19">
      <c r="A2" s="427" t="s">
        <v>360</v>
      </c>
      <c r="B2" s="427"/>
      <c r="C2" s="427"/>
      <c r="D2" s="427"/>
      <c r="E2" s="427"/>
      <c r="F2" s="427"/>
      <c r="G2" s="427"/>
      <c r="H2" s="427"/>
      <c r="I2" s="427"/>
      <c r="J2" s="427"/>
      <c r="K2" s="427"/>
      <c r="L2" s="427"/>
      <c r="M2" s="427"/>
      <c r="N2" s="17">
        <f>COUNTIF($J3:J20,"PASS")</f>
        <v>18</v>
      </c>
      <c r="O2" s="17">
        <f>COUNTIF($J3:J20,"FAIL")</f>
        <v>0</v>
      </c>
      <c r="P2" s="17">
        <f>COUNTBLANK(J3:J20)</f>
        <v>0</v>
      </c>
      <c r="Q2" s="17">
        <f>COUNTIF($J3:J20,"IN PROGRESS")</f>
        <v>0</v>
      </c>
      <c r="R2" s="17">
        <f>COUNTIF($J3:J20,"BLOCKED")</f>
        <v>0</v>
      </c>
      <c r="S2" s="16"/>
    </row>
    <row r="3" spans="1:19" s="9" customFormat="1" ht="75">
      <c r="A3" s="18" t="s">
        <v>361</v>
      </c>
      <c r="B3" s="463" t="s">
        <v>362</v>
      </c>
      <c r="C3" s="471" t="s">
        <v>54</v>
      </c>
      <c r="D3" s="428" t="s">
        <v>55</v>
      </c>
      <c r="E3" s="463" t="s">
        <v>289</v>
      </c>
      <c r="F3" s="20" t="s">
        <v>57</v>
      </c>
      <c r="G3" s="12"/>
      <c r="H3" s="310" t="s">
        <v>363</v>
      </c>
      <c r="I3" s="22" t="s">
        <v>58</v>
      </c>
      <c r="J3" s="312" t="s">
        <v>59</v>
      </c>
      <c r="K3" s="296" t="s">
        <v>364</v>
      </c>
      <c r="L3" s="310"/>
      <c r="M3" s="293" t="s">
        <v>61</v>
      </c>
      <c r="N3" s="15"/>
      <c r="O3" s="15"/>
      <c r="P3" s="15"/>
      <c r="Q3" s="24"/>
      <c r="R3" s="24"/>
      <c r="S3" s="24"/>
    </row>
    <row r="4" spans="1:19" s="9" customFormat="1">
      <c r="A4" s="18" t="s">
        <v>365</v>
      </c>
      <c r="B4" s="463"/>
      <c r="C4" s="471"/>
      <c r="D4" s="428"/>
      <c r="E4" s="463"/>
      <c r="F4" s="20" t="s">
        <v>63</v>
      </c>
      <c r="G4" s="19"/>
      <c r="H4" s="21"/>
      <c r="I4" s="22" t="s">
        <v>64</v>
      </c>
      <c r="J4" s="312" t="s">
        <v>59</v>
      </c>
      <c r="K4" s="293"/>
      <c r="L4" s="19"/>
      <c r="M4" s="293" t="s">
        <v>61</v>
      </c>
      <c r="N4" s="15"/>
      <c r="O4" s="15"/>
      <c r="P4" s="15"/>
      <c r="Q4" s="24"/>
      <c r="R4" s="24"/>
      <c r="S4" s="24"/>
    </row>
    <row r="5" spans="1:19" s="9" customFormat="1" ht="30">
      <c r="A5" s="18" t="s">
        <v>366</v>
      </c>
      <c r="B5" s="463"/>
      <c r="C5" s="471"/>
      <c r="D5" s="428"/>
      <c r="E5" s="463"/>
      <c r="F5" s="20" t="s">
        <v>66</v>
      </c>
      <c r="G5" s="19"/>
      <c r="H5" s="21"/>
      <c r="I5" s="22" t="s">
        <v>67</v>
      </c>
      <c r="J5" s="312" t="s">
        <v>59</v>
      </c>
      <c r="K5" s="293" t="s">
        <v>367</v>
      </c>
      <c r="L5" s="19"/>
      <c r="M5" s="293" t="s">
        <v>368</v>
      </c>
      <c r="N5" s="15"/>
      <c r="O5" s="15"/>
      <c r="P5" s="15"/>
      <c r="Q5" s="24"/>
      <c r="R5" s="24"/>
      <c r="S5" s="24"/>
    </row>
    <row r="6" spans="1:19" s="9" customFormat="1">
      <c r="A6" s="18" t="s">
        <v>369</v>
      </c>
      <c r="B6" s="463"/>
      <c r="C6" s="471"/>
      <c r="D6" s="428"/>
      <c r="E6" s="463"/>
      <c r="F6" s="25" t="s">
        <v>69</v>
      </c>
      <c r="G6" s="19" t="s">
        <v>70</v>
      </c>
      <c r="H6" s="21"/>
      <c r="I6" s="12" t="s">
        <v>71</v>
      </c>
      <c r="J6" s="23" t="s">
        <v>59</v>
      </c>
      <c r="K6" s="293" t="s">
        <v>370</v>
      </c>
      <c r="L6" s="19"/>
      <c r="M6" s="293" t="s">
        <v>368</v>
      </c>
      <c r="N6" s="15"/>
      <c r="O6" s="15"/>
      <c r="P6" s="15"/>
      <c r="Q6" s="24"/>
      <c r="R6" s="24"/>
      <c r="S6" s="24"/>
    </row>
    <row r="7" spans="1:19" s="9" customFormat="1" ht="30">
      <c r="A7" s="18" t="s">
        <v>371</v>
      </c>
      <c r="B7" s="463"/>
      <c r="C7" s="471"/>
      <c r="D7" s="428"/>
      <c r="E7" s="463"/>
      <c r="F7" s="25" t="s">
        <v>73</v>
      </c>
      <c r="G7" s="12" t="s">
        <v>74</v>
      </c>
      <c r="H7" s="21"/>
      <c r="I7" s="12" t="s">
        <v>71</v>
      </c>
      <c r="J7" s="23" t="s">
        <v>59</v>
      </c>
      <c r="K7" s="293" t="s">
        <v>370</v>
      </c>
      <c r="L7" s="19"/>
      <c r="M7" s="293" t="s">
        <v>368</v>
      </c>
      <c r="N7" s="15"/>
      <c r="O7" s="15"/>
      <c r="P7" s="15"/>
      <c r="Q7" s="24"/>
      <c r="R7" s="24"/>
      <c r="S7" s="24"/>
    </row>
    <row r="8" spans="1:19" s="9" customFormat="1" ht="17.25" customHeight="1">
      <c r="A8" s="18" t="s">
        <v>372</v>
      </c>
      <c r="B8" s="463"/>
      <c r="C8" s="471"/>
      <c r="D8" s="428"/>
      <c r="E8" s="463"/>
      <c r="F8" s="20" t="s">
        <v>119</v>
      </c>
      <c r="G8" s="12"/>
      <c r="H8" s="21"/>
      <c r="I8" s="26" t="s">
        <v>120</v>
      </c>
      <c r="J8" s="23" t="s">
        <v>59</v>
      </c>
      <c r="K8" s="293" t="s">
        <v>373</v>
      </c>
      <c r="L8" s="19"/>
      <c r="M8" s="293" t="s">
        <v>368</v>
      </c>
      <c r="N8" s="15"/>
      <c r="O8" s="15"/>
      <c r="P8" s="15"/>
      <c r="Q8" s="24"/>
      <c r="R8" s="24"/>
      <c r="S8" s="24"/>
    </row>
    <row r="9" spans="1:19" s="9" customFormat="1">
      <c r="A9" s="18" t="s">
        <v>374</v>
      </c>
      <c r="B9" s="463"/>
      <c r="C9" s="471"/>
      <c r="D9" s="428"/>
      <c r="E9" s="463"/>
      <c r="F9" s="26" t="s">
        <v>122</v>
      </c>
      <c r="G9" s="12"/>
      <c r="H9" s="21"/>
      <c r="I9" s="26" t="s">
        <v>123</v>
      </c>
      <c r="J9" s="23" t="s">
        <v>59</v>
      </c>
      <c r="K9" s="293"/>
      <c r="L9" s="19"/>
      <c r="M9" s="293" t="s">
        <v>61</v>
      </c>
      <c r="N9" s="15"/>
      <c r="O9" s="15"/>
      <c r="P9" s="15"/>
      <c r="Q9" s="24"/>
      <c r="R9" s="24"/>
      <c r="S9" s="24"/>
    </row>
    <row r="10" spans="1:19" s="9" customFormat="1">
      <c r="A10" s="18" t="s">
        <v>375</v>
      </c>
      <c r="B10" s="463"/>
      <c r="C10" s="471"/>
      <c r="D10" s="428"/>
      <c r="E10" s="463"/>
      <c r="F10" s="26" t="s">
        <v>125</v>
      </c>
      <c r="G10" s="12"/>
      <c r="H10" s="21"/>
      <c r="I10" s="26" t="s">
        <v>123</v>
      </c>
      <c r="J10" s="23" t="s">
        <v>59</v>
      </c>
      <c r="K10" s="293"/>
      <c r="L10" s="19"/>
      <c r="M10" s="293" t="s">
        <v>61</v>
      </c>
      <c r="N10" s="15"/>
      <c r="O10" s="15"/>
      <c r="P10" s="15"/>
      <c r="Q10" s="24"/>
      <c r="R10" s="24"/>
      <c r="S10" s="24"/>
    </row>
    <row r="11" spans="1:19" s="9" customFormat="1" ht="36" customHeight="1">
      <c r="A11" s="18" t="s">
        <v>376</v>
      </c>
      <c r="B11" s="464"/>
      <c r="C11" s="460"/>
      <c r="D11" s="468" t="s">
        <v>76</v>
      </c>
      <c r="E11" s="464"/>
      <c r="F11" s="309" t="s">
        <v>77</v>
      </c>
      <c r="G11" s="12"/>
      <c r="H11" s="19"/>
      <c r="I11" s="12" t="s">
        <v>303</v>
      </c>
      <c r="J11" s="23" t="s">
        <v>59</v>
      </c>
      <c r="K11" s="336" t="s">
        <v>364</v>
      </c>
      <c r="L11" s="303"/>
      <c r="M11" s="336" t="s">
        <v>368</v>
      </c>
      <c r="N11" s="320"/>
      <c r="O11" s="320"/>
      <c r="P11" s="320"/>
      <c r="Q11" s="319"/>
      <c r="R11" s="319"/>
      <c r="S11" s="319"/>
    </row>
    <row r="12" spans="1:19" s="9" customFormat="1" ht="30">
      <c r="A12" s="18" t="s">
        <v>377</v>
      </c>
      <c r="B12" s="463"/>
      <c r="C12" s="471"/>
      <c r="D12" s="429"/>
      <c r="E12" s="463"/>
      <c r="F12" s="29" t="s">
        <v>80</v>
      </c>
      <c r="G12" s="28"/>
      <c r="H12" s="21"/>
      <c r="I12" s="29" t="s">
        <v>81</v>
      </c>
      <c r="J12" s="23" t="s">
        <v>59</v>
      </c>
      <c r="K12" s="293" t="s">
        <v>378</v>
      </c>
      <c r="L12" s="19"/>
      <c r="M12" s="293" t="s">
        <v>61</v>
      </c>
      <c r="N12" s="15"/>
      <c r="O12" s="15"/>
      <c r="P12" s="15"/>
      <c r="Q12" s="24"/>
      <c r="R12" s="24"/>
      <c r="S12" s="24"/>
    </row>
    <row r="13" spans="1:19" s="9" customFormat="1">
      <c r="A13" s="18" t="s">
        <v>379</v>
      </c>
      <c r="B13" s="463"/>
      <c r="C13" s="471"/>
      <c r="D13" s="429"/>
      <c r="E13" s="463"/>
      <c r="F13" s="29" t="s">
        <v>83</v>
      </c>
      <c r="G13" s="12"/>
      <c r="H13" s="19"/>
      <c r="I13" s="12" t="s">
        <v>84</v>
      </c>
      <c r="J13" s="23" t="s">
        <v>59</v>
      </c>
      <c r="K13" s="293"/>
      <c r="L13" s="19"/>
      <c r="M13" s="293" t="s">
        <v>61</v>
      </c>
      <c r="N13" s="15"/>
      <c r="O13" s="15"/>
      <c r="P13" s="15"/>
      <c r="Q13" s="24"/>
      <c r="R13" s="24"/>
      <c r="S13" s="24"/>
    </row>
    <row r="14" spans="1:19" s="9" customFormat="1" ht="30">
      <c r="A14" s="18" t="s">
        <v>380</v>
      </c>
      <c r="B14" s="463"/>
      <c r="C14" s="471"/>
      <c r="D14" s="429"/>
      <c r="E14" s="463"/>
      <c r="F14" s="29" t="s">
        <v>86</v>
      </c>
      <c r="G14" s="28"/>
      <c r="H14" s="19"/>
      <c r="I14" s="12" t="s">
        <v>87</v>
      </c>
      <c r="J14" s="23" t="s">
        <v>59</v>
      </c>
      <c r="K14" s="296"/>
      <c r="L14" s="19"/>
      <c r="M14" s="293" t="s">
        <v>368</v>
      </c>
      <c r="N14" s="15"/>
      <c r="O14" s="15"/>
      <c r="P14" s="15"/>
      <c r="Q14" s="24"/>
      <c r="R14" s="24"/>
      <c r="S14" s="24"/>
    </row>
    <row r="15" spans="1:19" s="9" customFormat="1" ht="30">
      <c r="A15" s="18" t="s">
        <v>381</v>
      </c>
      <c r="B15" s="463"/>
      <c r="C15" s="471"/>
      <c r="D15" s="429"/>
      <c r="E15" s="463"/>
      <c r="F15" s="29" t="s">
        <v>89</v>
      </c>
      <c r="G15" s="12"/>
      <c r="H15" s="19"/>
      <c r="I15" s="12" t="s">
        <v>90</v>
      </c>
      <c r="J15" s="23" t="s">
        <v>59</v>
      </c>
      <c r="K15" s="296"/>
      <c r="L15" s="19"/>
      <c r="M15" s="293" t="s">
        <v>61</v>
      </c>
      <c r="N15" s="15"/>
      <c r="O15" s="15"/>
      <c r="P15" s="15"/>
      <c r="Q15" s="24"/>
      <c r="R15" s="24"/>
      <c r="S15" s="24"/>
    </row>
    <row r="16" spans="1:19" s="9" customFormat="1">
      <c r="A16" s="18" t="s">
        <v>382</v>
      </c>
      <c r="B16" s="463"/>
      <c r="C16" s="471"/>
      <c r="D16" s="429"/>
      <c r="E16" s="463"/>
      <c r="F16" s="12" t="s">
        <v>92</v>
      </c>
      <c r="G16" s="12" t="s">
        <v>93</v>
      </c>
      <c r="H16" s="19"/>
      <c r="I16" s="12" t="s">
        <v>94</v>
      </c>
      <c r="J16" s="23" t="s">
        <v>59</v>
      </c>
      <c r="K16" s="293"/>
      <c r="L16" s="19"/>
      <c r="M16" s="293" t="s">
        <v>61</v>
      </c>
      <c r="N16" s="15"/>
      <c r="O16" s="15"/>
      <c r="P16" s="15"/>
      <c r="Q16" s="24"/>
      <c r="R16" s="24"/>
      <c r="S16" s="24"/>
    </row>
    <row r="17" spans="1:19" s="9" customFormat="1">
      <c r="A17" s="18" t="s">
        <v>383</v>
      </c>
      <c r="B17" s="463"/>
      <c r="C17" s="471"/>
      <c r="D17" s="299" t="s">
        <v>384</v>
      </c>
      <c r="E17" s="463"/>
      <c r="F17" s="12" t="s">
        <v>385</v>
      </c>
      <c r="G17" s="12"/>
      <c r="H17" s="19"/>
      <c r="I17" s="12" t="s">
        <v>386</v>
      </c>
      <c r="J17" s="23" t="s">
        <v>59</v>
      </c>
      <c r="K17" s="293" t="s">
        <v>387</v>
      </c>
      <c r="L17" s="18"/>
      <c r="M17" s="293" t="s">
        <v>61</v>
      </c>
      <c r="N17" s="15"/>
      <c r="O17" s="15"/>
      <c r="P17" s="15"/>
      <c r="Q17" s="24"/>
      <c r="R17" s="24"/>
      <c r="S17" s="24"/>
    </row>
    <row r="18" spans="1:19" s="9" customFormat="1">
      <c r="A18" s="18" t="s">
        <v>388</v>
      </c>
      <c r="B18" s="463"/>
      <c r="C18" s="471"/>
      <c r="D18" s="289" t="s">
        <v>389</v>
      </c>
      <c r="E18" s="463"/>
      <c r="F18" s="12" t="s">
        <v>390</v>
      </c>
      <c r="G18" s="12"/>
      <c r="H18" s="19"/>
      <c r="I18" s="12" t="s">
        <v>391</v>
      </c>
      <c r="J18" s="23" t="s">
        <v>59</v>
      </c>
      <c r="K18" s="293"/>
      <c r="L18" s="19"/>
      <c r="M18" s="293" t="s">
        <v>61</v>
      </c>
      <c r="N18" s="15"/>
      <c r="O18" s="15"/>
      <c r="P18" s="15"/>
      <c r="Q18" s="24"/>
      <c r="R18" s="24"/>
      <c r="S18" s="24"/>
    </row>
    <row r="19" spans="1:19" s="9" customFormat="1">
      <c r="A19" s="18" t="s">
        <v>392</v>
      </c>
      <c r="B19" s="463"/>
      <c r="C19" s="471"/>
      <c r="D19" s="298" t="s">
        <v>308</v>
      </c>
      <c r="E19" s="463"/>
      <c r="F19" s="12" t="s">
        <v>308</v>
      </c>
      <c r="G19" s="12"/>
      <c r="H19" s="19"/>
      <c r="I19" s="12" t="s">
        <v>309</v>
      </c>
      <c r="J19" s="23" t="s">
        <v>59</v>
      </c>
      <c r="K19" s="293"/>
      <c r="L19" s="18"/>
      <c r="M19" s="293" t="s">
        <v>61</v>
      </c>
      <c r="N19" s="15"/>
      <c r="O19" s="15"/>
      <c r="P19" s="15"/>
      <c r="Q19" s="24"/>
      <c r="R19" s="24"/>
      <c r="S19" s="24"/>
    </row>
    <row r="20" spans="1:19" s="9" customFormat="1">
      <c r="A20" s="18" t="s">
        <v>393</v>
      </c>
      <c r="B20" s="463"/>
      <c r="C20" s="471"/>
      <c r="D20" s="298" t="s">
        <v>313</v>
      </c>
      <c r="E20" s="463"/>
      <c r="F20" s="12" t="s">
        <v>313</v>
      </c>
      <c r="G20" s="12"/>
      <c r="H20" s="19"/>
      <c r="I20" s="12" t="s">
        <v>314</v>
      </c>
      <c r="J20" s="23" t="s">
        <v>59</v>
      </c>
      <c r="K20" s="293"/>
      <c r="L20" s="18"/>
      <c r="M20" s="293" t="s">
        <v>61</v>
      </c>
      <c r="N20" s="15"/>
      <c r="O20" s="15"/>
      <c r="P20" s="15"/>
      <c r="Q20" s="24"/>
      <c r="R20" s="24"/>
      <c r="S20" s="24"/>
    </row>
    <row r="21" spans="1:19" s="9" customFormat="1">
      <c r="A21" s="470" t="s">
        <v>394</v>
      </c>
      <c r="B21" s="470"/>
      <c r="C21" s="470"/>
      <c r="D21" s="470"/>
      <c r="E21" s="470"/>
      <c r="F21" s="470"/>
      <c r="G21" s="470"/>
      <c r="H21" s="470"/>
      <c r="I21" s="470"/>
      <c r="J21" s="470"/>
      <c r="K21" s="470"/>
      <c r="L21" s="470"/>
      <c r="M21" s="470"/>
      <c r="N21" s="313">
        <f>COUNTIF($J22:J39,"PASS")</f>
        <v>18</v>
      </c>
      <c r="O21" s="313">
        <f>COUNTIF($J22:J39,"FAIL")</f>
        <v>0</v>
      </c>
      <c r="P21" s="313">
        <f>COUNTBLANK(J22:J39)</f>
        <v>0</v>
      </c>
      <c r="Q21" s="313">
        <f>COUNTIF($J22:J39,"IN PROGRESS")</f>
        <v>0</v>
      </c>
      <c r="R21" s="313">
        <f>COUNTIF($J22:J39,"BLOCKED")</f>
        <v>0</v>
      </c>
      <c r="S21" s="24"/>
    </row>
    <row r="22" spans="1:19" s="9" customFormat="1" ht="15" customHeight="1">
      <c r="A22" s="18" t="s">
        <v>395</v>
      </c>
      <c r="B22" s="463" t="s">
        <v>396</v>
      </c>
      <c r="C22" s="471" t="s">
        <v>54</v>
      </c>
      <c r="D22" s="484" t="s">
        <v>55</v>
      </c>
      <c r="E22" s="463" t="s">
        <v>289</v>
      </c>
      <c r="F22" s="301" t="s">
        <v>57</v>
      </c>
      <c r="G22" s="12"/>
      <c r="H22" s="302"/>
      <c r="I22" s="155" t="s">
        <v>58</v>
      </c>
      <c r="J22" s="312" t="s">
        <v>59</v>
      </c>
      <c r="K22" s="297"/>
      <c r="L22" s="18"/>
      <c r="M22" s="293" t="s">
        <v>61</v>
      </c>
      <c r="N22" s="15"/>
      <c r="O22" s="15"/>
      <c r="P22" s="15"/>
      <c r="Q22" s="24"/>
      <c r="R22" s="24"/>
      <c r="S22" s="24"/>
    </row>
    <row r="23" spans="1:19" s="9" customFormat="1">
      <c r="A23" s="18" t="s">
        <v>397</v>
      </c>
      <c r="B23" s="464"/>
      <c r="C23" s="460"/>
      <c r="D23" s="462"/>
      <c r="E23" s="464"/>
      <c r="F23" s="301" t="s">
        <v>63</v>
      </c>
      <c r="G23" s="305"/>
      <c r="H23" s="302"/>
      <c r="I23" s="155" t="s">
        <v>64</v>
      </c>
      <c r="J23" s="312" t="s">
        <v>59</v>
      </c>
      <c r="K23" s="293"/>
      <c r="L23" s="305"/>
      <c r="M23" s="293" t="s">
        <v>61</v>
      </c>
      <c r="N23" s="15"/>
      <c r="O23" s="15"/>
      <c r="P23" s="15"/>
      <c r="Q23" s="24"/>
      <c r="R23" s="24"/>
      <c r="S23" s="24"/>
    </row>
    <row r="24" spans="1:19" s="9" customFormat="1" ht="15" customHeight="1">
      <c r="A24" s="18" t="s">
        <v>398</v>
      </c>
      <c r="B24" s="464"/>
      <c r="C24" s="460"/>
      <c r="D24" s="462"/>
      <c r="E24" s="464"/>
      <c r="F24" s="301" t="s">
        <v>66</v>
      </c>
      <c r="G24" s="305"/>
      <c r="H24" s="302"/>
      <c r="I24" s="155" t="s">
        <v>67</v>
      </c>
      <c r="J24" s="312" t="s">
        <v>59</v>
      </c>
      <c r="K24" s="293">
        <v>38208</v>
      </c>
      <c r="L24" s="305"/>
      <c r="M24" s="293" t="s">
        <v>61</v>
      </c>
      <c r="N24" s="15"/>
      <c r="O24" s="15"/>
      <c r="P24" s="15"/>
      <c r="Q24" s="24"/>
      <c r="R24" s="24"/>
      <c r="S24" s="24"/>
    </row>
    <row r="25" spans="1:19" s="9" customFormat="1">
      <c r="A25" s="18" t="s">
        <v>399</v>
      </c>
      <c r="B25" s="464"/>
      <c r="C25" s="460"/>
      <c r="D25" s="462"/>
      <c r="E25" s="464"/>
      <c r="F25" s="306" t="s">
        <v>69</v>
      </c>
      <c r="G25" s="305" t="s">
        <v>70</v>
      </c>
      <c r="H25" s="302"/>
      <c r="I25" s="12" t="s">
        <v>71</v>
      </c>
      <c r="J25" s="312" t="s">
        <v>59</v>
      </c>
      <c r="K25" s="293"/>
      <c r="L25" s="305"/>
      <c r="M25" s="293" t="s">
        <v>61</v>
      </c>
      <c r="N25" s="15"/>
      <c r="O25" s="15"/>
      <c r="P25" s="15"/>
      <c r="Q25" s="24"/>
      <c r="R25" s="24"/>
      <c r="S25" s="24"/>
    </row>
    <row r="26" spans="1:19" s="9" customFormat="1" ht="15" customHeight="1">
      <c r="A26" s="18" t="s">
        <v>400</v>
      </c>
      <c r="B26" s="464"/>
      <c r="C26" s="460"/>
      <c r="D26" s="462"/>
      <c r="E26" s="464"/>
      <c r="F26" s="306" t="s">
        <v>73</v>
      </c>
      <c r="G26" s="12" t="s">
        <v>74</v>
      </c>
      <c r="H26" s="302"/>
      <c r="I26" s="12" t="s">
        <v>71</v>
      </c>
      <c r="J26" s="312" t="s">
        <v>59</v>
      </c>
      <c r="K26" s="293">
        <v>38121</v>
      </c>
      <c r="L26" s="305"/>
      <c r="M26" s="293" t="s">
        <v>61</v>
      </c>
      <c r="N26" s="15"/>
      <c r="O26" s="15"/>
      <c r="P26" s="15"/>
      <c r="Q26" s="24"/>
      <c r="R26" s="24"/>
      <c r="S26" s="24"/>
    </row>
    <row r="27" spans="1:19" s="9" customFormat="1" ht="15" customHeight="1">
      <c r="A27" s="18" t="s">
        <v>401</v>
      </c>
      <c r="B27" s="464"/>
      <c r="C27" s="460"/>
      <c r="D27" s="462"/>
      <c r="E27" s="464"/>
      <c r="F27" s="301" t="s">
        <v>119</v>
      </c>
      <c r="G27" s="12"/>
      <c r="H27" s="302"/>
      <c r="I27" s="307" t="s">
        <v>120</v>
      </c>
      <c r="J27" s="312" t="s">
        <v>59</v>
      </c>
      <c r="K27" s="293">
        <v>38208</v>
      </c>
      <c r="L27" s="305"/>
      <c r="M27" s="293" t="s">
        <v>61</v>
      </c>
      <c r="N27" s="15"/>
      <c r="O27" s="15"/>
      <c r="P27" s="15"/>
      <c r="Q27" s="24"/>
      <c r="R27" s="24"/>
      <c r="S27" s="24"/>
    </row>
    <row r="28" spans="1:19" s="9" customFormat="1">
      <c r="A28" s="18" t="s">
        <v>402</v>
      </c>
      <c r="B28" s="464"/>
      <c r="C28" s="460"/>
      <c r="D28" s="462"/>
      <c r="E28" s="464"/>
      <c r="F28" s="307" t="s">
        <v>122</v>
      </c>
      <c r="G28" s="12"/>
      <c r="H28" s="302"/>
      <c r="I28" s="307" t="s">
        <v>123</v>
      </c>
      <c r="J28" s="312" t="s">
        <v>59</v>
      </c>
      <c r="K28" s="293"/>
      <c r="L28" s="305"/>
      <c r="M28" s="293" t="s">
        <v>61</v>
      </c>
      <c r="N28" s="15"/>
      <c r="O28" s="15"/>
      <c r="P28" s="15"/>
      <c r="Q28" s="24"/>
      <c r="R28" s="24"/>
      <c r="S28" s="24"/>
    </row>
    <row r="29" spans="1:19" s="9" customFormat="1">
      <c r="A29" s="18" t="s">
        <v>403</v>
      </c>
      <c r="B29" s="464"/>
      <c r="C29" s="460"/>
      <c r="D29" s="469"/>
      <c r="E29" s="464"/>
      <c r="F29" s="307" t="s">
        <v>125</v>
      </c>
      <c r="G29" s="12"/>
      <c r="H29" s="302"/>
      <c r="I29" s="307" t="s">
        <v>123</v>
      </c>
      <c r="J29" s="312" t="s">
        <v>59</v>
      </c>
      <c r="K29" s="293"/>
      <c r="L29" s="305"/>
      <c r="M29" s="293" t="s">
        <v>61</v>
      </c>
      <c r="N29" s="15"/>
      <c r="O29" s="15"/>
      <c r="P29" s="15"/>
      <c r="Q29" s="24"/>
      <c r="R29" s="24"/>
      <c r="S29" s="24"/>
    </row>
    <row r="30" spans="1:19" s="9" customFormat="1" ht="15" customHeight="1">
      <c r="A30" s="18" t="s">
        <v>404</v>
      </c>
      <c r="B30" s="464"/>
      <c r="C30" s="460"/>
      <c r="D30" s="468" t="s">
        <v>76</v>
      </c>
      <c r="E30" s="464"/>
      <c r="F30" s="309" t="s">
        <v>77</v>
      </c>
      <c r="G30" s="12"/>
      <c r="H30" s="19"/>
      <c r="I30" s="12" t="s">
        <v>303</v>
      </c>
      <c r="J30" s="312" t="s">
        <v>59</v>
      </c>
      <c r="K30" s="293"/>
      <c r="L30" s="18"/>
      <c r="M30" s="293" t="s">
        <v>61</v>
      </c>
      <c r="N30" s="15"/>
      <c r="O30" s="15"/>
      <c r="P30" s="15"/>
      <c r="Q30" s="24"/>
      <c r="R30" s="24"/>
      <c r="S30" s="24"/>
    </row>
    <row r="31" spans="1:19" s="9" customFormat="1" ht="15" customHeight="1">
      <c r="A31" s="18" t="s">
        <v>405</v>
      </c>
      <c r="B31" s="464"/>
      <c r="C31" s="460"/>
      <c r="D31" s="462"/>
      <c r="E31" s="464"/>
      <c r="F31" s="309" t="s">
        <v>80</v>
      </c>
      <c r="G31" s="308"/>
      <c r="H31" s="302"/>
      <c r="I31" s="309" t="s">
        <v>81</v>
      </c>
      <c r="J31" s="312" t="s">
        <v>59</v>
      </c>
      <c r="K31" s="293">
        <v>38208</v>
      </c>
      <c r="L31" s="305"/>
      <c r="M31" s="293" t="s">
        <v>61</v>
      </c>
      <c r="N31" s="15"/>
      <c r="O31" s="15"/>
      <c r="P31" s="15"/>
      <c r="Q31" s="24"/>
      <c r="R31" s="24"/>
      <c r="S31" s="24"/>
    </row>
    <row r="32" spans="1:19" s="9" customFormat="1">
      <c r="A32" s="18" t="s">
        <v>406</v>
      </c>
      <c r="B32" s="464"/>
      <c r="C32" s="460"/>
      <c r="D32" s="462"/>
      <c r="E32" s="464"/>
      <c r="F32" s="309" t="s">
        <v>83</v>
      </c>
      <c r="G32" s="12"/>
      <c r="H32" s="19"/>
      <c r="I32" s="12" t="s">
        <v>84</v>
      </c>
      <c r="J32" s="312" t="s">
        <v>59</v>
      </c>
      <c r="K32" s="293"/>
      <c r="L32" s="305"/>
      <c r="M32" s="293" t="s">
        <v>61</v>
      </c>
      <c r="N32" s="15"/>
      <c r="O32" s="15"/>
      <c r="P32" s="15"/>
      <c r="Q32" s="24"/>
      <c r="R32" s="24"/>
      <c r="S32" s="24"/>
    </row>
    <row r="33" spans="1:19" s="9" customFormat="1" ht="29.25" customHeight="1">
      <c r="A33" s="18" t="s">
        <v>407</v>
      </c>
      <c r="B33" s="464"/>
      <c r="C33" s="460"/>
      <c r="D33" s="462"/>
      <c r="E33" s="464"/>
      <c r="F33" s="309" t="s">
        <v>86</v>
      </c>
      <c r="G33" s="308"/>
      <c r="H33" s="19"/>
      <c r="I33" s="12" t="s">
        <v>87</v>
      </c>
      <c r="J33" s="312" t="s">
        <v>59</v>
      </c>
      <c r="K33" s="336">
        <v>38208</v>
      </c>
      <c r="L33" s="305"/>
      <c r="M33" s="293" t="s">
        <v>61</v>
      </c>
      <c r="N33" s="15"/>
      <c r="O33" s="15"/>
      <c r="P33" s="15"/>
      <c r="Q33" s="24"/>
      <c r="R33" s="24"/>
      <c r="S33" s="24"/>
    </row>
    <row r="34" spans="1:19" s="9" customFormat="1" ht="29.25" customHeight="1">
      <c r="A34" s="18" t="s">
        <v>408</v>
      </c>
      <c r="B34" s="464"/>
      <c r="C34" s="460"/>
      <c r="D34" s="462"/>
      <c r="E34" s="464"/>
      <c r="F34" s="309" t="s">
        <v>89</v>
      </c>
      <c r="G34" s="12"/>
      <c r="H34" s="19"/>
      <c r="I34" s="12" t="s">
        <v>90</v>
      </c>
      <c r="J34" s="312" t="s">
        <v>59</v>
      </c>
      <c r="K34" s="297"/>
      <c r="L34" s="305"/>
      <c r="M34" s="293" t="s">
        <v>61</v>
      </c>
      <c r="N34" s="15"/>
      <c r="O34" s="15"/>
      <c r="P34" s="15"/>
      <c r="Q34" s="24"/>
      <c r="R34" s="24"/>
      <c r="S34" s="24"/>
    </row>
    <row r="35" spans="1:19" s="9" customFormat="1">
      <c r="A35" s="18" t="s">
        <v>409</v>
      </c>
      <c r="B35" s="464"/>
      <c r="C35" s="460"/>
      <c r="D35" s="462"/>
      <c r="E35" s="464"/>
      <c r="F35" s="12" t="s">
        <v>92</v>
      </c>
      <c r="G35" s="12" t="s">
        <v>93</v>
      </c>
      <c r="H35" s="19"/>
      <c r="I35" s="12" t="s">
        <v>94</v>
      </c>
      <c r="J35" s="312" t="s">
        <v>59</v>
      </c>
      <c r="K35" s="293"/>
      <c r="L35" s="305"/>
      <c r="M35" s="293" t="s">
        <v>61</v>
      </c>
      <c r="N35" s="15"/>
      <c r="O35" s="15"/>
      <c r="P35" s="15"/>
      <c r="Q35" s="24"/>
      <c r="R35" s="24"/>
      <c r="S35" s="24"/>
    </row>
    <row r="36" spans="1:19" s="9" customFormat="1" ht="15" customHeight="1">
      <c r="A36" s="18" t="s">
        <v>410</v>
      </c>
      <c r="B36" s="464"/>
      <c r="C36" s="482"/>
      <c r="D36" s="300" t="s">
        <v>384</v>
      </c>
      <c r="E36" s="485"/>
      <c r="F36" s="12" t="s">
        <v>385</v>
      </c>
      <c r="G36" s="12"/>
      <c r="H36" s="19"/>
      <c r="I36" s="12" t="s">
        <v>386</v>
      </c>
      <c r="J36" s="312" t="s">
        <v>59</v>
      </c>
      <c r="K36" s="293"/>
      <c r="L36" s="18"/>
      <c r="M36" s="293" t="s">
        <v>61</v>
      </c>
      <c r="N36" s="15"/>
      <c r="O36" s="15"/>
      <c r="P36" s="15"/>
      <c r="Q36" s="24"/>
      <c r="R36" s="24"/>
      <c r="S36" s="24"/>
    </row>
    <row r="37" spans="1:19" s="9" customFormat="1">
      <c r="A37" s="18" t="s">
        <v>411</v>
      </c>
      <c r="B37" s="464"/>
      <c r="C37" s="460"/>
      <c r="D37" s="304" t="s">
        <v>389</v>
      </c>
      <c r="E37" s="464"/>
      <c r="F37" s="12" t="s">
        <v>390</v>
      </c>
      <c r="G37" s="12"/>
      <c r="H37" s="19"/>
      <c r="I37" s="12" t="s">
        <v>391</v>
      </c>
      <c r="J37" s="312" t="s">
        <v>59</v>
      </c>
      <c r="K37" s="293"/>
      <c r="L37" s="305"/>
      <c r="M37" s="293" t="s">
        <v>61</v>
      </c>
      <c r="N37" s="15"/>
      <c r="O37" s="15"/>
      <c r="P37" s="15"/>
      <c r="Q37" s="24"/>
      <c r="R37" s="24"/>
      <c r="S37" s="24"/>
    </row>
    <row r="38" spans="1:19" s="9" customFormat="1" ht="15" customHeight="1">
      <c r="A38" s="18" t="s">
        <v>412</v>
      </c>
      <c r="B38" s="464"/>
      <c r="C38" s="460"/>
      <c r="D38" s="468" t="s">
        <v>413</v>
      </c>
      <c r="E38" s="464"/>
      <c r="F38" s="12" t="s">
        <v>308</v>
      </c>
      <c r="G38" s="12"/>
      <c r="H38" s="19"/>
      <c r="I38" s="12" t="s">
        <v>309</v>
      </c>
      <c r="J38" s="312" t="s">
        <v>59</v>
      </c>
      <c r="K38" s="293"/>
      <c r="L38" s="18"/>
      <c r="M38" s="293" t="s">
        <v>61</v>
      </c>
      <c r="N38" s="15"/>
      <c r="O38" s="15"/>
      <c r="P38" s="15"/>
      <c r="Q38" s="24"/>
      <c r="R38" s="24"/>
      <c r="S38" s="24"/>
    </row>
    <row r="39" spans="1:19" s="9" customFormat="1" ht="15" customHeight="1">
      <c r="A39" s="18" t="s">
        <v>414</v>
      </c>
      <c r="B39" s="465"/>
      <c r="C39" s="483"/>
      <c r="D39" s="469"/>
      <c r="E39" s="465"/>
      <c r="F39" s="12" t="s">
        <v>313</v>
      </c>
      <c r="G39" s="12"/>
      <c r="H39" s="19"/>
      <c r="I39" s="12" t="s">
        <v>314</v>
      </c>
      <c r="J39" s="312" t="s">
        <v>59</v>
      </c>
      <c r="K39" s="293"/>
      <c r="L39" s="18"/>
      <c r="M39" s="293" t="s">
        <v>61</v>
      </c>
      <c r="N39" s="15"/>
      <c r="O39" s="15"/>
      <c r="P39" s="15"/>
      <c r="Q39" s="24"/>
      <c r="R39" s="24"/>
      <c r="S39" s="24"/>
    </row>
    <row r="40" spans="1:19" s="9" customFormat="1">
      <c r="A40" s="427" t="s">
        <v>415</v>
      </c>
      <c r="B40" s="427"/>
      <c r="C40" s="427"/>
      <c r="D40" s="427"/>
      <c r="E40" s="427"/>
      <c r="F40" s="427"/>
      <c r="G40" s="427"/>
      <c r="H40" s="427"/>
      <c r="I40" s="427"/>
      <c r="J40" s="427"/>
      <c r="K40" s="427"/>
      <c r="L40" s="427"/>
      <c r="M40" s="427"/>
      <c r="N40" s="17">
        <f>COUNTIF($J41:J53,"PASS")</f>
        <v>13</v>
      </c>
      <c r="O40" s="17">
        <f>COUNTIF($J41:J53,"FAIL")</f>
        <v>0</v>
      </c>
      <c r="P40" s="17">
        <f>COUNTBLANK(J41:J53)</f>
        <v>0</v>
      </c>
      <c r="Q40" s="17">
        <f>COUNTIF($J41:J53,"IN PROGRESS")</f>
        <v>0</v>
      </c>
      <c r="R40" s="17">
        <f>COUNTIF($J41:J53,"BLOCKED")</f>
        <v>0</v>
      </c>
      <c r="S40" s="24"/>
    </row>
    <row r="41" spans="1:19" s="9" customFormat="1" ht="72.75" customHeight="1">
      <c r="A41" s="18" t="s">
        <v>416</v>
      </c>
      <c r="B41" s="463" t="s">
        <v>417</v>
      </c>
      <c r="C41" s="442" t="s">
        <v>54</v>
      </c>
      <c r="D41" s="428" t="s">
        <v>55</v>
      </c>
      <c r="E41" s="439" t="s">
        <v>289</v>
      </c>
      <c r="F41" s="20" t="s">
        <v>57</v>
      </c>
      <c r="G41" s="12"/>
      <c r="H41" s="21"/>
      <c r="I41" s="22" t="s">
        <v>58</v>
      </c>
      <c r="J41" s="312" t="s">
        <v>59</v>
      </c>
      <c r="K41" s="376">
        <v>38207</v>
      </c>
      <c r="L41" s="18"/>
      <c r="M41" s="293" t="s">
        <v>61</v>
      </c>
      <c r="N41" s="15"/>
      <c r="O41" s="15"/>
      <c r="P41" s="15"/>
      <c r="Q41" s="24"/>
      <c r="R41" s="24"/>
      <c r="S41" s="24"/>
    </row>
    <row r="42" spans="1:19" s="9" customFormat="1">
      <c r="A42" s="18" t="s">
        <v>418</v>
      </c>
      <c r="B42" s="464"/>
      <c r="C42" s="440"/>
      <c r="D42" s="429"/>
      <c r="E42" s="472"/>
      <c r="F42" s="20" t="s">
        <v>63</v>
      </c>
      <c r="G42" s="19"/>
      <c r="H42" s="21"/>
      <c r="I42" s="22" t="s">
        <v>64</v>
      </c>
      <c r="J42" s="312" t="s">
        <v>59</v>
      </c>
      <c r="K42" s="376">
        <v>38207</v>
      </c>
      <c r="L42" s="19"/>
      <c r="M42" s="293" t="s">
        <v>61</v>
      </c>
      <c r="N42" s="15"/>
      <c r="O42" s="15"/>
      <c r="P42" s="15"/>
      <c r="Q42" s="24"/>
      <c r="R42" s="24"/>
      <c r="S42" s="24"/>
    </row>
    <row r="43" spans="1:19" s="9" customFormat="1" ht="30">
      <c r="A43" s="18" t="s">
        <v>419</v>
      </c>
      <c r="B43" s="464"/>
      <c r="C43" s="440"/>
      <c r="D43" s="429"/>
      <c r="E43" s="472"/>
      <c r="F43" s="20" t="s">
        <v>66</v>
      </c>
      <c r="G43" s="19"/>
      <c r="H43" s="21"/>
      <c r="I43" s="22" t="s">
        <v>67</v>
      </c>
      <c r="J43" s="312" t="s">
        <v>59</v>
      </c>
      <c r="K43" s="376">
        <v>38207</v>
      </c>
      <c r="L43" s="19"/>
      <c r="M43" s="293" t="s">
        <v>61</v>
      </c>
      <c r="N43" s="15"/>
      <c r="O43" s="15"/>
      <c r="P43" s="15"/>
      <c r="Q43" s="24"/>
      <c r="R43" s="24"/>
      <c r="S43" s="24"/>
    </row>
    <row r="44" spans="1:19" s="9" customFormat="1">
      <c r="A44" s="18" t="s">
        <v>420</v>
      </c>
      <c r="B44" s="464"/>
      <c r="C44" s="440"/>
      <c r="D44" s="429"/>
      <c r="E44" s="472"/>
      <c r="F44" s="25" t="s">
        <v>69</v>
      </c>
      <c r="G44" s="19" t="s">
        <v>70</v>
      </c>
      <c r="H44" s="21"/>
      <c r="I44" s="12" t="s">
        <v>71</v>
      </c>
      <c r="J44" s="312" t="s">
        <v>59</v>
      </c>
      <c r="K44" s="293"/>
      <c r="L44" s="19"/>
      <c r="M44" s="293" t="s">
        <v>61</v>
      </c>
      <c r="N44" s="15"/>
      <c r="O44" s="15"/>
      <c r="P44" s="15"/>
      <c r="Q44" s="24"/>
      <c r="R44" s="24"/>
      <c r="S44" s="24"/>
    </row>
    <row r="45" spans="1:19" s="9" customFormat="1" ht="30">
      <c r="A45" s="18" t="s">
        <v>421</v>
      </c>
      <c r="B45" s="464"/>
      <c r="C45" s="440"/>
      <c r="D45" s="429"/>
      <c r="E45" s="472"/>
      <c r="F45" s="20" t="s">
        <v>119</v>
      </c>
      <c r="G45" s="12"/>
      <c r="H45" s="21"/>
      <c r="I45" s="26" t="s">
        <v>120</v>
      </c>
      <c r="J45" s="312" t="s">
        <v>59</v>
      </c>
      <c r="K45" s="293"/>
      <c r="L45" s="19"/>
      <c r="M45" s="293" t="s">
        <v>61</v>
      </c>
      <c r="N45" s="15"/>
      <c r="O45" s="15"/>
      <c r="P45" s="15"/>
      <c r="Q45" s="24"/>
      <c r="R45" s="24"/>
      <c r="S45" s="24"/>
    </row>
    <row r="46" spans="1:19" s="9" customFormat="1">
      <c r="A46" s="18" t="s">
        <v>422</v>
      </c>
      <c r="B46" s="464"/>
      <c r="C46" s="440"/>
      <c r="D46" s="429"/>
      <c r="E46" s="472"/>
      <c r="F46" s="26" t="s">
        <v>122</v>
      </c>
      <c r="G46" s="12"/>
      <c r="H46" s="21"/>
      <c r="I46" s="26" t="s">
        <v>123</v>
      </c>
      <c r="J46" s="312" t="s">
        <v>59</v>
      </c>
      <c r="K46" s="293"/>
      <c r="L46" s="19"/>
      <c r="M46" s="293" t="s">
        <v>61</v>
      </c>
      <c r="N46" s="15"/>
      <c r="O46" s="15"/>
      <c r="P46" s="15"/>
      <c r="Q46" s="24"/>
      <c r="R46" s="24"/>
      <c r="S46" s="24"/>
    </row>
    <row r="47" spans="1:19" s="9" customFormat="1">
      <c r="A47" s="18" t="s">
        <v>423</v>
      </c>
      <c r="B47" s="464"/>
      <c r="C47" s="440"/>
      <c r="D47" s="434"/>
      <c r="E47" s="472"/>
      <c r="F47" s="26" t="s">
        <v>125</v>
      </c>
      <c r="G47" s="12"/>
      <c r="H47" s="21"/>
      <c r="I47" s="26" t="s">
        <v>123</v>
      </c>
      <c r="J47" s="312" t="s">
        <v>59</v>
      </c>
      <c r="K47" s="293"/>
      <c r="L47" s="19"/>
      <c r="M47" s="293" t="s">
        <v>61</v>
      </c>
      <c r="N47" s="15"/>
      <c r="O47" s="15"/>
      <c r="P47" s="15"/>
      <c r="Q47" s="24"/>
      <c r="R47" s="24"/>
      <c r="S47" s="24"/>
    </row>
    <row r="48" spans="1:19" s="9" customFormat="1" ht="75">
      <c r="A48" s="18" t="s">
        <v>424</v>
      </c>
      <c r="B48" s="464"/>
      <c r="C48" s="440"/>
      <c r="D48" s="468" t="s">
        <v>76</v>
      </c>
      <c r="E48" s="472"/>
      <c r="F48" s="29" t="s">
        <v>77</v>
      </c>
      <c r="G48" s="12"/>
      <c r="H48" s="19"/>
      <c r="I48" s="12" t="s">
        <v>78</v>
      </c>
      <c r="J48" s="312" t="s">
        <v>59</v>
      </c>
      <c r="K48" s="293"/>
      <c r="L48" s="19"/>
      <c r="M48" s="293" t="s">
        <v>61</v>
      </c>
      <c r="N48" s="15"/>
      <c r="O48" s="15"/>
      <c r="P48" s="15"/>
      <c r="Q48" s="24"/>
      <c r="R48" s="24"/>
      <c r="S48" s="24"/>
    </row>
    <row r="49" spans="1:19" s="9" customFormat="1" ht="30">
      <c r="A49" s="18" t="s">
        <v>425</v>
      </c>
      <c r="B49" s="464"/>
      <c r="C49" s="440"/>
      <c r="D49" s="462"/>
      <c r="E49" s="472"/>
      <c r="F49" s="29" t="s">
        <v>80</v>
      </c>
      <c r="G49" s="28"/>
      <c r="H49" s="21"/>
      <c r="I49" s="29" t="s">
        <v>81</v>
      </c>
      <c r="J49" s="312" t="s">
        <v>59</v>
      </c>
      <c r="K49" s="293"/>
      <c r="L49" s="19"/>
      <c r="M49" s="293" t="s">
        <v>61</v>
      </c>
      <c r="N49" s="15"/>
      <c r="O49" s="15"/>
      <c r="P49" s="15"/>
      <c r="Q49" s="24"/>
      <c r="R49" s="24"/>
      <c r="S49" s="24"/>
    </row>
    <row r="50" spans="1:19" s="9" customFormat="1">
      <c r="A50" s="18" t="s">
        <v>426</v>
      </c>
      <c r="B50" s="464"/>
      <c r="C50" s="440"/>
      <c r="D50" s="462"/>
      <c r="E50" s="472"/>
      <c r="F50" s="29" t="s">
        <v>83</v>
      </c>
      <c r="G50" s="12"/>
      <c r="H50" s="19"/>
      <c r="I50" s="12" t="s">
        <v>84</v>
      </c>
      <c r="J50" s="312" t="s">
        <v>59</v>
      </c>
      <c r="K50" s="293"/>
      <c r="L50" s="19"/>
      <c r="M50" s="293" t="s">
        <v>61</v>
      </c>
      <c r="N50" s="15"/>
      <c r="O50" s="15"/>
      <c r="P50" s="15"/>
      <c r="Q50" s="24"/>
      <c r="R50" s="24"/>
      <c r="S50" s="24"/>
    </row>
    <row r="51" spans="1:19" s="9" customFormat="1">
      <c r="A51" s="18" t="s">
        <v>427</v>
      </c>
      <c r="B51" s="464"/>
      <c r="C51" s="440"/>
      <c r="D51" s="462"/>
      <c r="E51" s="472"/>
      <c r="F51" s="12" t="s">
        <v>92</v>
      </c>
      <c r="G51" s="12" t="s">
        <v>93</v>
      </c>
      <c r="H51" s="19"/>
      <c r="I51" s="12" t="s">
        <v>94</v>
      </c>
      <c r="J51" s="30" t="s">
        <v>59</v>
      </c>
      <c r="K51" s="293"/>
      <c r="L51" s="19"/>
      <c r="M51" s="293" t="s">
        <v>61</v>
      </c>
      <c r="N51" s="15"/>
      <c r="O51" s="15"/>
      <c r="P51" s="15"/>
      <c r="Q51" s="24"/>
      <c r="R51" s="24"/>
      <c r="S51" s="24"/>
    </row>
    <row r="52" spans="1:19" s="9" customFormat="1">
      <c r="A52" s="18" t="s">
        <v>428</v>
      </c>
      <c r="B52" s="464"/>
      <c r="C52" s="440"/>
      <c r="D52" s="468" t="s">
        <v>413</v>
      </c>
      <c r="E52" s="472"/>
      <c r="F52" s="12" t="s">
        <v>308</v>
      </c>
      <c r="G52" s="12"/>
      <c r="H52" s="19"/>
      <c r="I52" s="12" t="s">
        <v>309</v>
      </c>
      <c r="J52" s="30" t="s">
        <v>59</v>
      </c>
      <c r="K52" s="376">
        <v>38207</v>
      </c>
      <c r="L52" s="19"/>
      <c r="M52" s="293" t="s">
        <v>61</v>
      </c>
      <c r="N52" s="15"/>
      <c r="O52" s="15"/>
      <c r="P52" s="15"/>
      <c r="Q52" s="24"/>
      <c r="R52" s="24"/>
      <c r="S52" s="24"/>
    </row>
    <row r="53" spans="1:19" s="9" customFormat="1">
      <c r="A53" s="18" t="s">
        <v>429</v>
      </c>
      <c r="B53" s="465"/>
      <c r="C53" s="441"/>
      <c r="D53" s="469"/>
      <c r="E53" s="473"/>
      <c r="F53" s="12" t="s">
        <v>313</v>
      </c>
      <c r="G53" s="12"/>
      <c r="H53" s="19"/>
      <c r="I53" s="12" t="s">
        <v>314</v>
      </c>
      <c r="J53" s="30" t="s">
        <v>59</v>
      </c>
      <c r="K53" s="376">
        <v>38207</v>
      </c>
      <c r="L53" s="19"/>
      <c r="M53" s="293" t="s">
        <v>61</v>
      </c>
      <c r="N53" s="15"/>
      <c r="O53" s="15"/>
      <c r="P53" s="15"/>
      <c r="Q53" s="24"/>
      <c r="R53" s="24"/>
      <c r="S53" s="24"/>
    </row>
    <row r="54" spans="1:19">
      <c r="A54" s="427" t="s">
        <v>430</v>
      </c>
      <c r="B54" s="427"/>
      <c r="C54" s="427"/>
      <c r="D54" s="427"/>
      <c r="E54" s="427"/>
      <c r="F54" s="427"/>
      <c r="G54" s="427"/>
      <c r="H54" s="427"/>
      <c r="I54" s="427"/>
      <c r="J54" s="427"/>
      <c r="K54" s="427"/>
      <c r="L54" s="427"/>
      <c r="M54" s="427"/>
      <c r="N54" s="17">
        <f>COUNTIF($J55:J68,"PASS")</f>
        <v>14</v>
      </c>
      <c r="O54" s="17">
        <f>COUNTIF($J55:J68,"FAIL")</f>
        <v>0</v>
      </c>
      <c r="P54" s="17">
        <f>COUNTBLANK(J55:J68)</f>
        <v>0</v>
      </c>
      <c r="Q54" s="17">
        <f>COUNTIF($J55:J68,"IN PROGRESS")</f>
        <v>0</v>
      </c>
      <c r="R54" s="17">
        <f>COUNTIF($J55:J68,"BLOCKED")</f>
        <v>0</v>
      </c>
      <c r="S54" s="24"/>
    </row>
    <row r="55" spans="1:19" ht="75">
      <c r="A55" s="18" t="s">
        <v>431</v>
      </c>
      <c r="B55" s="463" t="s">
        <v>432</v>
      </c>
      <c r="C55" s="442" t="s">
        <v>54</v>
      </c>
      <c r="D55" s="428" t="s">
        <v>55</v>
      </c>
      <c r="E55" s="466" t="s">
        <v>433</v>
      </c>
      <c r="F55" s="20" t="s">
        <v>57</v>
      </c>
      <c r="G55" s="12"/>
      <c r="H55" s="21"/>
      <c r="I55" s="22" t="s">
        <v>58</v>
      </c>
      <c r="J55" s="312" t="s">
        <v>59</v>
      </c>
      <c r="K55" s="296"/>
      <c r="L55" s="18"/>
      <c r="M55" s="293" t="s">
        <v>61</v>
      </c>
      <c r="N55" s="15"/>
      <c r="O55" s="15"/>
      <c r="P55" s="15"/>
      <c r="Q55" s="24"/>
      <c r="R55" s="24"/>
      <c r="S55" s="24"/>
    </row>
    <row r="56" spans="1:19">
      <c r="A56" s="18" t="s">
        <v>434</v>
      </c>
      <c r="B56" s="464"/>
      <c r="C56" s="440"/>
      <c r="D56" s="429"/>
      <c r="E56" s="461"/>
      <c r="F56" s="20" t="s">
        <v>63</v>
      </c>
      <c r="G56" s="19"/>
      <c r="H56" s="21"/>
      <c r="I56" s="22" t="s">
        <v>64</v>
      </c>
      <c r="J56" s="23" t="s">
        <v>59</v>
      </c>
      <c r="K56" s="293"/>
      <c r="L56" s="19"/>
      <c r="M56" s="293" t="s">
        <v>61</v>
      </c>
      <c r="N56" s="15"/>
      <c r="O56" s="15"/>
      <c r="P56" s="15"/>
      <c r="Q56" s="24"/>
      <c r="R56" s="24"/>
      <c r="S56" s="24"/>
    </row>
    <row r="57" spans="1:19" ht="30">
      <c r="A57" s="18" t="s">
        <v>435</v>
      </c>
      <c r="B57" s="464"/>
      <c r="C57" s="440"/>
      <c r="D57" s="429"/>
      <c r="E57" s="461"/>
      <c r="F57" s="20" t="s">
        <v>66</v>
      </c>
      <c r="G57" s="19"/>
      <c r="H57" s="21"/>
      <c r="I57" s="22" t="s">
        <v>67</v>
      </c>
      <c r="J57" s="23" t="s">
        <v>59</v>
      </c>
      <c r="K57" s="293"/>
      <c r="L57" s="19"/>
      <c r="M57" s="293" t="s">
        <v>61</v>
      </c>
      <c r="N57" s="15"/>
      <c r="O57" s="15"/>
      <c r="P57" s="15"/>
      <c r="Q57" s="24"/>
      <c r="R57" s="24"/>
      <c r="S57" s="24"/>
    </row>
    <row r="58" spans="1:19">
      <c r="A58" s="18" t="s">
        <v>436</v>
      </c>
      <c r="B58" s="464"/>
      <c r="C58" s="440"/>
      <c r="D58" s="429"/>
      <c r="E58" s="461"/>
      <c r="F58" s="25" t="s">
        <v>69</v>
      </c>
      <c r="G58" s="19" t="s">
        <v>70</v>
      </c>
      <c r="H58" s="21"/>
      <c r="I58" s="12" t="s">
        <v>71</v>
      </c>
      <c r="J58" s="23" t="s">
        <v>59</v>
      </c>
      <c r="K58" s="293"/>
      <c r="L58" s="19"/>
      <c r="M58" s="293" t="s">
        <v>61</v>
      </c>
      <c r="N58" s="15"/>
      <c r="O58" s="15"/>
      <c r="P58" s="15"/>
      <c r="Q58" s="24"/>
      <c r="R58" s="24"/>
      <c r="S58" s="24"/>
    </row>
    <row r="59" spans="1:19" ht="30">
      <c r="A59" s="18" t="s">
        <v>437</v>
      </c>
      <c r="B59" s="464"/>
      <c r="C59" s="440"/>
      <c r="D59" s="429"/>
      <c r="E59" s="461"/>
      <c r="F59" s="25" t="s">
        <v>73</v>
      </c>
      <c r="G59" s="12" t="s">
        <v>74</v>
      </c>
      <c r="H59" s="21"/>
      <c r="I59" s="12" t="s">
        <v>71</v>
      </c>
      <c r="J59" s="23" t="s">
        <v>59</v>
      </c>
      <c r="K59" s="293"/>
      <c r="L59" s="19"/>
      <c r="M59" s="293" t="s">
        <v>61</v>
      </c>
      <c r="N59" s="15"/>
      <c r="O59" s="15"/>
      <c r="P59" s="15"/>
      <c r="Q59" s="24"/>
      <c r="R59" s="24"/>
      <c r="S59" s="24"/>
    </row>
    <row r="60" spans="1:19" ht="30">
      <c r="A60" s="18" t="s">
        <v>438</v>
      </c>
      <c r="B60" s="464"/>
      <c r="C60" s="440"/>
      <c r="D60" s="429"/>
      <c r="E60" s="461"/>
      <c r="F60" s="20" t="s">
        <v>119</v>
      </c>
      <c r="G60" s="12"/>
      <c r="H60" s="21"/>
      <c r="I60" s="26" t="s">
        <v>120</v>
      </c>
      <c r="J60" s="23" t="s">
        <v>59</v>
      </c>
      <c r="K60" s="293"/>
      <c r="L60" s="19"/>
      <c r="M60" s="293" t="s">
        <v>61</v>
      </c>
      <c r="N60" s="15"/>
      <c r="O60" s="15"/>
      <c r="P60" s="15"/>
      <c r="Q60" s="24"/>
      <c r="R60" s="24"/>
      <c r="S60" s="24"/>
    </row>
    <row r="61" spans="1:19">
      <c r="A61" s="18" t="s">
        <v>439</v>
      </c>
      <c r="B61" s="464"/>
      <c r="C61" s="440"/>
      <c r="D61" s="429"/>
      <c r="E61" s="461"/>
      <c r="F61" s="26" t="s">
        <v>122</v>
      </c>
      <c r="G61" s="12"/>
      <c r="H61" s="21"/>
      <c r="I61" s="26" t="s">
        <v>123</v>
      </c>
      <c r="J61" s="23" t="s">
        <v>59</v>
      </c>
      <c r="K61" s="293"/>
      <c r="L61" s="19"/>
      <c r="M61" s="293" t="s">
        <v>61</v>
      </c>
      <c r="N61" s="15"/>
      <c r="O61" s="15"/>
      <c r="P61" s="15"/>
      <c r="Q61" s="24"/>
      <c r="R61" s="24"/>
      <c r="S61" s="24"/>
    </row>
    <row r="62" spans="1:19">
      <c r="A62" s="18" t="s">
        <v>440</v>
      </c>
      <c r="B62" s="464"/>
      <c r="C62" s="440"/>
      <c r="D62" s="434"/>
      <c r="E62" s="461"/>
      <c r="F62" s="26" t="s">
        <v>125</v>
      </c>
      <c r="G62" s="12"/>
      <c r="H62" s="21"/>
      <c r="I62" s="26" t="s">
        <v>123</v>
      </c>
      <c r="J62" s="23" t="s">
        <v>59</v>
      </c>
      <c r="K62" s="293"/>
      <c r="L62" s="19"/>
      <c r="M62" s="293" t="s">
        <v>61</v>
      </c>
      <c r="N62" s="15"/>
      <c r="O62" s="15"/>
      <c r="P62" s="15"/>
      <c r="Q62" s="24"/>
      <c r="R62" s="24"/>
      <c r="S62" s="24"/>
    </row>
    <row r="63" spans="1:19" ht="75">
      <c r="A63" s="18" t="s">
        <v>441</v>
      </c>
      <c r="B63" s="464"/>
      <c r="C63" s="440"/>
      <c r="D63" s="433" t="s">
        <v>76</v>
      </c>
      <c r="E63" s="461"/>
      <c r="F63" s="29" t="s">
        <v>77</v>
      </c>
      <c r="G63" s="12"/>
      <c r="H63" s="19"/>
      <c r="I63" s="12" t="s">
        <v>78</v>
      </c>
      <c r="J63" s="23" t="s">
        <v>59</v>
      </c>
      <c r="K63" s="293"/>
      <c r="L63" s="19"/>
      <c r="M63" s="293" t="s">
        <v>61</v>
      </c>
      <c r="N63" s="15"/>
      <c r="O63" s="15"/>
      <c r="P63" s="15"/>
      <c r="Q63" s="24"/>
      <c r="R63" s="24"/>
      <c r="S63" s="24"/>
    </row>
    <row r="64" spans="1:19" ht="30">
      <c r="A64" s="18" t="s">
        <v>442</v>
      </c>
      <c r="B64" s="464"/>
      <c r="C64" s="440"/>
      <c r="D64" s="429"/>
      <c r="E64" s="461"/>
      <c r="F64" s="29" t="s">
        <v>80</v>
      </c>
      <c r="G64" s="28"/>
      <c r="H64" s="21"/>
      <c r="I64" s="29" t="s">
        <v>81</v>
      </c>
      <c r="J64" s="23" t="s">
        <v>59</v>
      </c>
      <c r="K64" s="293"/>
      <c r="L64" s="19"/>
      <c r="M64" s="293" t="s">
        <v>61</v>
      </c>
      <c r="N64" s="15"/>
      <c r="O64" s="15"/>
      <c r="P64" s="15"/>
      <c r="Q64" s="24"/>
      <c r="R64" s="24"/>
      <c r="S64" s="24"/>
    </row>
    <row r="65" spans="1:19">
      <c r="A65" s="18" t="s">
        <v>443</v>
      </c>
      <c r="B65" s="464"/>
      <c r="C65" s="440"/>
      <c r="D65" s="429"/>
      <c r="E65" s="461"/>
      <c r="F65" s="29" t="s">
        <v>83</v>
      </c>
      <c r="G65" s="12"/>
      <c r="H65" s="19"/>
      <c r="I65" s="12" t="s">
        <v>84</v>
      </c>
      <c r="J65" s="23" t="s">
        <v>59</v>
      </c>
      <c r="K65" s="293"/>
      <c r="L65" s="19"/>
      <c r="M65" s="293" t="s">
        <v>61</v>
      </c>
      <c r="N65" s="15"/>
      <c r="O65" s="15"/>
      <c r="P65" s="15"/>
      <c r="Q65" s="24"/>
      <c r="R65" s="24"/>
      <c r="S65" s="24"/>
    </row>
    <row r="66" spans="1:19">
      <c r="A66" s="18" t="s">
        <v>444</v>
      </c>
      <c r="B66" s="464"/>
      <c r="C66" s="441"/>
      <c r="D66" s="434"/>
      <c r="E66" s="461"/>
      <c r="F66" s="12" t="s">
        <v>92</v>
      </c>
      <c r="G66" s="12" t="s">
        <v>93</v>
      </c>
      <c r="H66" s="19"/>
      <c r="I66" s="12" t="s">
        <v>94</v>
      </c>
      <c r="J66" s="23" t="s">
        <v>59</v>
      </c>
      <c r="K66" s="293"/>
      <c r="L66" s="19"/>
      <c r="M66" s="293" t="s">
        <v>61</v>
      </c>
      <c r="N66" s="15"/>
      <c r="O66" s="15"/>
      <c r="P66" s="15"/>
      <c r="Q66" s="24"/>
      <c r="R66" s="24"/>
      <c r="S66" s="24"/>
    </row>
    <row r="67" spans="1:19">
      <c r="A67" s="18" t="s">
        <v>445</v>
      </c>
      <c r="B67" s="464"/>
      <c r="C67" s="279"/>
      <c r="D67" s="468" t="s">
        <v>413</v>
      </c>
      <c r="E67" s="461"/>
      <c r="F67" s="12" t="s">
        <v>308</v>
      </c>
      <c r="G67" s="12"/>
      <c r="H67" s="19"/>
      <c r="I67" s="12" t="s">
        <v>309</v>
      </c>
      <c r="J67" s="23" t="s">
        <v>59</v>
      </c>
      <c r="K67" s="293"/>
      <c r="L67" s="19"/>
      <c r="M67" s="293" t="s">
        <v>61</v>
      </c>
      <c r="N67" s="15"/>
      <c r="O67" s="15"/>
      <c r="P67" s="15"/>
      <c r="Q67" s="24"/>
      <c r="R67" s="24"/>
      <c r="S67" s="24"/>
    </row>
    <row r="68" spans="1:19">
      <c r="A68" s="18" t="s">
        <v>446</v>
      </c>
      <c r="B68" s="465"/>
      <c r="C68" s="290"/>
      <c r="D68" s="469"/>
      <c r="E68" s="467"/>
      <c r="F68" s="12" t="s">
        <v>313</v>
      </c>
      <c r="G68" s="12"/>
      <c r="H68" s="19"/>
      <c r="I68" s="12" t="s">
        <v>314</v>
      </c>
      <c r="J68" s="23" t="s">
        <v>59</v>
      </c>
      <c r="K68" s="293"/>
      <c r="L68" s="19"/>
      <c r="M68" s="293" t="s">
        <v>61</v>
      </c>
      <c r="N68" s="15"/>
      <c r="O68" s="15"/>
      <c r="P68" s="15"/>
      <c r="Q68" s="24"/>
      <c r="R68" s="24"/>
      <c r="S68" s="24"/>
    </row>
    <row r="69" spans="1:19">
      <c r="A69" s="427" t="s">
        <v>447</v>
      </c>
      <c r="B69" s="427"/>
      <c r="C69" s="427"/>
      <c r="D69" s="427"/>
      <c r="E69" s="427"/>
      <c r="F69" s="427"/>
      <c r="G69" s="427"/>
      <c r="H69" s="427"/>
      <c r="I69" s="427"/>
      <c r="J69" s="427"/>
      <c r="K69" s="427"/>
      <c r="L69" s="427"/>
      <c r="M69" s="427"/>
      <c r="N69" s="17">
        <f>COUNTIF($J70:J83,"PASS")</f>
        <v>14</v>
      </c>
      <c r="O69" s="17">
        <f>COUNTIF($J70:J83,"FAIL")</f>
        <v>0</v>
      </c>
      <c r="P69" s="17">
        <f>COUNTBLANK(J70:J83)</f>
        <v>0</v>
      </c>
      <c r="Q69" s="17">
        <f>COUNTIF($J70:J83,"IN PROGRESS")</f>
        <v>0</v>
      </c>
      <c r="R69" s="17">
        <f>COUNTIF($J70:J83,"BLOCKED")</f>
        <v>0</v>
      </c>
      <c r="S69" s="24"/>
    </row>
    <row r="70" spans="1:19" ht="130.5" customHeight="1">
      <c r="A70" s="18" t="s">
        <v>448</v>
      </c>
      <c r="B70" s="463" t="s">
        <v>449</v>
      </c>
      <c r="C70" s="479" t="s">
        <v>54</v>
      </c>
      <c r="D70" s="428" t="s">
        <v>55</v>
      </c>
      <c r="E70" s="466" t="s">
        <v>450</v>
      </c>
      <c r="F70" s="20" t="s">
        <v>57</v>
      </c>
      <c r="G70" s="12"/>
      <c r="H70" s="21"/>
      <c r="I70" s="22" t="s">
        <v>58</v>
      </c>
      <c r="J70" s="23" t="s">
        <v>59</v>
      </c>
      <c r="K70" s="376" t="s">
        <v>451</v>
      </c>
      <c r="L70" s="18"/>
      <c r="M70" s="293" t="s">
        <v>61</v>
      </c>
      <c r="N70" s="15"/>
      <c r="O70" s="15"/>
      <c r="P70" s="15"/>
      <c r="Q70" s="24"/>
      <c r="R70" s="24"/>
      <c r="S70" s="24"/>
    </row>
    <row r="71" spans="1:19">
      <c r="A71" s="18" t="s">
        <v>452</v>
      </c>
      <c r="B71" s="464"/>
      <c r="C71" s="480"/>
      <c r="D71" s="429"/>
      <c r="E71" s="461"/>
      <c r="F71" s="20" t="s">
        <v>63</v>
      </c>
      <c r="G71" s="19"/>
      <c r="H71" s="21"/>
      <c r="I71" s="22" t="s">
        <v>64</v>
      </c>
      <c r="J71" s="23" t="s">
        <v>59</v>
      </c>
      <c r="K71" s="293"/>
      <c r="L71" s="19"/>
      <c r="M71" s="293" t="s">
        <v>61</v>
      </c>
      <c r="N71" s="15"/>
      <c r="O71" s="15"/>
      <c r="P71" s="15"/>
      <c r="Q71" s="24"/>
      <c r="R71" s="24"/>
      <c r="S71" s="24"/>
    </row>
    <row r="72" spans="1:19" ht="30">
      <c r="A72" s="18" t="s">
        <v>453</v>
      </c>
      <c r="B72" s="464"/>
      <c r="C72" s="480"/>
      <c r="D72" s="429"/>
      <c r="E72" s="461"/>
      <c r="F72" s="20" t="s">
        <v>66</v>
      </c>
      <c r="G72" s="19"/>
      <c r="H72" s="21"/>
      <c r="I72" s="22" t="s">
        <v>67</v>
      </c>
      <c r="J72" s="23" t="s">
        <v>59</v>
      </c>
      <c r="K72" s="376" t="s">
        <v>451</v>
      </c>
      <c r="L72" s="19"/>
      <c r="M72" s="293" t="s">
        <v>61</v>
      </c>
      <c r="N72" s="15"/>
      <c r="O72" s="15"/>
      <c r="P72" s="15"/>
      <c r="Q72" s="24"/>
      <c r="R72" s="24"/>
      <c r="S72" s="24"/>
    </row>
    <row r="73" spans="1:19">
      <c r="A73" s="18" t="s">
        <v>454</v>
      </c>
      <c r="B73" s="464"/>
      <c r="C73" s="480"/>
      <c r="D73" s="429"/>
      <c r="E73" s="461"/>
      <c r="F73" s="25" t="s">
        <v>69</v>
      </c>
      <c r="G73" s="19" t="s">
        <v>70</v>
      </c>
      <c r="H73" s="21"/>
      <c r="I73" s="12" t="s">
        <v>71</v>
      </c>
      <c r="J73" s="23" t="s">
        <v>59</v>
      </c>
      <c r="K73" s="293"/>
      <c r="L73" s="19"/>
      <c r="M73" s="293" t="s">
        <v>61</v>
      </c>
      <c r="N73" s="15"/>
      <c r="O73" s="15"/>
      <c r="P73" s="15"/>
      <c r="Q73" s="24"/>
      <c r="R73" s="24"/>
      <c r="S73" s="24"/>
    </row>
    <row r="74" spans="1:19" ht="30">
      <c r="A74" s="18" t="s">
        <v>455</v>
      </c>
      <c r="B74" s="464"/>
      <c r="C74" s="480"/>
      <c r="D74" s="429"/>
      <c r="E74" s="461"/>
      <c r="F74" s="25" t="s">
        <v>73</v>
      </c>
      <c r="G74" s="12" t="s">
        <v>74</v>
      </c>
      <c r="H74" s="21"/>
      <c r="I74" s="12" t="s">
        <v>71</v>
      </c>
      <c r="J74" s="23" t="s">
        <v>59</v>
      </c>
      <c r="K74" s="293"/>
      <c r="L74" s="19"/>
      <c r="M74" s="293" t="s">
        <v>61</v>
      </c>
      <c r="N74" s="15"/>
      <c r="O74" s="15"/>
      <c r="P74" s="15"/>
      <c r="Q74" s="24"/>
      <c r="R74" s="24"/>
      <c r="S74" s="24"/>
    </row>
    <row r="75" spans="1:19" ht="30">
      <c r="A75" s="18" t="s">
        <v>456</v>
      </c>
      <c r="B75" s="464"/>
      <c r="C75" s="480"/>
      <c r="D75" s="429"/>
      <c r="E75" s="461"/>
      <c r="F75" s="20" t="s">
        <v>119</v>
      </c>
      <c r="G75" s="12"/>
      <c r="H75" s="21"/>
      <c r="I75" s="26" t="s">
        <v>120</v>
      </c>
      <c r="J75" s="23" t="s">
        <v>59</v>
      </c>
      <c r="K75" s="293"/>
      <c r="L75" s="19"/>
      <c r="M75" s="293" t="s">
        <v>61</v>
      </c>
      <c r="N75" s="15"/>
      <c r="O75" s="15"/>
      <c r="P75" s="15"/>
      <c r="Q75" s="24"/>
      <c r="R75" s="24"/>
      <c r="S75" s="24"/>
    </row>
    <row r="76" spans="1:19">
      <c r="A76" s="18" t="s">
        <v>457</v>
      </c>
      <c r="B76" s="464"/>
      <c r="C76" s="480"/>
      <c r="D76" s="429"/>
      <c r="E76" s="461"/>
      <c r="F76" s="26" t="s">
        <v>122</v>
      </c>
      <c r="G76" s="12"/>
      <c r="H76" s="21"/>
      <c r="I76" s="26" t="s">
        <v>123</v>
      </c>
      <c r="J76" s="23" t="s">
        <v>59</v>
      </c>
      <c r="K76" s="293"/>
      <c r="L76" s="19"/>
      <c r="M76" s="293" t="s">
        <v>61</v>
      </c>
      <c r="N76" s="15"/>
      <c r="O76" s="15"/>
      <c r="P76" s="15"/>
      <c r="Q76" s="24"/>
      <c r="R76" s="24"/>
      <c r="S76" s="24"/>
    </row>
    <row r="77" spans="1:19">
      <c r="A77" s="18" t="s">
        <v>458</v>
      </c>
      <c r="B77" s="464"/>
      <c r="C77" s="480"/>
      <c r="D77" s="434"/>
      <c r="E77" s="461"/>
      <c r="F77" s="26" t="s">
        <v>125</v>
      </c>
      <c r="G77" s="12"/>
      <c r="H77" s="21"/>
      <c r="I77" s="26" t="s">
        <v>123</v>
      </c>
      <c r="J77" s="23" t="s">
        <v>59</v>
      </c>
      <c r="K77" s="293"/>
      <c r="L77" s="19"/>
      <c r="M77" s="293" t="s">
        <v>61</v>
      </c>
      <c r="N77" s="15"/>
      <c r="O77" s="15"/>
      <c r="P77" s="15"/>
      <c r="Q77" s="24"/>
      <c r="R77" s="24"/>
      <c r="S77" s="24"/>
    </row>
    <row r="78" spans="1:19" ht="75">
      <c r="A78" s="18" t="s">
        <v>459</v>
      </c>
      <c r="B78" s="464"/>
      <c r="C78" s="480"/>
      <c r="D78" s="433" t="s">
        <v>76</v>
      </c>
      <c r="E78" s="461"/>
      <c r="F78" s="29" t="s">
        <v>77</v>
      </c>
      <c r="G78" s="12"/>
      <c r="H78" s="19"/>
      <c r="I78" s="12" t="s">
        <v>78</v>
      </c>
      <c r="J78" s="23" t="s">
        <v>59</v>
      </c>
      <c r="K78" s="293"/>
      <c r="L78" s="19"/>
      <c r="M78" s="293" t="s">
        <v>61</v>
      </c>
      <c r="N78" s="15"/>
      <c r="O78" s="15"/>
      <c r="P78" s="15"/>
      <c r="Q78" s="24"/>
      <c r="R78" s="24"/>
      <c r="S78" s="24"/>
    </row>
    <row r="79" spans="1:19" ht="30">
      <c r="A79" s="18" t="s">
        <v>460</v>
      </c>
      <c r="B79" s="464"/>
      <c r="C79" s="480"/>
      <c r="D79" s="429"/>
      <c r="E79" s="461"/>
      <c r="F79" s="29" t="s">
        <v>80</v>
      </c>
      <c r="G79" s="28"/>
      <c r="H79" s="21"/>
      <c r="I79" s="29" t="s">
        <v>81</v>
      </c>
      <c r="J79" s="23" t="s">
        <v>59</v>
      </c>
      <c r="K79" s="293"/>
      <c r="L79" s="19"/>
      <c r="M79" s="293" t="s">
        <v>61</v>
      </c>
      <c r="N79" s="15"/>
      <c r="O79" s="15"/>
      <c r="P79" s="15"/>
      <c r="Q79" s="24"/>
      <c r="R79" s="24"/>
      <c r="S79" s="24"/>
    </row>
    <row r="80" spans="1:19">
      <c r="A80" s="18" t="s">
        <v>461</v>
      </c>
      <c r="B80" s="464"/>
      <c r="C80" s="480"/>
      <c r="D80" s="429"/>
      <c r="E80" s="461"/>
      <c r="F80" s="29" t="s">
        <v>83</v>
      </c>
      <c r="G80" s="12"/>
      <c r="H80" s="19"/>
      <c r="I80" s="12" t="s">
        <v>84</v>
      </c>
      <c r="J80" s="23" t="s">
        <v>59</v>
      </c>
      <c r="K80" s="293"/>
      <c r="L80" s="19"/>
      <c r="M80" s="293" t="s">
        <v>61</v>
      </c>
      <c r="N80" s="15"/>
      <c r="O80" s="15"/>
      <c r="P80" s="15"/>
      <c r="Q80" s="24"/>
      <c r="R80" s="24"/>
      <c r="S80" s="24"/>
    </row>
    <row r="81" spans="1:19">
      <c r="A81" s="18" t="s">
        <v>462</v>
      </c>
      <c r="B81" s="464"/>
      <c r="C81" s="480"/>
      <c r="D81" s="434"/>
      <c r="E81" s="461"/>
      <c r="F81" s="12" t="s">
        <v>92</v>
      </c>
      <c r="G81" s="12" t="s">
        <v>93</v>
      </c>
      <c r="H81" s="19"/>
      <c r="I81" s="12" t="s">
        <v>94</v>
      </c>
      <c r="J81" s="23" t="s">
        <v>59</v>
      </c>
      <c r="K81" s="293"/>
      <c r="L81" s="19"/>
      <c r="M81" s="293" t="s">
        <v>61</v>
      </c>
      <c r="N81" s="15"/>
      <c r="O81" s="15"/>
      <c r="P81" s="15"/>
      <c r="Q81" s="24"/>
      <c r="R81" s="24"/>
      <c r="S81" s="24"/>
    </row>
    <row r="82" spans="1:19">
      <c r="A82" s="18" t="s">
        <v>463</v>
      </c>
      <c r="B82" s="464"/>
      <c r="C82" s="480"/>
      <c r="D82" s="468" t="s">
        <v>413</v>
      </c>
      <c r="E82" s="461"/>
      <c r="F82" s="12" t="s">
        <v>308</v>
      </c>
      <c r="G82" s="12"/>
      <c r="H82" s="19"/>
      <c r="I82" s="12" t="s">
        <v>309</v>
      </c>
      <c r="J82" s="23" t="s">
        <v>59</v>
      </c>
      <c r="K82" s="293"/>
      <c r="L82" s="19"/>
      <c r="M82" s="293" t="s">
        <v>61</v>
      </c>
      <c r="N82" s="15"/>
      <c r="O82" s="15"/>
      <c r="P82" s="15"/>
      <c r="Q82" s="24"/>
      <c r="R82" s="24"/>
      <c r="S82" s="24"/>
    </row>
    <row r="83" spans="1:19">
      <c r="A83" s="18" t="s">
        <v>464</v>
      </c>
      <c r="B83" s="465"/>
      <c r="C83" s="481"/>
      <c r="D83" s="469"/>
      <c r="E83" s="467"/>
      <c r="F83" s="12" t="s">
        <v>313</v>
      </c>
      <c r="G83" s="12"/>
      <c r="H83" s="19"/>
      <c r="I83" s="12" t="s">
        <v>314</v>
      </c>
      <c r="J83" s="23" t="s">
        <v>59</v>
      </c>
      <c r="K83" s="293"/>
      <c r="L83" s="19"/>
      <c r="M83" s="293" t="s">
        <v>61</v>
      </c>
      <c r="N83" s="15"/>
      <c r="O83" s="15"/>
      <c r="P83" s="15"/>
      <c r="Q83" s="24"/>
      <c r="R83" s="24"/>
      <c r="S83" s="24"/>
    </row>
    <row r="84" spans="1:19">
      <c r="A84" s="427" t="s">
        <v>465</v>
      </c>
      <c r="B84" s="427"/>
      <c r="C84" s="427"/>
      <c r="D84" s="427"/>
      <c r="E84" s="427"/>
      <c r="F84" s="427"/>
      <c r="G84" s="427"/>
      <c r="H84" s="427"/>
      <c r="I84" s="427"/>
      <c r="J84" s="427"/>
      <c r="K84" s="427"/>
      <c r="L84" s="427"/>
      <c r="M84" s="427"/>
      <c r="N84" s="17">
        <f>COUNTIF($J85:J98,"PASS")</f>
        <v>14</v>
      </c>
      <c r="O84" s="17">
        <f>COUNTIF($J85:J98,"FAIL")</f>
        <v>0</v>
      </c>
      <c r="P84" s="17">
        <f>COUNTBLANK(J85:J98)</f>
        <v>0</v>
      </c>
      <c r="Q84" s="17">
        <f>COUNTIF($J85:J98,"IN PROGRESS")</f>
        <v>0</v>
      </c>
      <c r="R84" s="17">
        <f>COUNTIF($J85:J98,"BLOCKED")</f>
        <v>0</v>
      </c>
      <c r="S84" s="24"/>
    </row>
    <row r="85" spans="1:19" ht="75">
      <c r="A85" s="18" t="s">
        <v>466</v>
      </c>
      <c r="B85" s="463" t="s">
        <v>467</v>
      </c>
      <c r="C85" s="442" t="s">
        <v>54</v>
      </c>
      <c r="D85" s="428" t="s">
        <v>55</v>
      </c>
      <c r="E85" s="430" t="s">
        <v>468</v>
      </c>
      <c r="F85" s="20" t="s">
        <v>57</v>
      </c>
      <c r="G85" s="12"/>
      <c r="H85" s="21"/>
      <c r="I85" s="22" t="s">
        <v>58</v>
      </c>
      <c r="J85" s="312" t="s">
        <v>59</v>
      </c>
      <c r="K85" s="296"/>
      <c r="L85" s="18"/>
      <c r="M85" s="293" t="s">
        <v>61</v>
      </c>
      <c r="N85" s="15"/>
      <c r="O85" s="15"/>
      <c r="P85" s="15"/>
      <c r="Q85" s="24"/>
      <c r="R85" s="24"/>
      <c r="S85" s="24"/>
    </row>
    <row r="86" spans="1:19">
      <c r="A86" s="18" t="s">
        <v>469</v>
      </c>
      <c r="B86" s="464"/>
      <c r="C86" s="440"/>
      <c r="D86" s="429"/>
      <c r="E86" s="431"/>
      <c r="F86" s="20" t="s">
        <v>63</v>
      </c>
      <c r="G86" s="19"/>
      <c r="H86" s="21"/>
      <c r="I86" s="22" t="s">
        <v>64</v>
      </c>
      <c r="J86" s="30" t="s">
        <v>59</v>
      </c>
      <c r="K86" s="293"/>
      <c r="L86" s="19"/>
      <c r="M86" s="293" t="s">
        <v>61</v>
      </c>
      <c r="N86" s="15"/>
      <c r="O86" s="15"/>
      <c r="P86" s="15"/>
      <c r="Q86" s="24"/>
      <c r="R86" s="24"/>
      <c r="S86" s="24"/>
    </row>
    <row r="87" spans="1:19" ht="30">
      <c r="A87" s="18" t="s">
        <v>470</v>
      </c>
      <c r="B87" s="464"/>
      <c r="C87" s="440"/>
      <c r="D87" s="429"/>
      <c r="E87" s="431"/>
      <c r="F87" s="20" t="s">
        <v>66</v>
      </c>
      <c r="G87" s="19"/>
      <c r="H87" s="21"/>
      <c r="I87" s="22" t="s">
        <v>67</v>
      </c>
      <c r="J87" s="30" t="s">
        <v>59</v>
      </c>
      <c r="K87" s="293"/>
      <c r="L87" s="19"/>
      <c r="M87" s="293" t="s">
        <v>61</v>
      </c>
      <c r="N87" s="15"/>
      <c r="O87" s="15"/>
      <c r="P87" s="15"/>
      <c r="Q87" s="24"/>
      <c r="R87" s="24"/>
      <c r="S87" s="24"/>
    </row>
    <row r="88" spans="1:19">
      <c r="A88" s="18" t="s">
        <v>471</v>
      </c>
      <c r="B88" s="464"/>
      <c r="C88" s="440"/>
      <c r="D88" s="429"/>
      <c r="E88" s="431"/>
      <c r="F88" s="25" t="s">
        <v>69</v>
      </c>
      <c r="G88" s="19" t="s">
        <v>70</v>
      </c>
      <c r="H88" s="21"/>
      <c r="I88" s="12" t="s">
        <v>71</v>
      </c>
      <c r="J88" s="30" t="s">
        <v>59</v>
      </c>
      <c r="K88" s="293"/>
      <c r="L88" s="19"/>
      <c r="M88" s="293" t="s">
        <v>61</v>
      </c>
      <c r="N88" s="15"/>
      <c r="O88" s="15"/>
      <c r="P88" s="15"/>
      <c r="Q88" s="24"/>
      <c r="R88" s="24"/>
      <c r="S88" s="24"/>
    </row>
    <row r="89" spans="1:19" ht="30">
      <c r="A89" s="18" t="s">
        <v>472</v>
      </c>
      <c r="B89" s="464"/>
      <c r="C89" s="440"/>
      <c r="D89" s="429"/>
      <c r="E89" s="431"/>
      <c r="F89" s="25" t="s">
        <v>73</v>
      </c>
      <c r="G89" s="12" t="s">
        <v>74</v>
      </c>
      <c r="H89" s="21"/>
      <c r="I89" s="12" t="s">
        <v>71</v>
      </c>
      <c r="J89" s="30" t="s">
        <v>59</v>
      </c>
      <c r="K89" s="293"/>
      <c r="L89" s="19"/>
      <c r="M89" s="293" t="s">
        <v>61</v>
      </c>
      <c r="N89" s="15"/>
      <c r="O89" s="15"/>
      <c r="P89" s="15"/>
      <c r="Q89" s="24"/>
      <c r="R89" s="24"/>
      <c r="S89" s="24"/>
    </row>
    <row r="90" spans="1:19" ht="30">
      <c r="A90" s="18" t="s">
        <v>473</v>
      </c>
      <c r="B90" s="464"/>
      <c r="C90" s="440"/>
      <c r="D90" s="429"/>
      <c r="E90" s="431"/>
      <c r="F90" s="20" t="s">
        <v>119</v>
      </c>
      <c r="G90" s="12"/>
      <c r="H90" s="21"/>
      <c r="I90" s="26" t="s">
        <v>120</v>
      </c>
      <c r="J90" s="30" t="s">
        <v>59</v>
      </c>
      <c r="K90" s="293"/>
      <c r="L90" s="19"/>
      <c r="M90" s="293" t="s">
        <v>61</v>
      </c>
      <c r="N90" s="15"/>
      <c r="O90" s="15"/>
      <c r="P90" s="15"/>
      <c r="Q90" s="24"/>
      <c r="R90" s="24"/>
      <c r="S90" s="24"/>
    </row>
    <row r="91" spans="1:19">
      <c r="A91" s="18" t="s">
        <v>474</v>
      </c>
      <c r="B91" s="464"/>
      <c r="C91" s="440"/>
      <c r="D91" s="429"/>
      <c r="E91" s="431"/>
      <c r="F91" s="26" t="s">
        <v>122</v>
      </c>
      <c r="G91" s="12"/>
      <c r="H91" s="21"/>
      <c r="I91" s="26" t="s">
        <v>123</v>
      </c>
      <c r="J91" s="30" t="s">
        <v>59</v>
      </c>
      <c r="K91" s="293"/>
      <c r="L91" s="19"/>
      <c r="M91" s="293" t="s">
        <v>61</v>
      </c>
      <c r="N91" s="15"/>
      <c r="O91" s="15"/>
      <c r="P91" s="15"/>
      <c r="Q91" s="24"/>
      <c r="R91" s="24"/>
      <c r="S91" s="24"/>
    </row>
    <row r="92" spans="1:19">
      <c r="A92" s="18" t="s">
        <v>475</v>
      </c>
      <c r="B92" s="464"/>
      <c r="C92" s="440"/>
      <c r="D92" s="434"/>
      <c r="E92" s="431"/>
      <c r="F92" s="26" t="s">
        <v>125</v>
      </c>
      <c r="G92" s="12"/>
      <c r="H92" s="21"/>
      <c r="I92" s="26" t="s">
        <v>123</v>
      </c>
      <c r="J92" s="30" t="s">
        <v>59</v>
      </c>
      <c r="K92" s="293"/>
      <c r="L92" s="19"/>
      <c r="M92" s="293" t="s">
        <v>61</v>
      </c>
      <c r="N92" s="15"/>
      <c r="O92" s="15"/>
      <c r="P92" s="15"/>
      <c r="Q92" s="24"/>
      <c r="R92" s="24"/>
      <c r="S92" s="24"/>
    </row>
    <row r="93" spans="1:19" ht="75">
      <c r="A93" s="18" t="s">
        <v>476</v>
      </c>
      <c r="B93" s="464"/>
      <c r="C93" s="440"/>
      <c r="D93" s="433" t="s">
        <v>76</v>
      </c>
      <c r="E93" s="431"/>
      <c r="F93" s="29" t="s">
        <v>77</v>
      </c>
      <c r="G93" s="12"/>
      <c r="H93" s="19"/>
      <c r="I93" s="12" t="s">
        <v>78</v>
      </c>
      <c r="J93" s="30" t="s">
        <v>59</v>
      </c>
      <c r="K93" s="376">
        <v>38254</v>
      </c>
      <c r="L93" s="19"/>
      <c r="M93" s="293" t="s">
        <v>61</v>
      </c>
      <c r="N93" s="15"/>
      <c r="O93" s="15"/>
      <c r="P93" s="15"/>
      <c r="Q93" s="24"/>
      <c r="R93" s="24"/>
      <c r="S93" s="24"/>
    </row>
    <row r="94" spans="1:19" ht="30">
      <c r="A94" s="18" t="s">
        <v>477</v>
      </c>
      <c r="B94" s="464"/>
      <c r="C94" s="440"/>
      <c r="D94" s="429"/>
      <c r="E94" s="431"/>
      <c r="F94" s="29" t="s">
        <v>80</v>
      </c>
      <c r="G94" s="28"/>
      <c r="H94" s="21"/>
      <c r="I94" s="29" t="s">
        <v>81</v>
      </c>
      <c r="J94" s="30" t="s">
        <v>59</v>
      </c>
      <c r="K94" s="293"/>
      <c r="L94" s="19"/>
      <c r="M94" s="293" t="s">
        <v>61</v>
      </c>
      <c r="N94" s="15"/>
      <c r="O94" s="15"/>
      <c r="P94" s="15"/>
      <c r="Q94" s="24"/>
      <c r="R94" s="24"/>
      <c r="S94" s="24"/>
    </row>
    <row r="95" spans="1:19">
      <c r="A95" s="18" t="s">
        <v>478</v>
      </c>
      <c r="B95" s="464"/>
      <c r="C95" s="440"/>
      <c r="D95" s="429"/>
      <c r="E95" s="431"/>
      <c r="F95" s="29" t="s">
        <v>83</v>
      </c>
      <c r="G95" s="12"/>
      <c r="H95" s="19"/>
      <c r="I95" s="12" t="s">
        <v>84</v>
      </c>
      <c r="J95" s="30" t="s">
        <v>59</v>
      </c>
      <c r="K95" s="293"/>
      <c r="L95" s="19"/>
      <c r="M95" s="293" t="s">
        <v>61</v>
      </c>
      <c r="N95" s="15"/>
      <c r="O95" s="15"/>
      <c r="P95" s="15"/>
      <c r="Q95" s="24"/>
      <c r="R95" s="24"/>
      <c r="S95" s="24"/>
    </row>
    <row r="96" spans="1:19">
      <c r="A96" s="18" t="s">
        <v>479</v>
      </c>
      <c r="B96" s="464"/>
      <c r="C96" s="441"/>
      <c r="D96" s="434"/>
      <c r="E96" s="432"/>
      <c r="F96" s="12" t="s">
        <v>92</v>
      </c>
      <c r="G96" s="12" t="s">
        <v>93</v>
      </c>
      <c r="H96" s="19"/>
      <c r="I96" s="12" t="s">
        <v>94</v>
      </c>
      <c r="J96" s="30" t="s">
        <v>59</v>
      </c>
      <c r="K96" s="293"/>
      <c r="L96" s="19"/>
      <c r="M96" s="293" t="s">
        <v>61</v>
      </c>
      <c r="N96" s="15"/>
      <c r="O96" s="15"/>
      <c r="P96" s="15"/>
      <c r="Q96" s="24"/>
      <c r="R96" s="24"/>
      <c r="S96" s="24"/>
    </row>
    <row r="97" spans="1:19">
      <c r="A97" s="18" t="s">
        <v>480</v>
      </c>
      <c r="B97" s="464"/>
      <c r="C97" s="279"/>
      <c r="D97" s="468" t="s">
        <v>413</v>
      </c>
      <c r="E97" s="291"/>
      <c r="F97" s="12" t="s">
        <v>308</v>
      </c>
      <c r="G97" s="12"/>
      <c r="H97" s="19"/>
      <c r="I97" s="12" t="s">
        <v>309</v>
      </c>
      <c r="J97" s="30" t="s">
        <v>59</v>
      </c>
      <c r="K97" s="293"/>
      <c r="L97" s="19"/>
      <c r="M97" s="293" t="s">
        <v>61</v>
      </c>
      <c r="N97" s="15"/>
      <c r="O97" s="15"/>
      <c r="P97" s="15"/>
      <c r="Q97" s="24"/>
      <c r="R97" s="24"/>
      <c r="S97" s="24"/>
    </row>
    <row r="98" spans="1:19">
      <c r="A98" s="18" t="s">
        <v>481</v>
      </c>
      <c r="B98" s="465"/>
      <c r="C98" s="290"/>
      <c r="D98" s="469"/>
      <c r="E98" s="292"/>
      <c r="F98" s="12" t="s">
        <v>313</v>
      </c>
      <c r="G98" s="12"/>
      <c r="H98" s="19"/>
      <c r="I98" s="12" t="s">
        <v>314</v>
      </c>
      <c r="J98" s="30" t="s">
        <v>59</v>
      </c>
      <c r="K98" s="293"/>
      <c r="L98" s="19"/>
      <c r="M98" s="293" t="s">
        <v>61</v>
      </c>
      <c r="N98" s="15"/>
      <c r="O98" s="15"/>
      <c r="P98" s="15"/>
      <c r="Q98" s="24"/>
      <c r="R98" s="24"/>
      <c r="S98" s="24"/>
    </row>
    <row r="99" spans="1:19">
      <c r="A99" s="448" t="s">
        <v>482</v>
      </c>
      <c r="B99" s="448"/>
      <c r="C99" s="448"/>
      <c r="D99" s="448"/>
      <c r="E99" s="448"/>
      <c r="F99" s="448"/>
      <c r="G99" s="448"/>
      <c r="H99" s="448"/>
      <c r="I99" s="448"/>
      <c r="J99" s="448"/>
      <c r="K99" s="448"/>
      <c r="L99" s="448"/>
      <c r="M99" s="448"/>
      <c r="N99" s="313">
        <f>COUNTIF($J100:J105,"PASS")</f>
        <v>5</v>
      </c>
      <c r="O99" s="313">
        <f>COUNTIF($J100:J105,"FAIL")</f>
        <v>0</v>
      </c>
      <c r="P99" s="313">
        <f>COUNTBLANK(J100:J105)</f>
        <v>0</v>
      </c>
      <c r="Q99" s="313">
        <f>COUNTIF($J100:J105,"IN PROGRESS")</f>
        <v>0</v>
      </c>
      <c r="R99" s="313">
        <f>COUNTIF($J100:J105,"BLOCKED")</f>
        <v>1</v>
      </c>
    </row>
    <row r="100" spans="1:19" ht="111.75" customHeight="1">
      <c r="A100" s="18" t="s">
        <v>483</v>
      </c>
      <c r="B100" s="476" t="s">
        <v>484</v>
      </c>
      <c r="C100" s="450" t="s">
        <v>54</v>
      </c>
      <c r="D100" s="173" t="s">
        <v>485</v>
      </c>
      <c r="E100" s="348" t="s">
        <v>486</v>
      </c>
      <c r="F100" s="173" t="s">
        <v>487</v>
      </c>
      <c r="G100" s="122"/>
      <c r="H100" s="122"/>
      <c r="I100" s="475" t="s">
        <v>488</v>
      </c>
      <c r="J100" s="312" t="s">
        <v>59</v>
      </c>
      <c r="K100" s="184" t="s">
        <v>489</v>
      </c>
      <c r="L100" s="122"/>
      <c r="M100" s="176" t="s">
        <v>291</v>
      </c>
    </row>
    <row r="101" spans="1:19" ht="94.5" customHeight="1">
      <c r="A101" s="18" t="s">
        <v>490</v>
      </c>
      <c r="B101" s="476"/>
      <c r="C101" s="477"/>
      <c r="D101" s="173" t="s">
        <v>491</v>
      </c>
      <c r="E101" s="88" t="s">
        <v>492</v>
      </c>
      <c r="F101" s="173" t="s">
        <v>493</v>
      </c>
      <c r="G101" s="122"/>
      <c r="H101" s="122"/>
      <c r="I101" s="475"/>
      <c r="J101" s="312" t="s">
        <v>59</v>
      </c>
      <c r="K101" s="184" t="s">
        <v>489</v>
      </c>
      <c r="L101" s="122"/>
      <c r="M101" s="176" t="s">
        <v>291</v>
      </c>
    </row>
    <row r="102" spans="1:19" ht="113.25" customHeight="1">
      <c r="A102" s="18" t="s">
        <v>494</v>
      </c>
      <c r="B102" s="476"/>
      <c r="C102" s="477"/>
      <c r="D102" s="173" t="s">
        <v>495</v>
      </c>
      <c r="E102" s="88" t="s">
        <v>496</v>
      </c>
      <c r="F102" s="173" t="s">
        <v>497</v>
      </c>
      <c r="G102" s="122"/>
      <c r="H102" s="122"/>
      <c r="I102" s="475"/>
      <c r="J102" s="312" t="s">
        <v>59</v>
      </c>
      <c r="K102" s="184" t="s">
        <v>489</v>
      </c>
      <c r="L102" s="122"/>
      <c r="M102" s="176" t="s">
        <v>291</v>
      </c>
    </row>
    <row r="103" spans="1:19" ht="81" customHeight="1">
      <c r="A103" s="18" t="s">
        <v>498</v>
      </c>
      <c r="B103" s="476"/>
      <c r="C103" s="477"/>
      <c r="D103" s="173" t="s">
        <v>499</v>
      </c>
      <c r="E103" s="88" t="s">
        <v>500</v>
      </c>
      <c r="F103" s="173" t="s">
        <v>501</v>
      </c>
      <c r="G103" s="122"/>
      <c r="H103" s="122"/>
      <c r="I103" s="475"/>
      <c r="J103" s="312" t="s">
        <v>310</v>
      </c>
      <c r="K103" s="176" t="s">
        <v>502</v>
      </c>
      <c r="L103" s="122"/>
      <c r="M103" s="176" t="s">
        <v>291</v>
      </c>
    </row>
    <row r="104" spans="1:19" ht="93.75" customHeight="1">
      <c r="A104" s="18" t="s">
        <v>503</v>
      </c>
      <c r="B104" s="476"/>
      <c r="C104" s="477"/>
      <c r="D104" s="173" t="s">
        <v>504</v>
      </c>
      <c r="E104" s="88" t="s">
        <v>505</v>
      </c>
      <c r="F104" s="173" t="s">
        <v>506</v>
      </c>
      <c r="G104" s="122"/>
      <c r="H104" s="122"/>
      <c r="I104" s="475"/>
      <c r="J104" s="349" t="s">
        <v>59</v>
      </c>
      <c r="K104" s="375"/>
      <c r="L104" s="88"/>
      <c r="M104" s="176" t="s">
        <v>291</v>
      </c>
    </row>
    <row r="105" spans="1:19" ht="175.5" customHeight="1">
      <c r="A105" s="18" t="s">
        <v>507</v>
      </c>
      <c r="B105" s="476"/>
      <c r="C105" s="478"/>
      <c r="D105" s="173" t="s">
        <v>508</v>
      </c>
      <c r="E105" s="88" t="s">
        <v>509</v>
      </c>
      <c r="F105" s="173" t="s">
        <v>510</v>
      </c>
      <c r="G105" s="122"/>
      <c r="H105" s="122"/>
      <c r="I105" s="475"/>
      <c r="J105" s="312" t="s">
        <v>59</v>
      </c>
      <c r="K105" s="184" t="s">
        <v>489</v>
      </c>
      <c r="L105" s="122"/>
      <c r="M105" s="176" t="s">
        <v>291</v>
      </c>
    </row>
    <row r="106" spans="1:19">
      <c r="A106" s="448" t="s">
        <v>511</v>
      </c>
      <c r="B106" s="448"/>
      <c r="C106" s="448"/>
      <c r="D106" s="448"/>
      <c r="E106" s="448"/>
      <c r="F106" s="448"/>
      <c r="G106" s="448"/>
      <c r="H106" s="448"/>
      <c r="I106" s="448"/>
      <c r="J106" s="448"/>
      <c r="K106" s="448"/>
      <c r="L106" s="448"/>
      <c r="M106" s="448"/>
      <c r="N106" s="313">
        <f>COUNTIF($J107:J107,"PASS")</f>
        <v>1</v>
      </c>
      <c r="O106" s="313">
        <f>COUNTIF($J107:J107,"FAIL")</f>
        <v>0</v>
      </c>
      <c r="P106" s="313">
        <f>COUNTBLANK(J107:J107)</f>
        <v>0</v>
      </c>
      <c r="Q106" s="313">
        <f>COUNTIF($J107:J107,"IN PROGRESS")</f>
        <v>0</v>
      </c>
      <c r="R106" s="313">
        <f>COUNTIF($J107:J107,"BLOCKED")</f>
        <v>0</v>
      </c>
    </row>
    <row r="107" spans="1:19" ht="135">
      <c r="A107" s="18" t="s">
        <v>512</v>
      </c>
      <c r="B107" s="314" t="s">
        <v>513</v>
      </c>
      <c r="C107" s="249" t="s">
        <v>54</v>
      </c>
      <c r="D107" s="173" t="s">
        <v>514</v>
      </c>
      <c r="E107" s="315" t="s">
        <v>515</v>
      </c>
      <c r="F107" s="173" t="s">
        <v>516</v>
      </c>
      <c r="G107" s="122"/>
      <c r="H107" s="122"/>
      <c r="I107" s="173" t="s">
        <v>517</v>
      </c>
      <c r="J107" s="312" t="s">
        <v>59</v>
      </c>
      <c r="K107" s="176" t="s">
        <v>518</v>
      </c>
      <c r="L107" s="122"/>
      <c r="M107" s="176" t="s">
        <v>291</v>
      </c>
    </row>
    <row r="108" spans="1:19">
      <c r="A108" s="448" t="s">
        <v>519</v>
      </c>
      <c r="B108" s="448"/>
      <c r="C108" s="448"/>
      <c r="D108" s="448"/>
      <c r="E108" s="448"/>
      <c r="F108" s="448"/>
      <c r="G108" s="448"/>
      <c r="H108" s="448"/>
      <c r="I108" s="448"/>
      <c r="J108" s="448"/>
      <c r="K108" s="448"/>
      <c r="L108" s="448"/>
      <c r="M108" s="448"/>
      <c r="N108" s="313">
        <f>COUNTIF($J109:J109,"PASS")</f>
        <v>0</v>
      </c>
      <c r="O108" s="313">
        <f>COUNTIF($J109:J109,"FAIL")</f>
        <v>0</v>
      </c>
      <c r="P108" s="313">
        <f>COUNTBLANK(J109:J109)</f>
        <v>0</v>
      </c>
      <c r="Q108" s="313">
        <f>COUNTIF($J109:J109,"IN PROGRESS")</f>
        <v>0</v>
      </c>
      <c r="R108" s="313">
        <f>COUNTIF($J109:J109,"BLOCKED")</f>
        <v>1</v>
      </c>
    </row>
    <row r="109" spans="1:19" ht="45">
      <c r="A109" s="89" t="s">
        <v>520</v>
      </c>
      <c r="B109" s="184" t="s">
        <v>521</v>
      </c>
      <c r="C109" s="176" t="s">
        <v>54</v>
      </c>
      <c r="D109" s="173" t="s">
        <v>522</v>
      </c>
      <c r="E109" s="315" t="s">
        <v>523</v>
      </c>
      <c r="F109" s="173" t="s">
        <v>524</v>
      </c>
      <c r="G109" s="122"/>
      <c r="H109" s="122"/>
      <c r="I109" s="173" t="s">
        <v>488</v>
      </c>
      <c r="J109" s="156" t="s">
        <v>310</v>
      </c>
      <c r="K109" s="176" t="s">
        <v>525</v>
      </c>
      <c r="L109" s="122"/>
      <c r="M109" s="176" t="s">
        <v>291</v>
      </c>
    </row>
    <row r="110" spans="1:19">
      <c r="A110" s="474" t="s">
        <v>526</v>
      </c>
      <c r="B110" s="474"/>
      <c r="C110" s="474"/>
      <c r="D110" s="474"/>
      <c r="E110" s="474"/>
      <c r="F110" s="474"/>
      <c r="G110" s="474"/>
      <c r="H110" s="474"/>
      <c r="I110" s="474"/>
      <c r="J110" s="474"/>
      <c r="K110" s="474"/>
      <c r="L110" s="474"/>
      <c r="M110" s="474"/>
      <c r="N110" s="313">
        <f>COUNTIF($J111:J111,"PASS")</f>
        <v>1</v>
      </c>
      <c r="O110" s="313">
        <f>COUNTIF($J111:J111,"FAIL")</f>
        <v>0</v>
      </c>
      <c r="P110" s="313">
        <f>COUNTBLANK(J111:J111)</f>
        <v>0</v>
      </c>
      <c r="Q110" s="313">
        <f>COUNTIF($J111:J111,"IN PROGRESS")</f>
        <v>0</v>
      </c>
      <c r="R110" s="313">
        <f>COUNTIF($J111:J111,"BLOCKED")</f>
        <v>0</v>
      </c>
    </row>
    <row r="111" spans="1:19" ht="30">
      <c r="A111" s="89" t="s">
        <v>527</v>
      </c>
      <c r="B111" s="184" t="s">
        <v>528</v>
      </c>
      <c r="C111" s="176" t="s">
        <v>54</v>
      </c>
      <c r="D111" s="173" t="s">
        <v>529</v>
      </c>
      <c r="E111" s="315"/>
      <c r="F111" s="173" t="s">
        <v>530</v>
      </c>
      <c r="G111" s="122"/>
      <c r="H111" s="122"/>
      <c r="I111" s="173" t="s">
        <v>531</v>
      </c>
      <c r="J111" s="312" t="s">
        <v>59</v>
      </c>
      <c r="K111" s="375"/>
      <c r="L111" s="122"/>
      <c r="M111" s="122"/>
    </row>
  </sheetData>
  <mergeCells count="48">
    <mergeCell ref="A54:M54"/>
    <mergeCell ref="C55:C66"/>
    <mergeCell ref="A110:M110"/>
    <mergeCell ref="D38:D39"/>
    <mergeCell ref="I100:I105"/>
    <mergeCell ref="B100:B105"/>
    <mergeCell ref="C100:C105"/>
    <mergeCell ref="C70:C83"/>
    <mergeCell ref="D82:D83"/>
    <mergeCell ref="E70:E83"/>
    <mergeCell ref="D97:D98"/>
    <mergeCell ref="A99:M99"/>
    <mergeCell ref="B22:B39"/>
    <mergeCell ref="C22:C39"/>
    <mergeCell ref="D22:D29"/>
    <mergeCell ref="E22:E39"/>
    <mergeCell ref="D30:D35"/>
    <mergeCell ref="B41:B53"/>
    <mergeCell ref="A21:M21"/>
    <mergeCell ref="A2:M2"/>
    <mergeCell ref="D3:D10"/>
    <mergeCell ref="E3:E20"/>
    <mergeCell ref="B3:B20"/>
    <mergeCell ref="C3:C20"/>
    <mergeCell ref="D11:D16"/>
    <mergeCell ref="A40:M40"/>
    <mergeCell ref="D41:D47"/>
    <mergeCell ref="E41:E53"/>
    <mergeCell ref="C41:C53"/>
    <mergeCell ref="D48:D51"/>
    <mergeCell ref="D52:D53"/>
    <mergeCell ref="D55:D62"/>
    <mergeCell ref="D63:D66"/>
    <mergeCell ref="E55:E68"/>
    <mergeCell ref="D67:D68"/>
    <mergeCell ref="A69:M69"/>
    <mergeCell ref="B55:B68"/>
    <mergeCell ref="D70:D77"/>
    <mergeCell ref="D78:D81"/>
    <mergeCell ref="B70:B83"/>
    <mergeCell ref="A84:M84"/>
    <mergeCell ref="A106:M106"/>
    <mergeCell ref="A108:M108"/>
    <mergeCell ref="C85:C96"/>
    <mergeCell ref="D85:D92"/>
    <mergeCell ref="E85:E96"/>
    <mergeCell ref="D93:D96"/>
    <mergeCell ref="B85:B98"/>
  </mergeCells>
  <conditionalFormatting sqref="J1:J2">
    <cfRule type="containsText" dxfId="141" priority="320" operator="containsText" text="PASS">
      <formula>NOT(ISERROR(SEARCH("PASS",J1)))</formula>
    </cfRule>
    <cfRule type="containsText" dxfId="140" priority="319" operator="containsText" text="FAIL">
      <formula>NOT(ISERROR(SEARCH("FAIL",J1)))</formula>
    </cfRule>
  </conditionalFormatting>
  <conditionalFormatting sqref="J3:J20">
    <cfRule type="containsText" dxfId="139" priority="8" stopIfTrue="1" operator="containsText" text="FAIL">
      <formula>NOT(ISERROR(SEARCH("FAIL",J3)))</formula>
    </cfRule>
    <cfRule type="containsText" dxfId="138" priority="5" operator="containsText" text="BLOCKED">
      <formula>NOT(ISERROR(SEARCH("BLOCKED",J3)))</formula>
    </cfRule>
    <cfRule type="containsText" dxfId="137" priority="6" stopIfTrue="1" operator="containsText" text="IN PROGRESS">
      <formula>NOT(ISERROR(SEARCH("IN PROGRESS",J3)))</formula>
    </cfRule>
    <cfRule type="containsText" dxfId="136" priority="7" stopIfTrue="1" operator="containsText" text="PASS">
      <formula>NOT(ISERROR(SEARCH("PASS",J3)))</formula>
    </cfRule>
  </conditionalFormatting>
  <conditionalFormatting sqref="J21">
    <cfRule type="containsText" dxfId="135" priority="132" operator="containsText" text="PASS">
      <formula>NOT(ISERROR(SEARCH("PASS",J21)))</formula>
    </cfRule>
    <cfRule type="containsText" dxfId="134" priority="131" operator="containsText" text="FAIL">
      <formula>NOT(ISERROR(SEARCH("FAIL",J21)))</formula>
    </cfRule>
  </conditionalFormatting>
  <conditionalFormatting sqref="J22:J39">
    <cfRule type="containsText" dxfId="133" priority="9" operator="containsText" text="BLOCKED">
      <formula>NOT(ISERROR(SEARCH("BLOCKED",J22)))</formula>
    </cfRule>
    <cfRule type="containsText" dxfId="132" priority="10" stopIfTrue="1" operator="containsText" text="IN PROGRESS">
      <formula>NOT(ISERROR(SEARCH("IN PROGRESS",J22)))</formula>
    </cfRule>
    <cfRule type="containsText" dxfId="131" priority="11" stopIfTrue="1" operator="containsText" text="PASS">
      <formula>NOT(ISERROR(SEARCH("PASS",J22)))</formula>
    </cfRule>
    <cfRule type="containsText" dxfId="130" priority="12" stopIfTrue="1" operator="containsText" text="FAIL">
      <formula>NOT(ISERROR(SEARCH("FAIL",J22)))</formula>
    </cfRule>
  </conditionalFormatting>
  <conditionalFormatting sqref="J40">
    <cfRule type="containsText" dxfId="129" priority="314" operator="containsText" text="PASS">
      <formula>NOT(ISERROR(SEARCH("PASS",J40)))</formula>
    </cfRule>
    <cfRule type="containsText" dxfId="128" priority="313" operator="containsText" text="FAIL">
      <formula>NOT(ISERROR(SEARCH("FAIL",J40)))</formula>
    </cfRule>
  </conditionalFormatting>
  <conditionalFormatting sqref="J41:J53">
    <cfRule type="containsText" dxfId="127" priority="67" stopIfTrue="1" operator="containsText" text="PASS">
      <formula>NOT(ISERROR(SEARCH("PASS",J41)))</formula>
    </cfRule>
    <cfRule type="containsText" dxfId="126" priority="65" operator="containsText" text="BLOCKED">
      <formula>NOT(ISERROR(SEARCH("BLOCKED",J41)))</formula>
    </cfRule>
    <cfRule type="containsText" dxfId="125" priority="66" stopIfTrue="1" operator="containsText" text="IN PROGRESS">
      <formula>NOT(ISERROR(SEARCH("IN PROGRESS",J41)))</formula>
    </cfRule>
    <cfRule type="containsText" dxfId="124" priority="68" stopIfTrue="1" operator="containsText" text="FAIL">
      <formula>NOT(ISERROR(SEARCH("FAIL",J41)))</formula>
    </cfRule>
  </conditionalFormatting>
  <conditionalFormatting sqref="J54">
    <cfRule type="containsText" dxfId="123" priority="307" operator="containsText" text="FAIL">
      <formula>NOT(ISERROR(SEARCH("FAIL",J54)))</formula>
    </cfRule>
    <cfRule type="containsText" dxfId="122" priority="308" operator="containsText" text="PASS">
      <formula>NOT(ISERROR(SEARCH("PASS",J54)))</formula>
    </cfRule>
  </conditionalFormatting>
  <conditionalFormatting sqref="J55:J68">
    <cfRule type="containsText" dxfId="121" priority="93" operator="containsText" text="BLOCKED">
      <formula>NOT(ISERROR(SEARCH("BLOCKED",J55)))</formula>
    </cfRule>
    <cfRule type="containsText" dxfId="120" priority="94" stopIfTrue="1" operator="containsText" text="IN PROGRESS">
      <formula>NOT(ISERROR(SEARCH("IN PROGRESS",J55)))</formula>
    </cfRule>
    <cfRule type="containsText" dxfId="119" priority="95" stopIfTrue="1" operator="containsText" text="PASS">
      <formula>NOT(ISERROR(SEARCH("PASS",J55)))</formula>
    </cfRule>
    <cfRule type="containsText" dxfId="118" priority="96" stopIfTrue="1" operator="containsText" text="FAIL">
      <formula>NOT(ISERROR(SEARCH("FAIL",J55)))</formula>
    </cfRule>
  </conditionalFormatting>
  <conditionalFormatting sqref="J69">
    <cfRule type="containsText" dxfId="117" priority="301" operator="containsText" text="FAIL">
      <formula>NOT(ISERROR(SEARCH("FAIL",J69)))</formula>
    </cfRule>
    <cfRule type="containsText" dxfId="116" priority="302" operator="containsText" text="PASS">
      <formula>NOT(ISERROR(SEARCH("PASS",J69)))</formula>
    </cfRule>
  </conditionalFormatting>
  <conditionalFormatting sqref="J70:J83">
    <cfRule type="containsText" dxfId="115" priority="92" stopIfTrue="1" operator="containsText" text="FAIL">
      <formula>NOT(ISERROR(SEARCH("FAIL",J70)))</formula>
    </cfRule>
    <cfRule type="containsText" dxfId="114" priority="91" stopIfTrue="1" operator="containsText" text="PASS">
      <formula>NOT(ISERROR(SEARCH("PASS",J70)))</formula>
    </cfRule>
    <cfRule type="containsText" dxfId="113" priority="90" stopIfTrue="1" operator="containsText" text="IN PROGRESS">
      <formula>NOT(ISERROR(SEARCH("IN PROGRESS",J70)))</formula>
    </cfRule>
    <cfRule type="containsText" dxfId="112" priority="89" operator="containsText" text="BLOCKED">
      <formula>NOT(ISERROR(SEARCH("BLOCKED",J70)))</formula>
    </cfRule>
  </conditionalFormatting>
  <conditionalFormatting sqref="J84">
    <cfRule type="containsText" dxfId="111" priority="295" operator="containsText" text="FAIL">
      <formula>NOT(ISERROR(SEARCH("FAIL",J84)))</formula>
    </cfRule>
    <cfRule type="containsText" dxfId="110" priority="296" operator="containsText" text="PASS">
      <formula>NOT(ISERROR(SEARCH("PASS",J84)))</formula>
    </cfRule>
  </conditionalFormatting>
  <conditionalFormatting sqref="J85:J98">
    <cfRule type="containsText" dxfId="109" priority="143" operator="containsText" text="BLOCKED">
      <formula>NOT(ISERROR(SEARCH("BLOCKED",J85)))</formula>
    </cfRule>
    <cfRule type="containsText" dxfId="108" priority="144" stopIfTrue="1" operator="containsText" text="IN PROGRESS">
      <formula>NOT(ISERROR(SEARCH("IN PROGRESS",J85)))</formula>
    </cfRule>
    <cfRule type="containsText" dxfId="107" priority="145" stopIfTrue="1" operator="containsText" text="PASS">
      <formula>NOT(ISERROR(SEARCH("PASS",J85)))</formula>
    </cfRule>
    <cfRule type="containsText" dxfId="106" priority="146" stopIfTrue="1" operator="containsText" text="FAIL">
      <formula>NOT(ISERROR(SEARCH("FAIL",J85)))</formula>
    </cfRule>
  </conditionalFormatting>
  <conditionalFormatting sqref="J99">
    <cfRule type="containsText" dxfId="105" priority="137" operator="containsText" text="FAIL">
      <formula>NOT(ISERROR(SEARCH("FAIL",J99)))</formula>
    </cfRule>
    <cfRule type="containsText" dxfId="104" priority="138" operator="containsText" text="PASS">
      <formula>NOT(ISERROR(SEARCH("PASS",J99)))</formula>
    </cfRule>
  </conditionalFormatting>
  <conditionalFormatting sqref="J100:J105 J107">
    <cfRule type="containsText" dxfId="103" priority="127" operator="containsText" text="BLOCKED">
      <formula>NOT(ISERROR(SEARCH("BLOCKED",J100)))</formula>
    </cfRule>
    <cfRule type="containsText" dxfId="102" priority="129" stopIfTrue="1" operator="containsText" text="PASS">
      <formula>NOT(ISERROR(SEARCH("PASS",J100)))</formula>
    </cfRule>
    <cfRule type="containsText" dxfId="101" priority="130" stopIfTrue="1" operator="containsText" text="FAIL">
      <formula>NOT(ISERROR(SEARCH("FAIL",J100)))</formula>
    </cfRule>
    <cfRule type="containsText" dxfId="100" priority="128" stopIfTrue="1" operator="containsText" text="IN PROGRESS">
      <formula>NOT(ISERROR(SEARCH("IN PROGRESS",J100)))</formula>
    </cfRule>
  </conditionalFormatting>
  <conditionalFormatting sqref="J106">
    <cfRule type="containsText" dxfId="99" priority="125" operator="containsText" text="FAIL">
      <formula>NOT(ISERROR(SEARCH("FAIL",J106)))</formula>
    </cfRule>
    <cfRule type="containsText" dxfId="98" priority="126" operator="containsText" text="PASS">
      <formula>NOT(ISERROR(SEARCH("PASS",J106)))</formula>
    </cfRule>
  </conditionalFormatting>
  <conditionalFormatting sqref="J108">
    <cfRule type="containsText" dxfId="97" priority="120" operator="containsText" text="PASS">
      <formula>NOT(ISERROR(SEARCH("PASS",J108)))</formula>
    </cfRule>
    <cfRule type="containsText" dxfId="96" priority="119" operator="containsText" text="FAIL">
      <formula>NOT(ISERROR(SEARCH("FAIL",J108)))</formula>
    </cfRule>
  </conditionalFormatting>
  <conditionalFormatting sqref="J109">
    <cfRule type="containsText" dxfId="95" priority="123" stopIfTrue="1" operator="containsText" text="PASS">
      <formula>NOT(ISERROR(SEARCH("PASS",J109)))</formula>
    </cfRule>
    <cfRule type="containsText" dxfId="94" priority="124" stopIfTrue="1" operator="containsText" text="FAIL">
      <formula>NOT(ISERROR(SEARCH("FAIL",J109)))</formula>
    </cfRule>
    <cfRule type="containsText" dxfId="93" priority="121" operator="containsText" text="BLOCKED">
      <formula>NOT(ISERROR(SEARCH("BLOCKED",J109)))</formula>
    </cfRule>
    <cfRule type="containsText" dxfId="92" priority="122" stopIfTrue="1" operator="containsText" text="IN PROGRESS">
      <formula>NOT(ISERROR(SEARCH("IN PROGRESS",J109)))</formula>
    </cfRule>
  </conditionalFormatting>
  <conditionalFormatting sqref="J110">
    <cfRule type="containsText" dxfId="91" priority="114" operator="containsText" text="PASS">
      <formula>NOT(ISERROR(SEARCH("PASS",J110)))</formula>
    </cfRule>
    <cfRule type="containsText" dxfId="90" priority="113" operator="containsText" text="FAIL">
      <formula>NOT(ISERROR(SEARCH("FAIL",J110)))</formula>
    </cfRule>
  </conditionalFormatting>
  <conditionalFormatting sqref="J111">
    <cfRule type="containsText" dxfId="89" priority="2" stopIfTrue="1" operator="containsText" text="IN PROGRESS">
      <formula>NOT(ISERROR(SEARCH("IN PROGRESS",J111)))</formula>
    </cfRule>
    <cfRule type="containsText" dxfId="88" priority="3" stopIfTrue="1" operator="containsText" text="PASS">
      <formula>NOT(ISERROR(SEARCH("PASS",J111)))</formula>
    </cfRule>
    <cfRule type="containsText" dxfId="87" priority="4" stopIfTrue="1" operator="containsText" text="FAIL">
      <formula>NOT(ISERROR(SEARCH("FAIL",J111)))</formula>
    </cfRule>
    <cfRule type="containsText" dxfId="86" priority="1" operator="containsText" text="BLOCKED">
      <formula>NOT(ISERROR(SEARCH("BLOCKED",J111)))</formula>
    </cfRule>
  </conditionalFormatting>
  <dataValidations count="1">
    <dataValidation type="list" allowBlank="1" showInputMessage="1" showErrorMessage="1" sqref="J100:J105 J3:J20 J22:J39 J55:J68 J85:J98 J70:J83 J107 J109 J111 J41:J53" xr:uid="{4AB699BA-D29D-487C-B580-17E76CE87800}">
      <formula1>"PASS, FAIL, IN PROGRESS, BLOCKED,"</formula1>
    </dataValidation>
  </dataValidations>
  <hyperlinks>
    <hyperlink ref="H3" r:id="rId1" xr:uid="{54063A98-AE23-40D5-83CB-503BC38AABAB}"/>
    <hyperlink ref="K70" r:id="rId2" xr:uid="{7E460B41-9485-4B62-9840-3E217F12E477}"/>
    <hyperlink ref="K72" r:id="rId3" xr:uid="{7255172F-F5F4-460D-966B-A726B3CEB46C}"/>
    <hyperlink ref="K41" r:id="rId4" display="38207" xr:uid="{01FB889D-8459-4A46-A38A-B3E9FCAFD585}"/>
    <hyperlink ref="K42" r:id="rId5" display="38207" xr:uid="{AACB0728-886A-4F60-9FBE-2667D1E66379}"/>
    <hyperlink ref="K43" r:id="rId6" display="38207" xr:uid="{7C62C31E-01CC-40BA-AC60-DFB550DB0F38}"/>
    <hyperlink ref="K52" r:id="rId7" display="38207" xr:uid="{6C7BD5E2-997C-4FC1-8E6D-ED3A5AC3867C}"/>
    <hyperlink ref="K53" r:id="rId8" display="38207" xr:uid="{6F27F338-ADC3-4881-B947-92F7F7326E66}"/>
    <hyperlink ref="K93" r:id="rId9" display="38254" xr:uid="{6D378965-B832-43B2-AEF9-01D59B33974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C8AF1-D8AA-46DD-9E31-1D1049D85CBD}">
  <dimension ref="A1:R16"/>
  <sheetViews>
    <sheetView workbookViewId="0">
      <pane ySplit="1" topLeftCell="A2" activePane="bottomLeft" state="frozen"/>
      <selection pane="bottomLeft" activeCell="N1" sqref="N1"/>
    </sheetView>
  </sheetViews>
  <sheetFormatPr defaultColWidth="9.140625" defaultRowHeight="15"/>
  <cols>
    <col min="1" max="1" width="22.42578125" style="3" customWidth="1"/>
    <col min="2" max="2" width="12" style="3" customWidth="1"/>
    <col min="3" max="3" width="11.85546875" style="3" customWidth="1"/>
    <col min="4" max="4" width="36.28515625" style="3" customWidth="1"/>
    <col min="5" max="5" width="40.7109375" style="3" customWidth="1"/>
    <col min="6" max="6" width="40" style="3" customWidth="1"/>
    <col min="7" max="7" width="46.42578125" style="3" customWidth="1"/>
    <col min="8" max="8" width="18.28515625" style="3" customWidth="1"/>
    <col min="9" max="9" width="49.42578125" style="3" customWidth="1"/>
    <col min="10" max="10" width="13.28515625" style="3" bestFit="1" customWidth="1"/>
    <col min="11" max="11" width="12.42578125" style="3" customWidth="1"/>
    <col min="12" max="12" width="25" style="3" customWidth="1"/>
    <col min="13" max="13" width="12.42578125" style="3" customWidth="1"/>
    <col min="14" max="16384" width="9.140625" style="3"/>
  </cols>
  <sheetData>
    <row r="1" spans="1:18" ht="31.5">
      <c r="A1" s="1" t="s">
        <v>38</v>
      </c>
      <c r="B1" s="1" t="s">
        <v>39</v>
      </c>
      <c r="C1" s="1" t="s">
        <v>40</v>
      </c>
      <c r="D1" s="1" t="s">
        <v>41</v>
      </c>
      <c r="E1" s="1" t="s">
        <v>42</v>
      </c>
      <c r="F1" s="1" t="s">
        <v>43</v>
      </c>
      <c r="G1" s="1" t="s">
        <v>44</v>
      </c>
      <c r="H1" s="1" t="s">
        <v>45</v>
      </c>
      <c r="I1" s="1" t="s">
        <v>46</v>
      </c>
      <c r="J1" s="1" t="s">
        <v>47</v>
      </c>
      <c r="K1" s="1" t="s">
        <v>48</v>
      </c>
      <c r="L1" s="2" t="s">
        <v>49</v>
      </c>
      <c r="M1" s="1" t="s">
        <v>50</v>
      </c>
      <c r="N1" s="15">
        <f>SUM(N2:N104)</f>
        <v>15</v>
      </c>
      <c r="O1" s="15">
        <f>SUM(O2:O104)</f>
        <v>0</v>
      </c>
      <c r="P1" s="15">
        <f>SUM(P2:P104)</f>
        <v>0</v>
      </c>
      <c r="Q1" s="15">
        <f>SUM(Q2:Q104)</f>
        <v>0</v>
      </c>
      <c r="R1" s="15">
        <f>SUM(R2:R104)</f>
        <v>0</v>
      </c>
    </row>
    <row r="2" spans="1:18" ht="75" customHeight="1">
      <c r="A2" s="105" t="s">
        <v>532</v>
      </c>
      <c r="B2" s="486" t="s">
        <v>533</v>
      </c>
      <c r="C2" s="489" t="s">
        <v>54</v>
      </c>
      <c r="D2" s="105" t="s">
        <v>534</v>
      </c>
      <c r="E2" s="105"/>
      <c r="F2" s="106" t="s">
        <v>535</v>
      </c>
      <c r="G2" s="5" t="s">
        <v>536</v>
      </c>
      <c r="H2" s="4"/>
      <c r="I2" s="106" t="s">
        <v>537</v>
      </c>
      <c r="J2" s="23" t="s">
        <v>59</v>
      </c>
      <c r="K2" s="4"/>
      <c r="L2" s="4"/>
      <c r="M2" s="281" t="s">
        <v>538</v>
      </c>
      <c r="N2" s="17">
        <f>COUNTIF($J2:J16,"PASS")</f>
        <v>15</v>
      </c>
      <c r="O2" s="17">
        <f>COUNTIF($J2:J16,"FAIL")</f>
        <v>0</v>
      </c>
      <c r="P2" s="17">
        <f>COUNTBLANK(J2:J16)</f>
        <v>0</v>
      </c>
      <c r="Q2" s="17">
        <f>COUNTIF($J2:J16,"IN PROGRESS")</f>
        <v>0</v>
      </c>
      <c r="R2" s="17">
        <f>COUNTIF($J2:J16,"BLOCKED")</f>
        <v>0</v>
      </c>
    </row>
    <row r="3" spans="1:18" ht="93" customHeight="1">
      <c r="A3" s="105" t="s">
        <v>539</v>
      </c>
      <c r="B3" s="487"/>
      <c r="C3" s="490"/>
      <c r="D3" s="105" t="s">
        <v>534</v>
      </c>
      <c r="E3" s="105"/>
      <c r="F3" s="106" t="s">
        <v>540</v>
      </c>
      <c r="G3" s="5" t="s">
        <v>541</v>
      </c>
      <c r="H3" s="4"/>
      <c r="I3" s="106" t="s">
        <v>537</v>
      </c>
      <c r="J3" s="23" t="s">
        <v>59</v>
      </c>
      <c r="K3" s="4"/>
      <c r="L3" s="4"/>
      <c r="M3" s="281" t="s">
        <v>538</v>
      </c>
    </row>
    <row r="4" spans="1:18" ht="75" customHeight="1">
      <c r="A4" s="105" t="s">
        <v>542</v>
      </c>
      <c r="B4" s="486" t="s">
        <v>543</v>
      </c>
      <c r="C4" s="490"/>
      <c r="D4" s="105" t="s">
        <v>544</v>
      </c>
      <c r="E4" s="105"/>
      <c r="F4" s="106" t="s">
        <v>545</v>
      </c>
      <c r="G4" s="107" t="s">
        <v>546</v>
      </c>
      <c r="H4" s="4"/>
      <c r="I4" s="106" t="s">
        <v>547</v>
      </c>
      <c r="J4" s="23" t="s">
        <v>59</v>
      </c>
      <c r="K4" s="4"/>
      <c r="L4" s="4"/>
      <c r="M4" s="281" t="s">
        <v>538</v>
      </c>
    </row>
    <row r="5" spans="1:18" ht="75" customHeight="1">
      <c r="A5" s="105" t="s">
        <v>548</v>
      </c>
      <c r="B5" s="487"/>
      <c r="C5" s="490"/>
      <c r="D5" s="105" t="s">
        <v>544</v>
      </c>
      <c r="E5" s="106" t="s">
        <v>549</v>
      </c>
      <c r="F5" s="106" t="s">
        <v>545</v>
      </c>
      <c r="G5" s="107" t="s">
        <v>550</v>
      </c>
      <c r="H5" s="4"/>
      <c r="I5" s="106" t="s">
        <v>547</v>
      </c>
      <c r="J5" s="23" t="s">
        <v>59</v>
      </c>
      <c r="K5" s="4"/>
      <c r="L5" s="4"/>
      <c r="M5" s="281" t="s">
        <v>538</v>
      </c>
    </row>
    <row r="6" spans="1:18" ht="105" customHeight="1">
      <c r="A6" s="105" t="s">
        <v>551</v>
      </c>
      <c r="B6" s="105" t="s">
        <v>552</v>
      </c>
      <c r="C6" s="490"/>
      <c r="D6" s="105" t="s">
        <v>553</v>
      </c>
      <c r="E6" s="105"/>
      <c r="F6" s="105" t="s">
        <v>554</v>
      </c>
      <c r="G6" s="107" t="s">
        <v>555</v>
      </c>
      <c r="H6" s="4"/>
      <c r="I6" s="106" t="s">
        <v>556</v>
      </c>
      <c r="J6" s="23" t="s">
        <v>59</v>
      </c>
      <c r="K6" s="4"/>
      <c r="L6" s="4"/>
      <c r="M6" s="281" t="s">
        <v>538</v>
      </c>
    </row>
    <row r="7" spans="1:18" ht="90" customHeight="1">
      <c r="A7" s="105" t="s">
        <v>557</v>
      </c>
      <c r="B7" s="105" t="s">
        <v>558</v>
      </c>
      <c r="C7" s="490"/>
      <c r="D7" s="105" t="s">
        <v>559</v>
      </c>
      <c r="E7" s="105"/>
      <c r="F7" s="106" t="s">
        <v>560</v>
      </c>
      <c r="G7" s="107" t="s">
        <v>561</v>
      </c>
      <c r="H7" s="4"/>
      <c r="I7" s="106" t="s">
        <v>562</v>
      </c>
      <c r="J7" s="23" t="s">
        <v>59</v>
      </c>
      <c r="K7" s="4"/>
      <c r="L7" s="4"/>
      <c r="M7" s="281" t="s">
        <v>538</v>
      </c>
    </row>
    <row r="8" spans="1:18" ht="75" customHeight="1">
      <c r="A8" s="105" t="s">
        <v>563</v>
      </c>
      <c r="B8" s="486" t="s">
        <v>564</v>
      </c>
      <c r="C8" s="490"/>
      <c r="D8" s="105" t="s">
        <v>565</v>
      </c>
      <c r="E8" s="105"/>
      <c r="F8" s="105" t="s">
        <v>566</v>
      </c>
      <c r="G8" s="107" t="s">
        <v>567</v>
      </c>
      <c r="H8" s="4"/>
      <c r="I8" s="106" t="s">
        <v>568</v>
      </c>
      <c r="J8" s="23" t="s">
        <v>59</v>
      </c>
      <c r="K8" s="4"/>
      <c r="L8" s="4"/>
      <c r="M8" s="281" t="s">
        <v>538</v>
      </c>
    </row>
    <row r="9" spans="1:18" ht="60" customHeight="1">
      <c r="A9" s="105" t="s">
        <v>569</v>
      </c>
      <c r="B9" s="487"/>
      <c r="C9" s="490"/>
      <c r="D9" s="105" t="s">
        <v>565</v>
      </c>
      <c r="E9" s="105"/>
      <c r="F9" s="105" t="s">
        <v>566</v>
      </c>
      <c r="G9" s="107" t="s">
        <v>570</v>
      </c>
      <c r="H9" s="4"/>
      <c r="I9" s="106" t="s">
        <v>571</v>
      </c>
      <c r="J9" s="23" t="s">
        <v>59</v>
      </c>
      <c r="K9" s="4"/>
      <c r="L9" s="4"/>
      <c r="M9" s="281" t="s">
        <v>538</v>
      </c>
    </row>
    <row r="10" spans="1:18" ht="120" customHeight="1">
      <c r="A10" s="105" t="s">
        <v>572</v>
      </c>
      <c r="B10" s="105" t="s">
        <v>573</v>
      </c>
      <c r="C10" s="490"/>
      <c r="D10" s="106" t="s">
        <v>574</v>
      </c>
      <c r="E10" s="105"/>
      <c r="F10" s="106" t="s">
        <v>575</v>
      </c>
      <c r="G10" s="107" t="s">
        <v>576</v>
      </c>
      <c r="H10" s="4"/>
      <c r="I10" s="106" t="s">
        <v>574</v>
      </c>
      <c r="J10" s="23" t="s">
        <v>59</v>
      </c>
      <c r="K10" s="4"/>
      <c r="L10" s="4"/>
      <c r="M10" s="281" t="s">
        <v>538</v>
      </c>
    </row>
    <row r="11" spans="1:18" s="114" customFormat="1" ht="120" customHeight="1">
      <c r="A11" s="109" t="s">
        <v>577</v>
      </c>
      <c r="B11" s="109" t="s">
        <v>578</v>
      </c>
      <c r="C11" s="490"/>
      <c r="D11" s="109" t="s">
        <v>579</v>
      </c>
      <c r="E11" s="109"/>
      <c r="F11" s="109" t="s">
        <v>580</v>
      </c>
      <c r="G11" s="110" t="s">
        <v>581</v>
      </c>
      <c r="H11" s="111"/>
      <c r="I11" s="112" t="s">
        <v>582</v>
      </c>
      <c r="J11" s="113" t="s">
        <v>59</v>
      </c>
      <c r="K11" s="146" t="s">
        <v>583</v>
      </c>
      <c r="L11" s="129"/>
      <c r="M11" s="281" t="s">
        <v>538</v>
      </c>
    </row>
    <row r="12" spans="1:18" ht="135" customHeight="1">
      <c r="A12" s="105" t="s">
        <v>584</v>
      </c>
      <c r="B12" s="486" t="s">
        <v>585</v>
      </c>
      <c r="C12" s="490"/>
      <c r="D12" s="105" t="s">
        <v>586</v>
      </c>
      <c r="E12" s="106" t="s">
        <v>587</v>
      </c>
      <c r="F12" s="106" t="s">
        <v>588</v>
      </c>
      <c r="G12" s="107" t="s">
        <v>589</v>
      </c>
      <c r="H12" s="4"/>
      <c r="I12" s="106" t="s">
        <v>590</v>
      </c>
      <c r="J12" s="23" t="s">
        <v>59</v>
      </c>
      <c r="K12" s="4"/>
      <c r="L12" s="4"/>
      <c r="M12" s="281" t="s">
        <v>538</v>
      </c>
    </row>
    <row r="13" spans="1:18" ht="135" customHeight="1">
      <c r="A13" s="105" t="s">
        <v>591</v>
      </c>
      <c r="B13" s="488"/>
      <c r="C13" s="490"/>
      <c r="D13" s="105" t="s">
        <v>586</v>
      </c>
      <c r="E13" s="106" t="s">
        <v>592</v>
      </c>
      <c r="F13" s="106" t="s">
        <v>593</v>
      </c>
      <c r="G13" s="107" t="s">
        <v>594</v>
      </c>
      <c r="H13" s="4"/>
      <c r="I13" s="106" t="s">
        <v>595</v>
      </c>
      <c r="J13" s="23" t="s">
        <v>59</v>
      </c>
      <c r="K13" s="4"/>
      <c r="L13" s="4"/>
      <c r="M13" s="281" t="s">
        <v>538</v>
      </c>
    </row>
    <row r="14" spans="1:18" ht="135" customHeight="1">
      <c r="A14" s="105" t="s">
        <v>596</v>
      </c>
      <c r="B14" s="487"/>
      <c r="C14" s="490"/>
      <c r="D14" s="105" t="s">
        <v>586</v>
      </c>
      <c r="E14" s="106" t="s">
        <v>597</v>
      </c>
      <c r="F14" s="106" t="s">
        <v>598</v>
      </c>
      <c r="G14" s="107" t="s">
        <v>599</v>
      </c>
      <c r="H14" s="4"/>
      <c r="I14" s="106" t="s">
        <v>590</v>
      </c>
      <c r="J14" s="23" t="s">
        <v>59</v>
      </c>
      <c r="K14" s="4"/>
      <c r="L14" s="4"/>
      <c r="M14" s="281" t="s">
        <v>538</v>
      </c>
    </row>
    <row r="15" spans="1:18" s="114" customFormat="1" ht="81" customHeight="1">
      <c r="A15" s="109" t="s">
        <v>600</v>
      </c>
      <c r="B15" s="109" t="s">
        <v>601</v>
      </c>
      <c r="C15" s="490"/>
      <c r="D15" s="109" t="s">
        <v>602</v>
      </c>
      <c r="E15" s="112" t="s">
        <v>603</v>
      </c>
      <c r="F15" s="112" t="s">
        <v>604</v>
      </c>
      <c r="G15" s="110" t="s">
        <v>605</v>
      </c>
      <c r="H15" s="111"/>
      <c r="I15" s="112" t="s">
        <v>606</v>
      </c>
      <c r="J15" s="113" t="s">
        <v>59</v>
      </c>
      <c r="K15" s="111"/>
      <c r="L15" s="111"/>
      <c r="M15" s="281" t="s">
        <v>538</v>
      </c>
    </row>
    <row r="16" spans="1:18" s="114" customFormat="1" ht="97.5" customHeight="1">
      <c r="A16" s="109" t="s">
        <v>607</v>
      </c>
      <c r="B16" s="109"/>
      <c r="C16" s="491"/>
      <c r="D16" s="109" t="s">
        <v>608</v>
      </c>
      <c r="E16" s="112" t="s">
        <v>609</v>
      </c>
      <c r="F16" s="109" t="s">
        <v>610</v>
      </c>
      <c r="G16" s="110" t="s">
        <v>611</v>
      </c>
      <c r="H16" s="111"/>
      <c r="I16" s="112" t="s">
        <v>612</v>
      </c>
      <c r="J16" s="113" t="s">
        <v>59</v>
      </c>
      <c r="K16" s="111"/>
      <c r="L16" s="111"/>
      <c r="M16" s="281" t="s">
        <v>538</v>
      </c>
    </row>
  </sheetData>
  <autoFilter ref="A1:M1" xr:uid="{468C8AF1-D8AA-46DD-9E31-1D1049D85CBD}"/>
  <mergeCells count="5">
    <mergeCell ref="B2:B3"/>
    <mergeCell ref="B4:B5"/>
    <mergeCell ref="B8:B9"/>
    <mergeCell ref="B12:B14"/>
    <mergeCell ref="C2:C16"/>
  </mergeCells>
  <phoneticPr fontId="2" type="noConversion"/>
  <conditionalFormatting sqref="J2:J16">
    <cfRule type="containsText" dxfId="85" priority="1" operator="containsText" text="BLOCKED">
      <formula>NOT(ISERROR(SEARCH("BLOCKED",J2)))</formula>
    </cfRule>
    <cfRule type="containsText" dxfId="84" priority="2" stopIfTrue="1" operator="containsText" text="IN PROGRESS">
      <formula>NOT(ISERROR(SEARCH("IN PROGRESS",J2)))</formula>
    </cfRule>
    <cfRule type="containsText" dxfId="83" priority="3" stopIfTrue="1" operator="containsText" text="PASS">
      <formula>NOT(ISERROR(SEARCH("PASS",J2)))</formula>
    </cfRule>
    <cfRule type="containsText" dxfId="82" priority="4" stopIfTrue="1" operator="containsText" text="FAIL">
      <formula>NOT(ISERROR(SEARCH("FAIL",J2)))</formula>
    </cfRule>
  </conditionalFormatting>
  <dataValidations count="1">
    <dataValidation type="list" allowBlank="1" showInputMessage="1" showErrorMessage="1" sqref="J2:J16" xr:uid="{1E4181C6-912C-4B8F-A950-0ECE148BC654}">
      <formula1>"PASS, FAIL, IN PROGRESS, BLOCKED,"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D3AE-53D5-4820-9BF9-1BBD6ACB86F8}">
  <dimension ref="A1:R135"/>
  <sheetViews>
    <sheetView topLeftCell="B67" workbookViewId="0">
      <selection activeCell="J73" sqref="J73"/>
    </sheetView>
  </sheetViews>
  <sheetFormatPr defaultColWidth="8.85546875" defaultRowHeight="15"/>
  <cols>
    <col min="1" max="1" width="23" bestFit="1" customWidth="1"/>
    <col min="3" max="3" width="9.85546875" bestFit="1" customWidth="1"/>
    <col min="4" max="4" width="24" customWidth="1"/>
    <col min="5" max="5" width="32.140625" style="183" customWidth="1"/>
    <col min="6" max="6" width="29" customWidth="1"/>
    <col min="7" max="7" width="36.140625" customWidth="1"/>
    <col min="9" max="9" width="29.140625" customWidth="1"/>
    <col min="10" max="10" width="12.28515625" customWidth="1"/>
    <col min="12" max="12" width="14.42578125" customWidth="1"/>
  </cols>
  <sheetData>
    <row r="1" spans="1:18" ht="45">
      <c r="A1" s="13" t="s">
        <v>38</v>
      </c>
      <c r="B1" s="13" t="s">
        <v>39</v>
      </c>
      <c r="C1" s="13" t="s">
        <v>40</v>
      </c>
      <c r="D1" s="13" t="s">
        <v>41</v>
      </c>
      <c r="E1" s="13" t="s">
        <v>42</v>
      </c>
      <c r="F1" s="13" t="s">
        <v>43</v>
      </c>
      <c r="G1" s="13" t="s">
        <v>44</v>
      </c>
      <c r="H1" s="13" t="s">
        <v>45</v>
      </c>
      <c r="I1" s="13" t="s">
        <v>46</v>
      </c>
      <c r="J1" s="182" t="s">
        <v>47</v>
      </c>
      <c r="K1" s="13" t="s">
        <v>48</v>
      </c>
      <c r="L1" s="14" t="s">
        <v>49</v>
      </c>
      <c r="M1" s="13" t="s">
        <v>50</v>
      </c>
      <c r="N1" s="15">
        <f>SUM(N2:N140)</f>
        <v>66</v>
      </c>
      <c r="O1" s="15">
        <f>SUM(O2:O140)</f>
        <v>0</v>
      </c>
      <c r="P1" s="15">
        <f>SUM(P2:P140)</f>
        <v>0</v>
      </c>
      <c r="Q1" s="15">
        <f>SUM(Q2:Q140)</f>
        <v>0</v>
      </c>
      <c r="R1" s="15">
        <f>SUM(R2:R140)</f>
        <v>0</v>
      </c>
    </row>
    <row r="2" spans="1:18">
      <c r="A2" s="497" t="s">
        <v>613</v>
      </c>
      <c r="B2" s="497"/>
      <c r="C2" s="497"/>
      <c r="D2" s="497"/>
      <c r="E2" s="497"/>
      <c r="F2" s="497"/>
      <c r="G2" s="497"/>
      <c r="H2" s="497"/>
      <c r="I2" s="497"/>
      <c r="J2" s="497"/>
      <c r="K2" s="497"/>
      <c r="L2" s="497"/>
      <c r="M2" s="497"/>
      <c r="N2" s="17">
        <f>COUNTIF($J3:J3,"PASS")</f>
        <v>1</v>
      </c>
      <c r="O2" s="17">
        <f>COUNTIF($J3:J3,"FAIL")</f>
        <v>0</v>
      </c>
      <c r="P2" s="17">
        <f>COUNTBLANK(J3:J3)</f>
        <v>0</v>
      </c>
      <c r="Q2" s="17">
        <f>COUNTIF($J3:J3,"IN PROGRESS")</f>
        <v>0</v>
      </c>
      <c r="R2" s="17">
        <f>COUNTIF($J3:J3,"BLOCKED")</f>
        <v>0</v>
      </c>
    </row>
    <row r="3" spans="1:18" ht="285">
      <c r="A3" s="176" t="s">
        <v>614</v>
      </c>
      <c r="B3" s="176" t="s">
        <v>615</v>
      </c>
      <c r="C3" s="176" t="s">
        <v>54</v>
      </c>
      <c r="D3" s="184" t="s">
        <v>616</v>
      </c>
      <c r="E3" s="176" t="s">
        <v>617</v>
      </c>
      <c r="F3" s="184" t="s">
        <v>618</v>
      </c>
      <c r="G3" s="173" t="s">
        <v>619</v>
      </c>
      <c r="H3" s="176"/>
      <c r="I3" s="187" t="s">
        <v>620</v>
      </c>
      <c r="J3" s="177" t="s">
        <v>59</v>
      </c>
      <c r="K3" s="122"/>
      <c r="L3" s="189"/>
      <c r="M3" s="176" t="s">
        <v>621</v>
      </c>
    </row>
    <row r="4" spans="1:18">
      <c r="A4" s="498" t="s">
        <v>622</v>
      </c>
      <c r="B4" s="499"/>
      <c r="C4" s="499"/>
      <c r="D4" s="499"/>
      <c r="E4" s="499"/>
      <c r="F4" s="499"/>
      <c r="G4" s="499"/>
      <c r="H4" s="499"/>
      <c r="I4" s="500"/>
      <c r="J4" s="190"/>
      <c r="K4" s="190"/>
      <c r="L4" s="191"/>
      <c r="M4" s="190"/>
      <c r="N4" s="17">
        <f>COUNTIF($J5:J7,"PASS")</f>
        <v>3</v>
      </c>
      <c r="O4" s="17">
        <f>COUNTIF($J5:J7,"FAIL")</f>
        <v>0</v>
      </c>
      <c r="P4" s="17">
        <f>COUNTBLANK(J5:J7)</f>
        <v>0</v>
      </c>
      <c r="Q4" s="17">
        <f>COUNTIF($J5:J7,"IN PROGRESS")</f>
        <v>0</v>
      </c>
      <c r="R4" s="17">
        <f>COUNTIF($J5:J7,"BLOCKED")</f>
        <v>0</v>
      </c>
    </row>
    <row r="5" spans="1:18" ht="285">
      <c r="A5" s="176" t="s">
        <v>623</v>
      </c>
      <c r="B5" s="450" t="s">
        <v>615</v>
      </c>
      <c r="C5" s="450" t="s">
        <v>54</v>
      </c>
      <c r="D5" s="184" t="s">
        <v>616</v>
      </c>
      <c r="E5" s="193" t="s">
        <v>624</v>
      </c>
      <c r="F5" s="184" t="s">
        <v>618</v>
      </c>
      <c r="G5" s="173" t="s">
        <v>625</v>
      </c>
      <c r="H5" s="122"/>
      <c r="I5" s="188" t="s">
        <v>620</v>
      </c>
      <c r="J5" s="177" t="s">
        <v>59</v>
      </c>
      <c r="K5" s="122"/>
      <c r="L5" s="189"/>
      <c r="M5" s="176" t="s">
        <v>621</v>
      </c>
    </row>
    <row r="6" spans="1:18" ht="285">
      <c r="A6" s="176" t="s">
        <v>626</v>
      </c>
      <c r="B6" s="477"/>
      <c r="C6" s="477"/>
      <c r="D6" s="184" t="s">
        <v>616</v>
      </c>
      <c r="E6" s="194" t="s">
        <v>627</v>
      </c>
      <c r="F6" s="184" t="s">
        <v>618</v>
      </c>
      <c r="G6" s="173" t="s">
        <v>625</v>
      </c>
      <c r="H6" s="122"/>
      <c r="I6" s="185" t="s">
        <v>620</v>
      </c>
      <c r="J6" s="177" t="s">
        <v>59</v>
      </c>
      <c r="K6" s="122"/>
      <c r="L6" s="189"/>
      <c r="M6" s="176" t="s">
        <v>621</v>
      </c>
    </row>
    <row r="7" spans="1:18" ht="285">
      <c r="A7" s="176" t="s">
        <v>628</v>
      </c>
      <c r="B7" s="478"/>
      <c r="C7" s="478"/>
      <c r="D7" s="184" t="s">
        <v>616</v>
      </c>
      <c r="E7" s="195" t="s">
        <v>629</v>
      </c>
      <c r="F7" s="184" t="s">
        <v>618</v>
      </c>
      <c r="G7" s="173" t="s">
        <v>625</v>
      </c>
      <c r="H7" s="122"/>
      <c r="I7" s="192" t="s">
        <v>620</v>
      </c>
      <c r="J7" s="177" t="s">
        <v>59</v>
      </c>
      <c r="K7" s="122"/>
      <c r="L7" s="189"/>
      <c r="M7" s="176" t="s">
        <v>621</v>
      </c>
    </row>
    <row r="8" spans="1:18">
      <c r="A8" s="494" t="s">
        <v>630</v>
      </c>
      <c r="B8" s="495"/>
      <c r="C8" s="495"/>
      <c r="D8" s="495"/>
      <c r="E8" s="495"/>
      <c r="F8" s="495"/>
      <c r="G8" s="495"/>
      <c r="H8" s="495"/>
      <c r="I8" s="495"/>
      <c r="J8" s="495"/>
      <c r="K8" s="495"/>
      <c r="L8" s="495"/>
      <c r="M8" s="496"/>
      <c r="N8" s="17">
        <f>COUNTIF($J9:J17,"PASS")</f>
        <v>9</v>
      </c>
      <c r="O8" s="17">
        <f>COUNTIF($J9:J17,"FAIL")</f>
        <v>0</v>
      </c>
      <c r="P8" s="17">
        <f>COUNTBLANK(J9:J17)</f>
        <v>0</v>
      </c>
      <c r="Q8" s="17">
        <f>COUNTIF($J9:J17,"IN PROGRESS")</f>
        <v>0</v>
      </c>
      <c r="R8" s="17">
        <f>COUNTIF($J9:J17,"BLOCKED")</f>
        <v>0</v>
      </c>
    </row>
    <row r="9" spans="1:18" ht="232.5" customHeight="1">
      <c r="A9" s="174" t="s">
        <v>631</v>
      </c>
      <c r="B9" s="450" t="s">
        <v>615</v>
      </c>
      <c r="C9" s="450" t="s">
        <v>54</v>
      </c>
      <c r="D9" s="175" t="s">
        <v>616</v>
      </c>
      <c r="E9" s="199" t="s">
        <v>632</v>
      </c>
      <c r="F9" s="184" t="s">
        <v>618</v>
      </c>
      <c r="G9" s="172" t="s">
        <v>633</v>
      </c>
      <c r="H9" s="196"/>
      <c r="I9" s="201" t="s">
        <v>634</v>
      </c>
      <c r="J9" s="294" t="s">
        <v>59</v>
      </c>
      <c r="K9" s="196"/>
      <c r="L9" s="196"/>
      <c r="M9" s="176" t="s">
        <v>621</v>
      </c>
    </row>
    <row r="10" spans="1:18" ht="111.75" customHeight="1">
      <c r="A10" s="176" t="s">
        <v>635</v>
      </c>
      <c r="B10" s="477"/>
      <c r="C10" s="477"/>
      <c r="D10" s="175" t="s">
        <v>616</v>
      </c>
      <c r="E10" s="195" t="s">
        <v>636</v>
      </c>
      <c r="F10" s="184" t="s">
        <v>618</v>
      </c>
      <c r="G10" s="172" t="s">
        <v>633</v>
      </c>
      <c r="H10" s="174"/>
      <c r="I10" s="202" t="s">
        <v>637</v>
      </c>
      <c r="J10" s="178" t="s">
        <v>59</v>
      </c>
      <c r="K10" s="197"/>
      <c r="L10" s="198"/>
      <c r="M10" s="176" t="s">
        <v>621</v>
      </c>
    </row>
    <row r="11" spans="1:18" ht="123.75" customHeight="1">
      <c r="A11" s="176" t="s">
        <v>638</v>
      </c>
      <c r="B11" s="477"/>
      <c r="C11" s="477"/>
      <c r="D11" s="184" t="s">
        <v>616</v>
      </c>
      <c r="E11" s="195" t="s">
        <v>639</v>
      </c>
      <c r="F11" s="184" t="s">
        <v>618</v>
      </c>
      <c r="G11" s="173" t="s">
        <v>633</v>
      </c>
      <c r="H11" s="176"/>
      <c r="I11" s="202" t="s">
        <v>640</v>
      </c>
      <c r="J11" s="177" t="s">
        <v>59</v>
      </c>
      <c r="K11" s="122"/>
      <c r="L11" s="189"/>
      <c r="M11" s="176" t="s">
        <v>621</v>
      </c>
    </row>
    <row r="12" spans="1:18" ht="122.25" customHeight="1">
      <c r="A12" s="176" t="s">
        <v>641</v>
      </c>
      <c r="B12" s="477"/>
      <c r="C12" s="477"/>
      <c r="D12" s="184" t="s">
        <v>616</v>
      </c>
      <c r="E12" s="195" t="s">
        <v>642</v>
      </c>
      <c r="F12" s="184" t="s">
        <v>618</v>
      </c>
      <c r="G12" s="173" t="s">
        <v>633</v>
      </c>
      <c r="H12" s="176"/>
      <c r="I12" s="202" t="s">
        <v>643</v>
      </c>
      <c r="J12" s="177" t="s">
        <v>59</v>
      </c>
      <c r="K12" s="122"/>
      <c r="L12" s="189"/>
      <c r="M12" s="176" t="s">
        <v>621</v>
      </c>
    </row>
    <row r="13" spans="1:18" ht="126.75" customHeight="1">
      <c r="A13" s="176" t="s">
        <v>644</v>
      </c>
      <c r="B13" s="477"/>
      <c r="C13" s="477"/>
      <c r="D13" s="184" t="s">
        <v>616</v>
      </c>
      <c r="E13" s="195" t="s">
        <v>645</v>
      </c>
      <c r="F13" s="184" t="s">
        <v>618</v>
      </c>
      <c r="G13" s="173" t="s">
        <v>633</v>
      </c>
      <c r="H13" s="176"/>
      <c r="I13" s="202" t="s">
        <v>646</v>
      </c>
      <c r="J13" s="177" t="s">
        <v>59</v>
      </c>
      <c r="K13" s="122"/>
      <c r="L13" s="189"/>
      <c r="M13" s="176" t="s">
        <v>621</v>
      </c>
    </row>
    <row r="14" spans="1:18" ht="133.5" customHeight="1">
      <c r="A14" s="176" t="s">
        <v>647</v>
      </c>
      <c r="B14" s="477"/>
      <c r="C14" s="477"/>
      <c r="D14" s="184" t="s">
        <v>616</v>
      </c>
      <c r="E14" s="195" t="s">
        <v>648</v>
      </c>
      <c r="F14" s="184" t="s">
        <v>618</v>
      </c>
      <c r="G14" s="173" t="s">
        <v>633</v>
      </c>
      <c r="H14" s="176"/>
      <c r="I14" s="202" t="s">
        <v>649</v>
      </c>
      <c r="J14" s="177" t="s">
        <v>59</v>
      </c>
      <c r="K14" s="122"/>
      <c r="L14" s="189"/>
      <c r="M14" s="176" t="s">
        <v>621</v>
      </c>
    </row>
    <row r="15" spans="1:18" ht="117.75" customHeight="1">
      <c r="A15" s="176" t="s">
        <v>650</v>
      </c>
      <c r="B15" s="477"/>
      <c r="C15" s="477"/>
      <c r="D15" s="184" t="s">
        <v>616</v>
      </c>
      <c r="E15" s="195" t="s">
        <v>651</v>
      </c>
      <c r="F15" s="184" t="s">
        <v>618</v>
      </c>
      <c r="G15" s="173" t="s">
        <v>633</v>
      </c>
      <c r="H15" s="176"/>
      <c r="I15" s="202" t="s">
        <v>652</v>
      </c>
      <c r="J15" s="177" t="s">
        <v>59</v>
      </c>
      <c r="K15" s="122"/>
      <c r="L15" s="189"/>
      <c r="M15" s="176" t="s">
        <v>621</v>
      </c>
    </row>
    <row r="16" spans="1:18" ht="108.75" customHeight="1">
      <c r="A16" s="176" t="s">
        <v>653</v>
      </c>
      <c r="B16" s="477"/>
      <c r="C16" s="477"/>
      <c r="D16" s="184" t="s">
        <v>616</v>
      </c>
      <c r="E16" s="195" t="s">
        <v>654</v>
      </c>
      <c r="F16" s="184" t="s">
        <v>618</v>
      </c>
      <c r="G16" s="173" t="s">
        <v>633</v>
      </c>
      <c r="H16" s="176"/>
      <c r="I16" s="202" t="s">
        <v>655</v>
      </c>
      <c r="J16" s="177" t="s">
        <v>59</v>
      </c>
      <c r="K16" s="122"/>
      <c r="L16" s="189"/>
      <c r="M16" s="176" t="s">
        <v>621</v>
      </c>
    </row>
    <row r="17" spans="1:18" ht="119.25" customHeight="1">
      <c r="A17" s="176" t="s">
        <v>656</v>
      </c>
      <c r="B17" s="478"/>
      <c r="C17" s="478"/>
      <c r="D17" s="184" t="s">
        <v>616</v>
      </c>
      <c r="E17" s="195" t="s">
        <v>657</v>
      </c>
      <c r="F17" s="184" t="s">
        <v>618</v>
      </c>
      <c r="G17" s="173" t="s">
        <v>633</v>
      </c>
      <c r="H17" s="176"/>
      <c r="I17" s="202" t="s">
        <v>658</v>
      </c>
      <c r="J17" s="177" t="s">
        <v>59</v>
      </c>
      <c r="K17" s="122"/>
      <c r="L17" s="189"/>
      <c r="M17" s="176" t="s">
        <v>621</v>
      </c>
    </row>
    <row r="18" spans="1:18">
      <c r="A18" s="494" t="s">
        <v>659</v>
      </c>
      <c r="B18" s="495"/>
      <c r="C18" s="495"/>
      <c r="D18" s="495"/>
      <c r="E18" s="495"/>
      <c r="F18" s="495"/>
      <c r="G18" s="495"/>
      <c r="H18" s="495"/>
      <c r="I18" s="495"/>
      <c r="J18" s="495"/>
      <c r="K18" s="495"/>
      <c r="L18" s="495"/>
      <c r="M18" s="496"/>
      <c r="N18" s="17">
        <f>COUNTIF($J19:J31,"PASS")</f>
        <v>13</v>
      </c>
      <c r="O18" s="17">
        <f>COUNTIF($J19:J31,"FAIL")</f>
        <v>0</v>
      </c>
      <c r="P18" s="17">
        <f>COUNTBLANK(J19:J31)</f>
        <v>0</v>
      </c>
      <c r="Q18" s="17">
        <f>COUNTIF($J19:J31,"IN PROGRESS")</f>
        <v>0</v>
      </c>
      <c r="R18" s="17">
        <f>COUNTIF($J19:J31,"BLOCKED")</f>
        <v>0</v>
      </c>
    </row>
    <row r="19" spans="1:18" ht="210">
      <c r="A19" s="176" t="s">
        <v>660</v>
      </c>
      <c r="B19" s="450" t="s">
        <v>615</v>
      </c>
      <c r="C19" s="450" t="s">
        <v>54</v>
      </c>
      <c r="D19" s="184" t="s">
        <v>616</v>
      </c>
      <c r="E19" s="193" t="s">
        <v>661</v>
      </c>
      <c r="F19" s="184" t="s">
        <v>618</v>
      </c>
      <c r="G19" s="173" t="s">
        <v>662</v>
      </c>
      <c r="H19" s="176"/>
      <c r="I19" s="201" t="s">
        <v>663</v>
      </c>
      <c r="J19" s="177" t="s">
        <v>59</v>
      </c>
      <c r="K19" s="122"/>
      <c r="L19" s="189"/>
      <c r="M19" s="176" t="s">
        <v>621</v>
      </c>
    </row>
    <row r="20" spans="1:18" ht="210">
      <c r="A20" s="176" t="s">
        <v>664</v>
      </c>
      <c r="B20" s="477"/>
      <c r="C20" s="477"/>
      <c r="D20" s="184" t="s">
        <v>616</v>
      </c>
      <c r="E20" s="195" t="s">
        <v>665</v>
      </c>
      <c r="F20" s="184" t="s">
        <v>618</v>
      </c>
      <c r="G20" s="173" t="s">
        <v>662</v>
      </c>
      <c r="H20" s="176"/>
      <c r="I20" s="202" t="s">
        <v>663</v>
      </c>
      <c r="J20" s="177" t="s">
        <v>59</v>
      </c>
      <c r="K20" s="122"/>
      <c r="L20" s="189"/>
      <c r="M20" s="176" t="s">
        <v>621</v>
      </c>
    </row>
    <row r="21" spans="1:18" ht="210">
      <c r="A21" s="176" t="s">
        <v>666</v>
      </c>
      <c r="B21" s="477"/>
      <c r="C21" s="477"/>
      <c r="D21" s="184" t="s">
        <v>616</v>
      </c>
      <c r="E21" s="195" t="s">
        <v>667</v>
      </c>
      <c r="F21" s="184" t="s">
        <v>618</v>
      </c>
      <c r="G21" s="173" t="s">
        <v>662</v>
      </c>
      <c r="H21" s="176"/>
      <c r="I21" s="202" t="s">
        <v>663</v>
      </c>
      <c r="J21" s="177" t="s">
        <v>59</v>
      </c>
      <c r="K21" s="122"/>
      <c r="L21" s="189"/>
      <c r="M21" s="176" t="s">
        <v>621</v>
      </c>
    </row>
    <row r="22" spans="1:18" ht="210">
      <c r="A22" s="176" t="s">
        <v>668</v>
      </c>
      <c r="B22" s="477"/>
      <c r="C22" s="477"/>
      <c r="D22" s="184" t="s">
        <v>616</v>
      </c>
      <c r="E22" s="195" t="s">
        <v>669</v>
      </c>
      <c r="F22" s="184" t="s">
        <v>618</v>
      </c>
      <c r="G22" s="173" t="s">
        <v>662</v>
      </c>
      <c r="H22" s="176"/>
      <c r="I22" s="202" t="s">
        <v>663</v>
      </c>
      <c r="J22" s="177" t="s">
        <v>59</v>
      </c>
      <c r="K22" s="122"/>
      <c r="L22" s="189"/>
      <c r="M22" s="176" t="s">
        <v>621</v>
      </c>
    </row>
    <row r="23" spans="1:18" ht="210">
      <c r="A23" s="176" t="s">
        <v>670</v>
      </c>
      <c r="B23" s="477"/>
      <c r="C23" s="477"/>
      <c r="D23" s="184" t="s">
        <v>616</v>
      </c>
      <c r="E23" s="195" t="s">
        <v>671</v>
      </c>
      <c r="F23" s="184" t="s">
        <v>618</v>
      </c>
      <c r="G23" s="173" t="s">
        <v>662</v>
      </c>
      <c r="H23" s="176"/>
      <c r="I23" s="202" t="s">
        <v>663</v>
      </c>
      <c r="J23" s="177" t="s">
        <v>59</v>
      </c>
      <c r="K23" s="122"/>
      <c r="L23" s="189"/>
      <c r="M23" s="176" t="s">
        <v>621</v>
      </c>
    </row>
    <row r="24" spans="1:18" ht="210">
      <c r="A24" s="176" t="s">
        <v>672</v>
      </c>
      <c r="B24" s="477"/>
      <c r="C24" s="477"/>
      <c r="D24" s="184" t="s">
        <v>616</v>
      </c>
      <c r="E24" s="194" t="s">
        <v>673</v>
      </c>
      <c r="F24" s="184" t="s">
        <v>618</v>
      </c>
      <c r="G24" s="173" t="s">
        <v>662</v>
      </c>
      <c r="H24" s="176"/>
      <c r="I24" s="202" t="s">
        <v>663</v>
      </c>
      <c r="J24" s="177" t="s">
        <v>59</v>
      </c>
      <c r="K24" s="122"/>
      <c r="L24" s="189"/>
      <c r="M24" s="176" t="s">
        <v>621</v>
      </c>
    </row>
    <row r="25" spans="1:18" ht="210">
      <c r="A25" s="176" t="s">
        <v>674</v>
      </c>
      <c r="B25" s="477"/>
      <c r="C25" s="477"/>
      <c r="D25" s="184" t="s">
        <v>616</v>
      </c>
      <c r="E25" s="194" t="s">
        <v>675</v>
      </c>
      <c r="F25" s="184" t="s">
        <v>618</v>
      </c>
      <c r="G25" s="173" t="s">
        <v>662</v>
      </c>
      <c r="H25" s="176"/>
      <c r="I25" s="202" t="s">
        <v>663</v>
      </c>
      <c r="J25" s="177" t="s">
        <v>59</v>
      </c>
      <c r="K25" s="122"/>
      <c r="L25" s="189"/>
      <c r="M25" s="176" t="s">
        <v>621</v>
      </c>
    </row>
    <row r="26" spans="1:18" ht="210">
      <c r="A26" s="176" t="s">
        <v>676</v>
      </c>
      <c r="B26" s="477"/>
      <c r="C26" s="477"/>
      <c r="D26" s="184" t="s">
        <v>616</v>
      </c>
      <c r="E26" s="194" t="s">
        <v>677</v>
      </c>
      <c r="F26" s="184" t="s">
        <v>618</v>
      </c>
      <c r="G26" s="173" t="s">
        <v>662</v>
      </c>
      <c r="H26" s="176"/>
      <c r="I26" s="202" t="s">
        <v>663</v>
      </c>
      <c r="J26" s="177" t="s">
        <v>59</v>
      </c>
      <c r="K26" s="122"/>
      <c r="L26" s="189"/>
      <c r="M26" s="176" t="s">
        <v>621</v>
      </c>
    </row>
    <row r="27" spans="1:18" ht="210">
      <c r="A27" s="176" t="s">
        <v>678</v>
      </c>
      <c r="B27" s="477"/>
      <c r="C27" s="477"/>
      <c r="D27" s="184" t="s">
        <v>616</v>
      </c>
      <c r="E27" s="194" t="s">
        <v>679</v>
      </c>
      <c r="F27" s="184" t="s">
        <v>618</v>
      </c>
      <c r="G27" s="173" t="s">
        <v>662</v>
      </c>
      <c r="H27" s="176"/>
      <c r="I27" s="202" t="s">
        <v>663</v>
      </c>
      <c r="J27" s="177" t="s">
        <v>59</v>
      </c>
      <c r="K27" s="122"/>
      <c r="L27" s="189"/>
      <c r="M27" s="176" t="s">
        <v>621</v>
      </c>
    </row>
    <row r="28" spans="1:18" ht="210">
      <c r="A28" s="176" t="s">
        <v>680</v>
      </c>
      <c r="B28" s="477"/>
      <c r="C28" s="477"/>
      <c r="D28" s="184" t="s">
        <v>616</v>
      </c>
      <c r="E28" s="194" t="s">
        <v>681</v>
      </c>
      <c r="F28" s="184" t="s">
        <v>618</v>
      </c>
      <c r="G28" s="173" t="s">
        <v>662</v>
      </c>
      <c r="H28" s="176"/>
      <c r="I28" s="202" t="s">
        <v>663</v>
      </c>
      <c r="J28" s="177" t="s">
        <v>59</v>
      </c>
      <c r="K28" s="122"/>
      <c r="L28" s="189"/>
      <c r="M28" s="176" t="s">
        <v>621</v>
      </c>
    </row>
    <row r="29" spans="1:18" ht="210">
      <c r="A29" s="176" t="s">
        <v>682</v>
      </c>
      <c r="B29" s="477"/>
      <c r="C29" s="477"/>
      <c r="D29" s="184" t="s">
        <v>616</v>
      </c>
      <c r="E29" s="194" t="s">
        <v>683</v>
      </c>
      <c r="F29" s="184" t="s">
        <v>618</v>
      </c>
      <c r="G29" s="173" t="s">
        <v>662</v>
      </c>
      <c r="H29" s="176"/>
      <c r="I29" s="202" t="s">
        <v>663</v>
      </c>
      <c r="J29" s="177" t="s">
        <v>59</v>
      </c>
      <c r="K29" s="122"/>
      <c r="L29" s="189"/>
      <c r="M29" s="176" t="s">
        <v>621</v>
      </c>
    </row>
    <row r="30" spans="1:18" ht="210">
      <c r="A30" s="176" t="s">
        <v>684</v>
      </c>
      <c r="B30" s="477"/>
      <c r="C30" s="477"/>
      <c r="D30" s="184" t="s">
        <v>616</v>
      </c>
      <c r="E30" s="194" t="s">
        <v>685</v>
      </c>
      <c r="F30" s="184" t="s">
        <v>618</v>
      </c>
      <c r="G30" s="173" t="s">
        <v>662</v>
      </c>
      <c r="H30" s="176"/>
      <c r="I30" s="202" t="s">
        <v>663</v>
      </c>
      <c r="J30" s="177" t="s">
        <v>59</v>
      </c>
      <c r="K30" s="122"/>
      <c r="L30" s="189"/>
      <c r="M30" s="176" t="s">
        <v>621</v>
      </c>
    </row>
    <row r="31" spans="1:18" ht="210">
      <c r="A31" s="176" t="s">
        <v>686</v>
      </c>
      <c r="B31" s="478"/>
      <c r="C31" s="478"/>
      <c r="D31" s="184" t="s">
        <v>616</v>
      </c>
      <c r="E31" s="194" t="s">
        <v>687</v>
      </c>
      <c r="F31" s="184" t="s">
        <v>618</v>
      </c>
      <c r="G31" s="173" t="s">
        <v>662</v>
      </c>
      <c r="H31" s="176"/>
      <c r="I31" s="202" t="s">
        <v>663</v>
      </c>
      <c r="J31" s="177" t="s">
        <v>59</v>
      </c>
      <c r="K31" s="122"/>
      <c r="L31" s="189"/>
      <c r="M31" s="176" t="s">
        <v>621</v>
      </c>
    </row>
    <row r="32" spans="1:18">
      <c r="A32" s="494" t="s">
        <v>688</v>
      </c>
      <c r="B32" s="495"/>
      <c r="C32" s="495"/>
      <c r="D32" s="495"/>
      <c r="E32" s="495"/>
      <c r="F32" s="495"/>
      <c r="G32" s="495"/>
      <c r="H32" s="495"/>
      <c r="I32" s="495"/>
      <c r="J32" s="495"/>
      <c r="K32" s="495"/>
      <c r="L32" s="495"/>
      <c r="M32" s="496"/>
      <c r="N32" s="17">
        <f>COUNTIF($J33:J40,"PASS")</f>
        <v>8</v>
      </c>
      <c r="O32" s="17">
        <f>COUNTIF($J33:J40,"FAIL")</f>
        <v>0</v>
      </c>
      <c r="P32" s="17">
        <f>COUNTBLANK(J33:J40)</f>
        <v>0</v>
      </c>
      <c r="Q32" s="17">
        <f>COUNTIF($J33:J40,"IN PROGRESS")</f>
        <v>0</v>
      </c>
      <c r="R32" s="17">
        <f>COUNTIF($J33:J40,"BLOCKED")</f>
        <v>0</v>
      </c>
    </row>
    <row r="33" spans="1:18" ht="180">
      <c r="A33" s="176" t="s">
        <v>689</v>
      </c>
      <c r="B33" s="249" t="s">
        <v>615</v>
      </c>
      <c r="C33" s="249" t="s">
        <v>54</v>
      </c>
      <c r="D33" s="184" t="s">
        <v>616</v>
      </c>
      <c r="E33" s="200" t="s">
        <v>690</v>
      </c>
      <c r="F33" s="184" t="s">
        <v>618</v>
      </c>
      <c r="G33" s="173" t="s">
        <v>691</v>
      </c>
      <c r="H33" s="176"/>
      <c r="I33" s="201" t="s">
        <v>692</v>
      </c>
      <c r="J33" s="177" t="s">
        <v>59</v>
      </c>
      <c r="K33" s="122"/>
      <c r="L33" s="189"/>
      <c r="M33" s="176" t="s">
        <v>621</v>
      </c>
    </row>
    <row r="34" spans="1:18" ht="180">
      <c r="A34" s="176" t="s">
        <v>693</v>
      </c>
      <c r="B34" s="250"/>
      <c r="C34" s="250"/>
      <c r="D34" s="184" t="s">
        <v>616</v>
      </c>
      <c r="E34" s="194" t="s">
        <v>694</v>
      </c>
      <c r="F34" s="184" t="s">
        <v>618</v>
      </c>
      <c r="G34" s="173" t="s">
        <v>691</v>
      </c>
      <c r="H34" s="176"/>
      <c r="I34" s="202" t="s">
        <v>692</v>
      </c>
      <c r="J34" s="177" t="s">
        <v>59</v>
      </c>
      <c r="K34" s="122"/>
      <c r="L34" s="189"/>
      <c r="M34" s="176" t="s">
        <v>621</v>
      </c>
    </row>
    <row r="35" spans="1:18" ht="180">
      <c r="A35" s="176" t="s">
        <v>695</v>
      </c>
      <c r="B35" s="250"/>
      <c r="C35" s="250"/>
      <c r="D35" s="184" t="s">
        <v>616</v>
      </c>
      <c r="E35" s="194" t="s">
        <v>696</v>
      </c>
      <c r="F35" s="184" t="s">
        <v>618</v>
      </c>
      <c r="G35" s="173" t="s">
        <v>691</v>
      </c>
      <c r="H35" s="176"/>
      <c r="I35" s="202" t="s">
        <v>692</v>
      </c>
      <c r="J35" s="177" t="s">
        <v>59</v>
      </c>
      <c r="K35" s="122"/>
      <c r="L35" s="189"/>
      <c r="M35" s="176" t="s">
        <v>621</v>
      </c>
    </row>
    <row r="36" spans="1:18" ht="180">
      <c r="A36" s="176" t="s">
        <v>697</v>
      </c>
      <c r="B36" s="250"/>
      <c r="C36" s="250"/>
      <c r="D36" s="184" t="s">
        <v>616</v>
      </c>
      <c r="E36" s="194" t="s">
        <v>698</v>
      </c>
      <c r="F36" s="184" t="s">
        <v>618</v>
      </c>
      <c r="G36" s="173" t="s">
        <v>691</v>
      </c>
      <c r="H36" s="176"/>
      <c r="I36" s="202" t="s">
        <v>692</v>
      </c>
      <c r="J36" s="177" t="s">
        <v>59</v>
      </c>
      <c r="K36" s="176" t="s">
        <v>699</v>
      </c>
      <c r="L36" s="343" t="s">
        <v>700</v>
      </c>
      <c r="M36" s="176" t="s">
        <v>621</v>
      </c>
    </row>
    <row r="37" spans="1:18" ht="180">
      <c r="A37" s="176" t="s">
        <v>701</v>
      </c>
      <c r="B37" s="250"/>
      <c r="C37" s="250"/>
      <c r="D37" s="184" t="s">
        <v>616</v>
      </c>
      <c r="E37" s="194" t="s">
        <v>702</v>
      </c>
      <c r="F37" s="184" t="s">
        <v>618</v>
      </c>
      <c r="G37" s="173" t="s">
        <v>691</v>
      </c>
      <c r="H37" s="176"/>
      <c r="I37" s="202" t="s">
        <v>692</v>
      </c>
      <c r="J37" s="177" t="s">
        <v>59</v>
      </c>
      <c r="K37" s="122"/>
      <c r="L37" s="189"/>
      <c r="M37" s="176" t="s">
        <v>621</v>
      </c>
    </row>
    <row r="38" spans="1:18" ht="180">
      <c r="A38" s="176" t="s">
        <v>703</v>
      </c>
      <c r="B38" s="250"/>
      <c r="C38" s="250"/>
      <c r="D38" s="184" t="s">
        <v>616</v>
      </c>
      <c r="E38" s="194" t="s">
        <v>704</v>
      </c>
      <c r="F38" s="184" t="s">
        <v>618</v>
      </c>
      <c r="G38" s="173" t="s">
        <v>691</v>
      </c>
      <c r="H38" s="176"/>
      <c r="I38" s="202" t="s">
        <v>692</v>
      </c>
      <c r="J38" s="177" t="s">
        <v>59</v>
      </c>
      <c r="K38" s="122"/>
      <c r="L38" s="189"/>
      <c r="M38" s="176" t="s">
        <v>621</v>
      </c>
    </row>
    <row r="39" spans="1:18" ht="180">
      <c r="A39" s="176" t="s">
        <v>705</v>
      </c>
      <c r="B39" s="250"/>
      <c r="C39" s="250"/>
      <c r="D39" s="184" t="s">
        <v>616</v>
      </c>
      <c r="E39" s="194" t="s">
        <v>706</v>
      </c>
      <c r="F39" s="184" t="s">
        <v>618</v>
      </c>
      <c r="G39" s="173" t="s">
        <v>691</v>
      </c>
      <c r="H39" s="176"/>
      <c r="I39" s="202" t="s">
        <v>692</v>
      </c>
      <c r="J39" s="177" t="s">
        <v>59</v>
      </c>
      <c r="K39" s="122"/>
      <c r="L39" s="189"/>
      <c r="M39" s="176" t="s">
        <v>621</v>
      </c>
    </row>
    <row r="40" spans="1:18" ht="180">
      <c r="A40" s="176" t="s">
        <v>707</v>
      </c>
      <c r="B40" s="174"/>
      <c r="C40" s="174"/>
      <c r="D40" s="184" t="s">
        <v>616</v>
      </c>
      <c r="E40" s="194" t="s">
        <v>708</v>
      </c>
      <c r="F40" s="184" t="s">
        <v>618</v>
      </c>
      <c r="G40" s="173" t="s">
        <v>691</v>
      </c>
      <c r="H40" s="176"/>
      <c r="I40" s="202" t="s">
        <v>692</v>
      </c>
      <c r="J40" s="177" t="s">
        <v>59</v>
      </c>
      <c r="K40" s="122"/>
      <c r="L40" s="189"/>
      <c r="M40" s="176" t="s">
        <v>621</v>
      </c>
    </row>
    <row r="41" spans="1:18">
      <c r="A41" s="494" t="s">
        <v>709</v>
      </c>
      <c r="B41" s="495"/>
      <c r="C41" s="495"/>
      <c r="D41" s="495"/>
      <c r="E41" s="495"/>
      <c r="F41" s="495"/>
      <c r="G41" s="495"/>
      <c r="H41" s="495"/>
      <c r="I41" s="495"/>
      <c r="J41" s="495"/>
      <c r="K41" s="495"/>
      <c r="L41" s="495"/>
      <c r="M41" s="496"/>
      <c r="N41" s="17">
        <f>COUNTIF($J42:J64,"PASS")</f>
        <v>23</v>
      </c>
      <c r="O41" s="17">
        <f>COUNTIF($J42:J64,"FAIL")</f>
        <v>0</v>
      </c>
      <c r="P41" s="17">
        <f>COUNTBLANK(J42:J64)</f>
        <v>0</v>
      </c>
      <c r="Q41" s="17">
        <f>COUNTIF($J42:J64,"IN PROGRESS")</f>
        <v>0</v>
      </c>
      <c r="R41" s="17">
        <f>COUNTIF($J42:J64,"BLOCKED")</f>
        <v>0</v>
      </c>
    </row>
    <row r="42" spans="1:18" ht="228" customHeight="1">
      <c r="A42" s="176" t="s">
        <v>710</v>
      </c>
      <c r="B42" s="249" t="s">
        <v>615</v>
      </c>
      <c r="C42" s="249" t="s">
        <v>54</v>
      </c>
      <c r="D42" s="184" t="s">
        <v>616</v>
      </c>
      <c r="E42" s="193" t="s">
        <v>711</v>
      </c>
      <c r="F42" s="184" t="s">
        <v>618</v>
      </c>
      <c r="G42" s="173" t="s">
        <v>712</v>
      </c>
      <c r="H42" s="176"/>
      <c r="I42" s="185" t="s">
        <v>713</v>
      </c>
      <c r="J42" s="177" t="s">
        <v>59</v>
      </c>
      <c r="K42" s="122"/>
      <c r="L42" s="189"/>
      <c r="M42" s="176" t="s">
        <v>621</v>
      </c>
    </row>
    <row r="43" spans="1:18" ht="213.75" customHeight="1">
      <c r="A43" s="176" t="s">
        <v>714</v>
      </c>
      <c r="B43" s="250"/>
      <c r="C43" s="250"/>
      <c r="D43" s="184" t="s">
        <v>616</v>
      </c>
      <c r="E43" s="194" t="s">
        <v>715</v>
      </c>
      <c r="F43" s="184" t="s">
        <v>618</v>
      </c>
      <c r="G43" s="173" t="s">
        <v>712</v>
      </c>
      <c r="H43" s="176"/>
      <c r="I43" s="185" t="s">
        <v>713</v>
      </c>
      <c r="J43" s="177" t="s">
        <v>59</v>
      </c>
      <c r="K43" s="122"/>
      <c r="L43" s="189"/>
      <c r="M43" s="176" t="s">
        <v>621</v>
      </c>
    </row>
    <row r="44" spans="1:18" ht="195">
      <c r="A44" s="176" t="s">
        <v>716</v>
      </c>
      <c r="B44" s="250"/>
      <c r="C44" s="250"/>
      <c r="D44" s="184" t="s">
        <v>616</v>
      </c>
      <c r="E44" s="194" t="s">
        <v>717</v>
      </c>
      <c r="F44" s="184" t="s">
        <v>618</v>
      </c>
      <c r="G44" s="173" t="s">
        <v>712</v>
      </c>
      <c r="H44" s="176"/>
      <c r="I44" s="185" t="s">
        <v>713</v>
      </c>
      <c r="J44" s="177" t="s">
        <v>59</v>
      </c>
      <c r="K44" s="122"/>
      <c r="L44" s="189"/>
      <c r="M44" s="176" t="s">
        <v>621</v>
      </c>
    </row>
    <row r="45" spans="1:18" ht="213.75" customHeight="1">
      <c r="A45" s="176" t="s">
        <v>718</v>
      </c>
      <c r="B45" s="250"/>
      <c r="C45" s="250"/>
      <c r="D45" s="184" t="s">
        <v>616</v>
      </c>
      <c r="E45" s="203" t="s">
        <v>719</v>
      </c>
      <c r="F45" s="184" t="s">
        <v>618</v>
      </c>
      <c r="G45" s="173" t="s">
        <v>712</v>
      </c>
      <c r="H45" s="176"/>
      <c r="I45" s="185" t="s">
        <v>713</v>
      </c>
      <c r="J45" s="177" t="s">
        <v>59</v>
      </c>
      <c r="K45" s="122"/>
      <c r="L45" s="189"/>
      <c r="M45" s="176" t="s">
        <v>621</v>
      </c>
    </row>
    <row r="46" spans="1:18" ht="195">
      <c r="A46" s="176" t="s">
        <v>720</v>
      </c>
      <c r="B46" s="250"/>
      <c r="C46" s="250"/>
      <c r="D46" s="184" t="s">
        <v>616</v>
      </c>
      <c r="E46" s="203" t="s">
        <v>721</v>
      </c>
      <c r="F46" s="184" t="s">
        <v>618</v>
      </c>
      <c r="G46" s="173" t="s">
        <v>712</v>
      </c>
      <c r="H46" s="176"/>
      <c r="I46" s="185" t="s">
        <v>713</v>
      </c>
      <c r="J46" s="177" t="s">
        <v>59</v>
      </c>
      <c r="K46" s="122"/>
      <c r="L46" s="189"/>
      <c r="M46" s="176" t="s">
        <v>621</v>
      </c>
    </row>
    <row r="47" spans="1:18" ht="200.25" customHeight="1">
      <c r="A47" s="176" t="s">
        <v>722</v>
      </c>
      <c r="B47" s="250"/>
      <c r="C47" s="250"/>
      <c r="D47" s="184" t="s">
        <v>616</v>
      </c>
      <c r="E47" s="203" t="s">
        <v>723</v>
      </c>
      <c r="F47" s="184" t="s">
        <v>618</v>
      </c>
      <c r="G47" s="173" t="s">
        <v>712</v>
      </c>
      <c r="H47" s="176"/>
      <c r="I47" s="185" t="s">
        <v>713</v>
      </c>
      <c r="J47" s="177" t="s">
        <v>59</v>
      </c>
      <c r="K47" s="122"/>
      <c r="L47" s="189"/>
      <c r="M47" s="176" t="s">
        <v>621</v>
      </c>
    </row>
    <row r="48" spans="1:18" ht="201" customHeight="1">
      <c r="A48" s="176" t="s">
        <v>724</v>
      </c>
      <c r="B48" s="250"/>
      <c r="C48" s="250"/>
      <c r="D48" s="184" t="s">
        <v>616</v>
      </c>
      <c r="E48" s="203" t="s">
        <v>725</v>
      </c>
      <c r="F48" s="184" t="s">
        <v>618</v>
      </c>
      <c r="G48" s="173" t="s">
        <v>712</v>
      </c>
      <c r="H48" s="176"/>
      <c r="I48" s="185" t="s">
        <v>713</v>
      </c>
      <c r="J48" s="177" t="s">
        <v>59</v>
      </c>
      <c r="K48" s="122"/>
      <c r="L48" s="189"/>
      <c r="M48" s="176" t="s">
        <v>621</v>
      </c>
    </row>
    <row r="49" spans="1:13" ht="201.75" customHeight="1">
      <c r="A49" s="176" t="s">
        <v>726</v>
      </c>
      <c r="B49" s="250"/>
      <c r="C49" s="250"/>
      <c r="D49" s="184" t="s">
        <v>616</v>
      </c>
      <c r="E49" s="203" t="s">
        <v>727</v>
      </c>
      <c r="F49" s="184" t="s">
        <v>618</v>
      </c>
      <c r="G49" s="173" t="s">
        <v>712</v>
      </c>
      <c r="H49" s="176"/>
      <c r="I49" s="185" t="s">
        <v>713</v>
      </c>
      <c r="J49" s="177" t="s">
        <v>59</v>
      </c>
      <c r="K49" s="122"/>
      <c r="L49" s="189"/>
      <c r="M49" s="176" t="s">
        <v>621</v>
      </c>
    </row>
    <row r="50" spans="1:13" ht="201.75" customHeight="1">
      <c r="A50" s="176" t="s">
        <v>728</v>
      </c>
      <c r="B50" s="250"/>
      <c r="C50" s="250"/>
      <c r="D50" s="184" t="s">
        <v>616</v>
      </c>
      <c r="E50" s="203" t="s">
        <v>729</v>
      </c>
      <c r="F50" s="184" t="s">
        <v>618</v>
      </c>
      <c r="G50" s="173" t="s">
        <v>712</v>
      </c>
      <c r="H50" s="176"/>
      <c r="I50" s="185" t="s">
        <v>713</v>
      </c>
      <c r="J50" s="177" t="s">
        <v>59</v>
      </c>
      <c r="K50" s="122"/>
      <c r="L50" s="189"/>
      <c r="M50" s="176" t="s">
        <v>621</v>
      </c>
    </row>
    <row r="51" spans="1:13" ht="198.75" customHeight="1">
      <c r="A51" s="176" t="s">
        <v>730</v>
      </c>
      <c r="B51" s="250"/>
      <c r="C51" s="250"/>
      <c r="D51" s="184" t="s">
        <v>616</v>
      </c>
      <c r="E51" s="203" t="s">
        <v>731</v>
      </c>
      <c r="F51" s="184" t="s">
        <v>618</v>
      </c>
      <c r="G51" s="173" t="s">
        <v>712</v>
      </c>
      <c r="H51" s="176"/>
      <c r="I51" s="185" t="s">
        <v>713</v>
      </c>
      <c r="J51" s="177" t="s">
        <v>59</v>
      </c>
      <c r="K51" s="122"/>
      <c r="L51" s="189"/>
      <c r="M51" s="176" t="s">
        <v>621</v>
      </c>
    </row>
    <row r="52" spans="1:13" ht="198" customHeight="1">
      <c r="A52" s="176" t="s">
        <v>732</v>
      </c>
      <c r="B52" s="250"/>
      <c r="C52" s="250"/>
      <c r="D52" s="184" t="s">
        <v>616</v>
      </c>
      <c r="E52" s="203" t="s">
        <v>733</v>
      </c>
      <c r="F52" s="184" t="s">
        <v>618</v>
      </c>
      <c r="G52" s="173" t="s">
        <v>712</v>
      </c>
      <c r="H52" s="176"/>
      <c r="I52" s="185" t="s">
        <v>713</v>
      </c>
      <c r="J52" s="177" t="s">
        <v>59</v>
      </c>
      <c r="K52" s="122"/>
      <c r="L52" s="189"/>
      <c r="M52" s="176" t="s">
        <v>621</v>
      </c>
    </row>
    <row r="53" spans="1:13" ht="199.5" customHeight="1">
      <c r="A53" s="176" t="s">
        <v>734</v>
      </c>
      <c r="B53" s="250"/>
      <c r="C53" s="250"/>
      <c r="D53" s="184" t="s">
        <v>616</v>
      </c>
      <c r="E53" s="203" t="s">
        <v>735</v>
      </c>
      <c r="F53" s="184" t="s">
        <v>618</v>
      </c>
      <c r="G53" s="173" t="s">
        <v>712</v>
      </c>
      <c r="H53" s="176"/>
      <c r="I53" s="185" t="s">
        <v>713</v>
      </c>
      <c r="J53" s="177" t="s">
        <v>59</v>
      </c>
      <c r="K53" s="122"/>
      <c r="L53" s="189"/>
      <c r="M53" s="176" t="s">
        <v>621</v>
      </c>
    </row>
    <row r="54" spans="1:13" ht="207.75" customHeight="1">
      <c r="A54" s="176" t="s">
        <v>736</v>
      </c>
      <c r="B54" s="250"/>
      <c r="C54" s="250"/>
      <c r="D54" s="184" t="s">
        <v>616</v>
      </c>
      <c r="E54" s="203" t="s">
        <v>737</v>
      </c>
      <c r="F54" s="184" t="s">
        <v>618</v>
      </c>
      <c r="G54" s="173" t="s">
        <v>712</v>
      </c>
      <c r="H54" s="176"/>
      <c r="I54" s="185" t="s">
        <v>713</v>
      </c>
      <c r="J54" s="177" t="s">
        <v>59</v>
      </c>
      <c r="K54" s="122"/>
      <c r="L54" s="189"/>
      <c r="M54" s="176" t="s">
        <v>621</v>
      </c>
    </row>
    <row r="55" spans="1:13" ht="209.25" customHeight="1">
      <c r="A55" s="176" t="s">
        <v>738</v>
      </c>
      <c r="B55" s="250"/>
      <c r="C55" s="250"/>
      <c r="D55" s="184" t="s">
        <v>616</v>
      </c>
      <c r="E55" s="203" t="s">
        <v>739</v>
      </c>
      <c r="F55" s="184" t="s">
        <v>618</v>
      </c>
      <c r="G55" s="173" t="s">
        <v>712</v>
      </c>
      <c r="H55" s="176"/>
      <c r="I55" s="185" t="s">
        <v>713</v>
      </c>
      <c r="J55" s="177" t="s">
        <v>59</v>
      </c>
      <c r="K55" s="122"/>
      <c r="L55" s="189"/>
      <c r="M55" s="176" t="s">
        <v>621</v>
      </c>
    </row>
    <row r="56" spans="1:13" ht="200.25" customHeight="1">
      <c r="A56" s="176" t="s">
        <v>740</v>
      </c>
      <c r="B56" s="250"/>
      <c r="C56" s="250"/>
      <c r="D56" s="184" t="s">
        <v>616</v>
      </c>
      <c r="E56" s="203" t="s">
        <v>741</v>
      </c>
      <c r="F56" s="184" t="s">
        <v>618</v>
      </c>
      <c r="G56" s="173" t="s">
        <v>712</v>
      </c>
      <c r="H56" s="176"/>
      <c r="I56" s="185" t="s">
        <v>713</v>
      </c>
      <c r="J56" s="177" t="s">
        <v>59</v>
      </c>
      <c r="K56" s="122"/>
      <c r="L56" s="189"/>
      <c r="M56" s="176" t="s">
        <v>621</v>
      </c>
    </row>
    <row r="57" spans="1:13" ht="210" customHeight="1">
      <c r="A57" s="176" t="s">
        <v>742</v>
      </c>
      <c r="B57" s="250"/>
      <c r="C57" s="250"/>
      <c r="D57" s="184" t="s">
        <v>616</v>
      </c>
      <c r="E57" s="203" t="s">
        <v>743</v>
      </c>
      <c r="F57" s="184" t="s">
        <v>618</v>
      </c>
      <c r="G57" s="173" t="s">
        <v>712</v>
      </c>
      <c r="H57" s="176"/>
      <c r="I57" s="185" t="s">
        <v>713</v>
      </c>
      <c r="J57" s="177" t="s">
        <v>59</v>
      </c>
      <c r="K57" s="122"/>
      <c r="L57" s="189"/>
      <c r="M57" s="176" t="s">
        <v>621</v>
      </c>
    </row>
    <row r="58" spans="1:13" ht="195">
      <c r="A58" s="176" t="s">
        <v>744</v>
      </c>
      <c r="B58" s="250"/>
      <c r="C58" s="250"/>
      <c r="D58" s="184" t="s">
        <v>616</v>
      </c>
      <c r="E58" s="203" t="s">
        <v>745</v>
      </c>
      <c r="F58" s="184" t="s">
        <v>618</v>
      </c>
      <c r="G58" s="173" t="s">
        <v>712</v>
      </c>
      <c r="H58" s="176"/>
      <c r="I58" s="185" t="s">
        <v>713</v>
      </c>
      <c r="J58" s="177" t="s">
        <v>59</v>
      </c>
      <c r="K58" s="122"/>
      <c r="L58" s="189"/>
      <c r="M58" s="176" t="s">
        <v>621</v>
      </c>
    </row>
    <row r="59" spans="1:13" ht="195">
      <c r="A59" s="176" t="s">
        <v>746</v>
      </c>
      <c r="B59" s="250"/>
      <c r="C59" s="250"/>
      <c r="D59" s="184" t="s">
        <v>616</v>
      </c>
      <c r="E59" s="203" t="s">
        <v>747</v>
      </c>
      <c r="F59" s="184" t="s">
        <v>618</v>
      </c>
      <c r="G59" s="173" t="s">
        <v>712</v>
      </c>
      <c r="H59" s="176"/>
      <c r="I59" s="185" t="s">
        <v>713</v>
      </c>
      <c r="J59" s="177" t="s">
        <v>59</v>
      </c>
      <c r="K59" s="122"/>
      <c r="L59" s="189"/>
      <c r="M59" s="176" t="s">
        <v>621</v>
      </c>
    </row>
    <row r="60" spans="1:13" ht="198.75" customHeight="1">
      <c r="A60" s="176" t="s">
        <v>748</v>
      </c>
      <c r="B60" s="250"/>
      <c r="C60" s="250"/>
      <c r="D60" s="184" t="s">
        <v>616</v>
      </c>
      <c r="E60" s="203" t="s">
        <v>749</v>
      </c>
      <c r="F60" s="184" t="s">
        <v>618</v>
      </c>
      <c r="G60" s="173" t="s">
        <v>712</v>
      </c>
      <c r="H60" s="176"/>
      <c r="I60" s="185" t="s">
        <v>713</v>
      </c>
      <c r="J60" s="177" t="s">
        <v>59</v>
      </c>
      <c r="K60" s="122"/>
      <c r="L60" s="189"/>
      <c r="M60" s="176" t="s">
        <v>621</v>
      </c>
    </row>
    <row r="61" spans="1:13" ht="198.75" customHeight="1">
      <c r="A61" s="176" t="s">
        <v>750</v>
      </c>
      <c r="B61" s="250"/>
      <c r="C61" s="250"/>
      <c r="D61" s="184" t="s">
        <v>616</v>
      </c>
      <c r="E61" s="203" t="s">
        <v>751</v>
      </c>
      <c r="F61" s="184" t="s">
        <v>618</v>
      </c>
      <c r="G61" s="173" t="s">
        <v>712</v>
      </c>
      <c r="H61" s="176"/>
      <c r="I61" s="185" t="s">
        <v>713</v>
      </c>
      <c r="J61" s="177" t="s">
        <v>59</v>
      </c>
      <c r="K61" s="122"/>
      <c r="L61" s="189"/>
      <c r="M61" s="176" t="s">
        <v>621</v>
      </c>
    </row>
    <row r="62" spans="1:13" ht="195">
      <c r="A62" s="176" t="s">
        <v>752</v>
      </c>
      <c r="B62" s="250"/>
      <c r="C62" s="250"/>
      <c r="D62" s="184" t="s">
        <v>616</v>
      </c>
      <c r="E62" s="203" t="s">
        <v>753</v>
      </c>
      <c r="F62" s="184" t="s">
        <v>618</v>
      </c>
      <c r="G62" s="173" t="s">
        <v>712</v>
      </c>
      <c r="H62" s="122"/>
      <c r="I62" s="185" t="s">
        <v>713</v>
      </c>
      <c r="J62" s="177" t="s">
        <v>59</v>
      </c>
      <c r="K62" s="122"/>
      <c r="L62" s="189"/>
      <c r="M62" s="176" t="s">
        <v>621</v>
      </c>
    </row>
    <row r="63" spans="1:13" ht="206.25" customHeight="1">
      <c r="A63" s="176" t="s">
        <v>754</v>
      </c>
      <c r="B63" s="250"/>
      <c r="C63" s="250"/>
      <c r="D63" s="184" t="s">
        <v>616</v>
      </c>
      <c r="E63" s="203" t="s">
        <v>755</v>
      </c>
      <c r="F63" s="184" t="s">
        <v>618</v>
      </c>
      <c r="G63" s="173" t="s">
        <v>712</v>
      </c>
      <c r="H63" s="122"/>
      <c r="I63" s="185" t="s">
        <v>713</v>
      </c>
      <c r="J63" s="177" t="s">
        <v>59</v>
      </c>
      <c r="K63" s="122"/>
      <c r="L63" s="189"/>
      <c r="M63" s="176" t="s">
        <v>621</v>
      </c>
    </row>
    <row r="64" spans="1:13" ht="215.25" customHeight="1">
      <c r="A64" s="176" t="s">
        <v>756</v>
      </c>
      <c r="B64" s="174"/>
      <c r="C64" s="174"/>
      <c r="D64" s="184" t="s">
        <v>616</v>
      </c>
      <c r="E64" s="203" t="s">
        <v>757</v>
      </c>
      <c r="F64" s="184" t="s">
        <v>618</v>
      </c>
      <c r="G64" s="173" t="s">
        <v>712</v>
      </c>
      <c r="H64" s="122"/>
      <c r="I64" s="185" t="s">
        <v>713</v>
      </c>
      <c r="J64" s="177" t="s">
        <v>59</v>
      </c>
      <c r="K64" s="122"/>
      <c r="L64" s="189"/>
      <c r="M64" s="176" t="s">
        <v>621</v>
      </c>
    </row>
    <row r="65" spans="1:18">
      <c r="A65" s="505" t="s">
        <v>758</v>
      </c>
      <c r="B65" s="506"/>
      <c r="C65" s="506"/>
      <c r="D65" s="506"/>
      <c r="E65" s="506"/>
      <c r="F65" s="506"/>
      <c r="G65" s="506"/>
      <c r="H65" s="506"/>
      <c r="I65" s="506"/>
      <c r="J65" s="506"/>
      <c r="K65" s="506"/>
      <c r="L65" s="506"/>
      <c r="M65" s="507"/>
      <c r="N65" s="17">
        <f>COUNTIF($J66:J70,"PASS")</f>
        <v>5</v>
      </c>
      <c r="O65" s="17">
        <f>COUNTIF($J66:J70,"FAIL")</f>
        <v>0</v>
      </c>
      <c r="P65" s="17">
        <f>COUNTBLANK(J66:J70)</f>
        <v>0</v>
      </c>
      <c r="Q65" s="17">
        <f>COUNTIF($J66:J70,"IN PROGRESS")</f>
        <v>0</v>
      </c>
      <c r="R65" s="17">
        <f>COUNTIF($J66:J70,"BLOCKED")</f>
        <v>0</v>
      </c>
    </row>
    <row r="66" spans="1:18" ht="277.5" customHeight="1">
      <c r="A66" s="176" t="s">
        <v>759</v>
      </c>
      <c r="B66" s="450" t="s">
        <v>615</v>
      </c>
      <c r="C66" s="450" t="s">
        <v>54</v>
      </c>
      <c r="D66" s="184" t="s">
        <v>616</v>
      </c>
      <c r="E66" s="204" t="s">
        <v>760</v>
      </c>
      <c r="F66" s="184" t="s">
        <v>618</v>
      </c>
      <c r="G66" s="173" t="s">
        <v>761</v>
      </c>
      <c r="H66" s="122"/>
      <c r="I66" s="185" t="s">
        <v>762</v>
      </c>
      <c r="J66" s="177" t="s">
        <v>59</v>
      </c>
      <c r="K66" s="122"/>
      <c r="L66" s="189"/>
      <c r="M66" s="176" t="s">
        <v>621</v>
      </c>
    </row>
    <row r="67" spans="1:18" ht="276" customHeight="1">
      <c r="A67" s="176" t="s">
        <v>763</v>
      </c>
      <c r="B67" s="477"/>
      <c r="C67" s="477"/>
      <c r="D67" s="184" t="s">
        <v>616</v>
      </c>
      <c r="E67" s="203" t="s">
        <v>764</v>
      </c>
      <c r="F67" s="184" t="s">
        <v>618</v>
      </c>
      <c r="G67" s="173" t="s">
        <v>761</v>
      </c>
      <c r="H67" s="122"/>
      <c r="I67" s="192" t="s">
        <v>762</v>
      </c>
      <c r="J67" s="177" t="s">
        <v>59</v>
      </c>
      <c r="K67" s="122"/>
      <c r="L67" s="189"/>
      <c r="M67" s="176" t="s">
        <v>621</v>
      </c>
    </row>
    <row r="68" spans="1:18" ht="285" customHeight="1">
      <c r="A68" s="176" t="s">
        <v>765</v>
      </c>
      <c r="B68" s="477"/>
      <c r="C68" s="477"/>
      <c r="D68" s="184" t="s">
        <v>616</v>
      </c>
      <c r="E68" s="203" t="s">
        <v>766</v>
      </c>
      <c r="F68" s="184" t="s">
        <v>618</v>
      </c>
      <c r="G68" s="173" t="s">
        <v>761</v>
      </c>
      <c r="H68" s="122"/>
      <c r="I68" s="192" t="s">
        <v>762</v>
      </c>
      <c r="J68" s="177" t="s">
        <v>59</v>
      </c>
      <c r="K68" s="122"/>
      <c r="L68" s="189"/>
      <c r="M68" s="176" t="s">
        <v>621</v>
      </c>
    </row>
    <row r="69" spans="1:18" ht="281.25" customHeight="1">
      <c r="A69" s="176" t="s">
        <v>767</v>
      </c>
      <c r="B69" s="477"/>
      <c r="C69" s="477"/>
      <c r="D69" s="184" t="s">
        <v>616</v>
      </c>
      <c r="E69" s="203" t="s">
        <v>768</v>
      </c>
      <c r="F69" s="184" t="s">
        <v>618</v>
      </c>
      <c r="G69" s="173" t="s">
        <v>761</v>
      </c>
      <c r="H69" s="122"/>
      <c r="I69" s="192" t="s">
        <v>762</v>
      </c>
      <c r="J69" s="186" t="s">
        <v>59</v>
      </c>
      <c r="K69" s="122"/>
      <c r="L69" s="189"/>
      <c r="M69" s="176" t="s">
        <v>621</v>
      </c>
    </row>
    <row r="70" spans="1:18" ht="273" customHeight="1">
      <c r="A70" s="176" t="s">
        <v>769</v>
      </c>
      <c r="B70" s="478"/>
      <c r="C70" s="478"/>
      <c r="D70" s="184" t="s">
        <v>616</v>
      </c>
      <c r="E70" s="203" t="s">
        <v>770</v>
      </c>
      <c r="F70" s="184" t="s">
        <v>618</v>
      </c>
      <c r="G70" s="173" t="s">
        <v>761</v>
      </c>
      <c r="H70" s="122"/>
      <c r="I70" s="192" t="s">
        <v>762</v>
      </c>
      <c r="J70" s="177" t="s">
        <v>59</v>
      </c>
      <c r="K70" s="122"/>
      <c r="L70" s="189"/>
      <c r="M70" s="176" t="s">
        <v>621</v>
      </c>
    </row>
    <row r="71" spans="1:18" ht="14.25" customHeight="1">
      <c r="A71" s="448" t="s">
        <v>771</v>
      </c>
      <c r="B71" s="448"/>
      <c r="C71" s="448"/>
      <c r="D71" s="448"/>
      <c r="E71" s="448"/>
      <c r="F71" s="448"/>
      <c r="G71" s="448"/>
      <c r="H71" s="448"/>
      <c r="I71" s="448"/>
      <c r="J71" s="448"/>
      <c r="K71" s="448"/>
      <c r="L71" s="448"/>
      <c r="M71" s="448"/>
      <c r="N71" s="313">
        <f>COUNTIF($J72:J73,"PASS")</f>
        <v>2</v>
      </c>
      <c r="O71" s="313">
        <f>COUNTIF($J72:J73,"FAIL")</f>
        <v>0</v>
      </c>
      <c r="P71" s="313">
        <f>COUNTBLANK(J72:J73)</f>
        <v>0</v>
      </c>
      <c r="Q71" s="313">
        <f>COUNTIF($J72:J73,"IN PROGRESS")</f>
        <v>0</v>
      </c>
      <c r="R71" s="313">
        <f>COUNTIF($J72:J73,"BLOCKED")</f>
        <v>0</v>
      </c>
    </row>
    <row r="72" spans="1:18" ht="192.75" customHeight="1">
      <c r="A72" s="176" t="s">
        <v>772</v>
      </c>
      <c r="B72" s="503" t="s">
        <v>773</v>
      </c>
      <c r="C72" s="450" t="s">
        <v>54</v>
      </c>
      <c r="D72" s="207" t="s">
        <v>774</v>
      </c>
      <c r="E72" s="315" t="s">
        <v>775</v>
      </c>
      <c r="F72" s="173" t="s">
        <v>776</v>
      </c>
      <c r="G72" s="122"/>
      <c r="H72" s="122"/>
      <c r="I72" s="501" t="s">
        <v>488</v>
      </c>
      <c r="J72" s="312" t="s">
        <v>59</v>
      </c>
      <c r="K72" s="176" t="s">
        <v>777</v>
      </c>
      <c r="L72" s="122"/>
      <c r="M72" s="176" t="s">
        <v>621</v>
      </c>
    </row>
    <row r="73" spans="1:18" ht="137.25" customHeight="1">
      <c r="A73" s="176" t="s">
        <v>778</v>
      </c>
      <c r="B73" s="504"/>
      <c r="C73" s="478"/>
      <c r="D73" s="207" t="s">
        <v>779</v>
      </c>
      <c r="E73" s="315" t="s">
        <v>780</v>
      </c>
      <c r="F73" s="173" t="s">
        <v>781</v>
      </c>
      <c r="G73" s="122"/>
      <c r="H73" s="122"/>
      <c r="I73" s="502"/>
      <c r="J73" s="312" t="s">
        <v>59</v>
      </c>
      <c r="K73" s="176" t="s">
        <v>777</v>
      </c>
      <c r="L73" s="122"/>
      <c r="M73" s="176" t="s">
        <v>621</v>
      </c>
    </row>
    <row r="74" spans="1:18">
      <c r="A74" s="448" t="s">
        <v>782</v>
      </c>
      <c r="B74" s="448"/>
      <c r="C74" s="448"/>
      <c r="D74" s="448"/>
      <c r="E74" s="448"/>
      <c r="F74" s="448"/>
      <c r="G74" s="448"/>
      <c r="H74" s="448"/>
      <c r="I74" s="448"/>
      <c r="J74" s="448"/>
      <c r="K74" s="448"/>
      <c r="L74" s="448"/>
      <c r="M74" s="448"/>
      <c r="N74" s="313">
        <f>COUNTIF($J75:J76,"PASS")</f>
        <v>2</v>
      </c>
      <c r="O74" s="313">
        <f>COUNTIF($J75:J76,"FAIL")</f>
        <v>0</v>
      </c>
      <c r="P74" s="313">
        <f>COUNTBLANK(J75:J76)</f>
        <v>0</v>
      </c>
      <c r="Q74" s="313">
        <f>COUNTIF($J75:J76,"IN PROGRESS")</f>
        <v>0</v>
      </c>
    </row>
    <row r="75" spans="1:18" ht="69.75" customHeight="1">
      <c r="A75" s="184" t="s">
        <v>783</v>
      </c>
      <c r="B75" s="184" t="s">
        <v>784</v>
      </c>
      <c r="C75" s="184" t="s">
        <v>54</v>
      </c>
      <c r="D75" s="184" t="s">
        <v>785</v>
      </c>
      <c r="E75" s="184" t="s">
        <v>786</v>
      </c>
      <c r="F75" s="343" t="s">
        <v>787</v>
      </c>
      <c r="G75" s="122"/>
      <c r="H75" s="122"/>
      <c r="I75" s="492" t="s">
        <v>788</v>
      </c>
      <c r="J75" s="312" t="s">
        <v>59</v>
      </c>
      <c r="K75" s="176" t="s">
        <v>789</v>
      </c>
      <c r="L75" s="122"/>
      <c r="M75" s="176" t="s">
        <v>621</v>
      </c>
    </row>
    <row r="76" spans="1:18" ht="71.25" customHeight="1">
      <c r="A76" s="184" t="s">
        <v>790</v>
      </c>
      <c r="B76" s="184" t="s">
        <v>784</v>
      </c>
      <c r="C76" s="184" t="s">
        <v>54</v>
      </c>
      <c r="D76" s="184" t="s">
        <v>785</v>
      </c>
      <c r="E76" s="184" t="s">
        <v>791</v>
      </c>
      <c r="F76" s="343" t="s">
        <v>792</v>
      </c>
      <c r="G76" s="122"/>
      <c r="H76" s="122"/>
      <c r="I76" s="493"/>
      <c r="J76" s="312" t="s">
        <v>59</v>
      </c>
      <c r="K76" s="176" t="s">
        <v>789</v>
      </c>
      <c r="L76" s="122"/>
      <c r="M76" s="176" t="s">
        <v>621</v>
      </c>
    </row>
    <row r="77" spans="1:18">
      <c r="J77" s="180"/>
    </row>
    <row r="78" spans="1:18">
      <c r="J78" s="180"/>
    </row>
    <row r="79" spans="1:18">
      <c r="J79" s="180"/>
    </row>
    <row r="80" spans="1:18">
      <c r="J80" s="180"/>
    </row>
    <row r="81" spans="10:10">
      <c r="J81" s="180"/>
    </row>
    <row r="82" spans="10:10">
      <c r="J82" s="180"/>
    </row>
    <row r="83" spans="10:10">
      <c r="J83" s="180"/>
    </row>
    <row r="84" spans="10:10">
      <c r="J84" s="180"/>
    </row>
    <row r="85" spans="10:10">
      <c r="J85" s="179"/>
    </row>
    <row r="86" spans="10:10">
      <c r="J86" s="180"/>
    </row>
    <row r="87" spans="10:10">
      <c r="J87" s="180"/>
    </row>
    <row r="88" spans="10:10">
      <c r="J88" s="180"/>
    </row>
    <row r="89" spans="10:10">
      <c r="J89" s="180"/>
    </row>
    <row r="90" spans="10:10">
      <c r="J90" s="180"/>
    </row>
    <row r="91" spans="10:10">
      <c r="J91" s="180"/>
    </row>
    <row r="92" spans="10:10">
      <c r="J92" s="180"/>
    </row>
    <row r="93" spans="10:10">
      <c r="J93" s="180"/>
    </row>
    <row r="94" spans="10:10">
      <c r="J94" s="180"/>
    </row>
    <row r="95" spans="10:10">
      <c r="J95" s="180"/>
    </row>
    <row r="96" spans="10:10">
      <c r="J96" s="180"/>
    </row>
    <row r="97" spans="10:10">
      <c r="J97" s="180"/>
    </row>
    <row r="98" spans="10:10">
      <c r="J98" s="180"/>
    </row>
    <row r="99" spans="10:10">
      <c r="J99" s="180"/>
    </row>
    <row r="100" spans="10:10">
      <c r="J100" s="180"/>
    </row>
    <row r="101" spans="10:10">
      <c r="J101" s="180"/>
    </row>
    <row r="102" spans="10:10">
      <c r="J102" s="180"/>
    </row>
    <row r="103" spans="10:10">
      <c r="J103" s="180"/>
    </row>
    <row r="104" spans="10:10">
      <c r="J104" s="180"/>
    </row>
    <row r="105" spans="10:10">
      <c r="J105" s="180"/>
    </row>
    <row r="106" spans="10:10">
      <c r="J106" s="181"/>
    </row>
    <row r="107" spans="10:10">
      <c r="J107" s="181"/>
    </row>
    <row r="108" spans="10:10">
      <c r="J108" s="181"/>
    </row>
    <row r="109" spans="10:10">
      <c r="J109" s="179"/>
    </row>
    <row r="110" spans="10:10">
      <c r="J110" s="180"/>
    </row>
    <row r="111" spans="10:10">
      <c r="J111" s="180"/>
    </row>
    <row r="112" spans="10:10">
      <c r="J112" s="180"/>
    </row>
    <row r="113" spans="10:10">
      <c r="J113" s="180"/>
    </row>
    <row r="114" spans="10:10">
      <c r="J114" s="180"/>
    </row>
    <row r="115" spans="10:10">
      <c r="J115" s="180"/>
    </row>
    <row r="116" spans="10:10">
      <c r="J116" s="180"/>
    </row>
    <row r="117" spans="10:10">
      <c r="J117" s="180"/>
    </row>
    <row r="118" spans="10:10">
      <c r="J118" s="180"/>
    </row>
    <row r="119" spans="10:10">
      <c r="J119" s="180"/>
    </row>
    <row r="120" spans="10:10">
      <c r="J120" s="180"/>
    </row>
    <row r="121" spans="10:10">
      <c r="J121" s="180"/>
    </row>
    <row r="122" spans="10:10">
      <c r="J122" s="180"/>
    </row>
    <row r="123" spans="10:10">
      <c r="J123" s="180"/>
    </row>
    <row r="124" spans="10:10">
      <c r="J124" s="180"/>
    </row>
    <row r="125" spans="10:10">
      <c r="J125" s="180"/>
    </row>
    <row r="126" spans="10:10">
      <c r="J126" s="180"/>
    </row>
    <row r="127" spans="10:10">
      <c r="J127" s="180"/>
    </row>
    <row r="128" spans="10:10">
      <c r="J128" s="180"/>
    </row>
    <row r="129" spans="10:10">
      <c r="J129" s="180"/>
    </row>
    <row r="130" spans="10:10">
      <c r="J130" s="180"/>
    </row>
    <row r="131" spans="10:10">
      <c r="J131" s="179"/>
    </row>
    <row r="132" spans="10:10">
      <c r="J132" s="180"/>
    </row>
    <row r="133" spans="10:10">
      <c r="J133" s="180"/>
    </row>
    <row r="134" spans="10:10">
      <c r="J134" s="9"/>
    </row>
    <row r="135" spans="10:10">
      <c r="J135" s="9"/>
    </row>
  </sheetData>
  <mergeCells count="21">
    <mergeCell ref="C72:C73"/>
    <mergeCell ref="B72:B73"/>
    <mergeCell ref="A65:M65"/>
    <mergeCell ref="B66:B70"/>
    <mergeCell ref="C66:C70"/>
    <mergeCell ref="A74:M74"/>
    <mergeCell ref="I75:I76"/>
    <mergeCell ref="A41:M41"/>
    <mergeCell ref="A2:M2"/>
    <mergeCell ref="A4:I4"/>
    <mergeCell ref="A8:M8"/>
    <mergeCell ref="A18:M18"/>
    <mergeCell ref="A32:M32"/>
    <mergeCell ref="B5:B7"/>
    <mergeCell ref="C5:C7"/>
    <mergeCell ref="B19:B31"/>
    <mergeCell ref="C19:C31"/>
    <mergeCell ref="B9:B17"/>
    <mergeCell ref="C9:C17"/>
    <mergeCell ref="A71:M71"/>
    <mergeCell ref="I72:I73"/>
  </mergeCells>
  <conditionalFormatting sqref="J1">
    <cfRule type="containsText" dxfId="81" priority="27" operator="containsText" text="FAIL">
      <formula>NOT(ISERROR(SEARCH("FAIL",J1)))</formula>
    </cfRule>
    <cfRule type="containsText" dxfId="80" priority="28" operator="containsText" text="PASS">
      <formula>NOT(ISERROR(SEARCH("PASS",J1)))</formula>
    </cfRule>
  </conditionalFormatting>
  <conditionalFormatting sqref="J3">
    <cfRule type="containsText" dxfId="79" priority="9" operator="containsText" text="BLOCKED">
      <formula>NOT(ISERROR(SEARCH("BLOCKED",J3)))</formula>
    </cfRule>
    <cfRule type="containsText" dxfId="78" priority="10" stopIfTrue="1" operator="containsText" text="IN PROGRESS">
      <formula>NOT(ISERROR(SEARCH("IN PROGRESS",J3)))</formula>
    </cfRule>
    <cfRule type="containsText" dxfId="77" priority="11" stopIfTrue="1" operator="containsText" text="PASS">
      <formula>NOT(ISERROR(SEARCH("PASS",J3)))</formula>
    </cfRule>
    <cfRule type="containsText" dxfId="76" priority="12" stopIfTrue="1" operator="containsText" text="FAIL">
      <formula>NOT(ISERROR(SEARCH("FAIL",J3)))</formula>
    </cfRule>
  </conditionalFormatting>
  <conditionalFormatting sqref="J5:J7 J9:J17 J19:J31 J33:J40 J42:J64 J66:J70 J86:J105 J110:J130 J132:J133">
    <cfRule type="containsText" dxfId="75" priority="22" stopIfTrue="1" operator="containsText" text="IN PROGRESS">
      <formula>NOT(ISERROR(SEARCH("IN PROGRESS",J5)))</formula>
    </cfRule>
    <cfRule type="containsText" dxfId="74" priority="23" stopIfTrue="1" operator="containsText" text="PASS">
      <formula>NOT(ISERROR(SEARCH("PASS",J5)))</formula>
    </cfRule>
    <cfRule type="containsText" dxfId="73" priority="24" stopIfTrue="1" operator="containsText" text="FAIL">
      <formula>NOT(ISERROR(SEARCH("FAIL",J5)))</formula>
    </cfRule>
  </conditionalFormatting>
  <conditionalFormatting sqref="J66:J70 J5:J7 J9:J17 J19:J31 J33:J40 J42:J64 J86:J105 J110:J130 J132:J133">
    <cfRule type="containsText" dxfId="72" priority="21" operator="containsText" text="BLOCKED">
      <formula>NOT(ISERROR(SEARCH("BLOCKED",J5)))</formula>
    </cfRule>
  </conditionalFormatting>
  <conditionalFormatting sqref="J69">
    <cfRule type="containsText" dxfId="71" priority="17" operator="containsText" text="FAIL">
      <formula>NOT(ISERROR(SEARCH("FAIL",J69)))</formula>
    </cfRule>
    <cfRule type="containsText" dxfId="70" priority="18" operator="containsText" text="PASS">
      <formula>NOT(ISERROR(SEARCH("PASS",J69)))</formula>
    </cfRule>
  </conditionalFormatting>
  <conditionalFormatting sqref="J71">
    <cfRule type="containsText" dxfId="69" priority="3" operator="containsText" text="FAIL">
      <formula>NOT(ISERROR(SEARCH("FAIL",J71)))</formula>
    </cfRule>
    <cfRule type="containsText" dxfId="68" priority="4" operator="containsText" text="PASS">
      <formula>NOT(ISERROR(SEARCH("PASS",J71)))</formula>
    </cfRule>
  </conditionalFormatting>
  <conditionalFormatting sqref="J72:J73 J75:J84">
    <cfRule type="containsText" dxfId="67" priority="5" operator="containsText" text="BLOCKED">
      <formula>NOT(ISERROR(SEARCH("BLOCKED",J72)))</formula>
    </cfRule>
    <cfRule type="containsText" dxfId="66" priority="6" stopIfTrue="1" operator="containsText" text="IN PROGRESS">
      <formula>NOT(ISERROR(SEARCH("IN PROGRESS",J72)))</formula>
    </cfRule>
    <cfRule type="containsText" dxfId="65" priority="7" stopIfTrue="1" operator="containsText" text="PASS">
      <formula>NOT(ISERROR(SEARCH("PASS",J72)))</formula>
    </cfRule>
    <cfRule type="containsText" dxfId="64" priority="8" stopIfTrue="1" operator="containsText" text="FAIL">
      <formula>NOT(ISERROR(SEARCH("FAIL",J72)))</formula>
    </cfRule>
  </conditionalFormatting>
  <conditionalFormatting sqref="J74">
    <cfRule type="containsText" dxfId="63" priority="1" operator="containsText" text="FAIL">
      <formula>NOT(ISERROR(SEARCH("FAIL",J74)))</formula>
    </cfRule>
    <cfRule type="containsText" dxfId="62" priority="2" operator="containsText" text="PASS">
      <formula>NOT(ISERROR(SEARCH("PASS",J74)))</formula>
    </cfRule>
  </conditionalFormatting>
  <conditionalFormatting sqref="J85">
    <cfRule type="containsText" dxfId="61" priority="15" operator="containsText" text="FAIL">
      <formula>NOT(ISERROR(SEARCH("FAIL",J85)))</formula>
    </cfRule>
    <cfRule type="containsText" dxfId="60" priority="16" operator="containsText" text="PASS">
      <formula>NOT(ISERROR(SEARCH("PASS",J85)))</formula>
    </cfRule>
  </conditionalFormatting>
  <conditionalFormatting sqref="J109">
    <cfRule type="containsText" dxfId="59" priority="13" operator="containsText" text="FAIL">
      <formula>NOT(ISERROR(SEARCH("FAIL",J109)))</formula>
    </cfRule>
    <cfRule type="containsText" dxfId="58" priority="14" operator="containsText" text="PASS">
      <formula>NOT(ISERROR(SEARCH("PASS",J109)))</formula>
    </cfRule>
  </conditionalFormatting>
  <conditionalFormatting sqref="J131">
    <cfRule type="containsText" dxfId="57" priority="19" operator="containsText" text="FAIL">
      <formula>NOT(ISERROR(SEARCH("FAIL",J131)))</formula>
    </cfRule>
    <cfRule type="containsText" dxfId="56" priority="20" operator="containsText" text="PASS">
      <formula>NOT(ISERROR(SEARCH("PASS",J131)))</formula>
    </cfRule>
  </conditionalFormatting>
  <dataValidations count="1">
    <dataValidation type="list" allowBlank="1" showInputMessage="1" showErrorMessage="1" sqref="J86:J105 J132:J133 J110:J130 J5:J7 J9:J17 J19:J31 J33:J40 J42:J64 J3 J66:J70 J72:J73 J75:J84" xr:uid="{5F5E1093-195F-4CE7-80B1-BDBF47DF70C3}">
      <formula1>"PASS, FAIL, IN PROGRESS, BLOCKED,"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FBFC2-3FB8-4D4A-89A2-B27BBB4D73FB}">
  <dimension ref="A1:S118"/>
  <sheetViews>
    <sheetView workbookViewId="0">
      <pane ySplit="1" topLeftCell="A2" activePane="bottomLeft" state="frozen"/>
      <selection pane="bottomLeft" activeCell="L109" sqref="L109"/>
    </sheetView>
  </sheetViews>
  <sheetFormatPr defaultColWidth="9.140625" defaultRowHeight="15"/>
  <cols>
    <col min="1" max="1" width="16.28515625" style="9" customWidth="1"/>
    <col min="2" max="2" width="10.42578125" style="9" customWidth="1"/>
    <col min="3" max="3" width="12.140625" style="9" customWidth="1"/>
    <col min="4" max="4" width="36" style="9" customWidth="1"/>
    <col min="5" max="5" width="36.140625" style="9" customWidth="1"/>
    <col min="6" max="6" width="35.42578125" style="9" customWidth="1"/>
    <col min="7" max="7" width="40.42578125" style="9" customWidth="1"/>
    <col min="8" max="8" width="40.28515625" style="9" customWidth="1"/>
    <col min="9" max="9" width="54.140625" style="9" customWidth="1"/>
    <col min="10" max="11" width="9.140625" style="9"/>
    <col min="12" max="12" width="33.140625" style="9" customWidth="1"/>
    <col min="13" max="13" width="15.7109375" style="9" customWidth="1"/>
    <col min="14" max="16384" width="9.140625" style="9"/>
  </cols>
  <sheetData>
    <row r="1" spans="1:19" ht="27" customHeight="1">
      <c r="A1" s="13" t="s">
        <v>38</v>
      </c>
      <c r="B1" s="13" t="s">
        <v>39</v>
      </c>
      <c r="C1" s="13" t="s">
        <v>40</v>
      </c>
      <c r="D1" s="13" t="s">
        <v>41</v>
      </c>
      <c r="E1" s="13" t="s">
        <v>42</v>
      </c>
      <c r="F1" s="13" t="s">
        <v>43</v>
      </c>
      <c r="G1" s="13" t="s">
        <v>44</v>
      </c>
      <c r="H1" s="13" t="s">
        <v>45</v>
      </c>
      <c r="I1" s="13" t="s">
        <v>46</v>
      </c>
      <c r="J1" s="13" t="s">
        <v>47</v>
      </c>
      <c r="K1" s="13" t="s">
        <v>48</v>
      </c>
      <c r="L1" s="14" t="s">
        <v>49</v>
      </c>
      <c r="M1" s="13" t="s">
        <v>50</v>
      </c>
      <c r="N1" s="15">
        <f>SUM(N2:N118)</f>
        <v>100</v>
      </c>
      <c r="O1" s="15">
        <f>SUM(O2:O118)</f>
        <v>0</v>
      </c>
      <c r="P1" s="15">
        <f>SUM(P2:P118)</f>
        <v>0</v>
      </c>
      <c r="Q1" s="15">
        <f>SUM(Q2:Q118)</f>
        <v>0</v>
      </c>
      <c r="R1" s="15">
        <f>SUM(R2:R118)</f>
        <v>0</v>
      </c>
      <c r="S1" s="24"/>
    </row>
    <row r="2" spans="1:19" ht="19.5" customHeight="1">
      <c r="A2" s="427" t="s">
        <v>565</v>
      </c>
      <c r="B2" s="427"/>
      <c r="C2" s="427"/>
      <c r="D2" s="427"/>
      <c r="E2" s="427"/>
      <c r="F2" s="427"/>
      <c r="G2" s="427"/>
      <c r="H2" s="427"/>
      <c r="I2" s="427"/>
      <c r="J2" s="427"/>
      <c r="K2" s="427"/>
      <c r="L2" s="427"/>
      <c r="M2" s="427"/>
      <c r="N2" s="17">
        <f>COUNTIF($J3:J67,"PASS")</f>
        <v>65</v>
      </c>
      <c r="O2" s="17">
        <f>COUNTIF($J3:J67,"FAIL")</f>
        <v>0</v>
      </c>
      <c r="P2" s="17">
        <f>COUNTBLANK(J3:J67)</f>
        <v>0</v>
      </c>
      <c r="Q2" s="17">
        <f>COUNTIF($J3:J67,"IN PROGRESS")</f>
        <v>0</v>
      </c>
      <c r="R2" s="17">
        <f>COUNTIF($J3:J67,"BLOCKED")</f>
        <v>0</v>
      </c>
    </row>
    <row r="3" spans="1:19" ht="157.5">
      <c r="A3" s="32" t="s">
        <v>793</v>
      </c>
      <c r="B3" s="533" t="s">
        <v>794</v>
      </c>
      <c r="C3" s="531" t="s">
        <v>54</v>
      </c>
      <c r="D3" s="33" t="s">
        <v>795</v>
      </c>
      <c r="E3" s="33"/>
      <c r="F3" s="31" t="s">
        <v>796</v>
      </c>
      <c r="G3" s="34"/>
      <c r="H3" s="34"/>
      <c r="I3" s="34" t="s">
        <v>797</v>
      </c>
      <c r="J3" s="23" t="s">
        <v>59</v>
      </c>
      <c r="K3" s="34"/>
      <c r="L3" s="35" t="s">
        <v>798</v>
      </c>
      <c r="M3" s="282" t="s">
        <v>799</v>
      </c>
      <c r="N3" s="37"/>
      <c r="O3" s="38"/>
      <c r="P3" s="39"/>
      <c r="Q3" s="39"/>
      <c r="R3" s="39"/>
      <c r="S3" s="40"/>
    </row>
    <row r="4" spans="1:19" ht="157.5">
      <c r="A4" s="32" t="s">
        <v>800</v>
      </c>
      <c r="B4" s="534"/>
      <c r="C4" s="532"/>
      <c r="D4" s="528" t="s">
        <v>801</v>
      </c>
      <c r="E4" s="529" t="s">
        <v>802</v>
      </c>
      <c r="F4" s="42" t="s">
        <v>803</v>
      </c>
      <c r="G4" s="36"/>
      <c r="H4" s="34"/>
      <c r="I4" s="43" t="s">
        <v>804</v>
      </c>
      <c r="J4" s="23" t="s">
        <v>59</v>
      </c>
      <c r="K4" s="34"/>
      <c r="L4" s="35" t="s">
        <v>798</v>
      </c>
      <c r="M4" s="282" t="s">
        <v>799</v>
      </c>
      <c r="N4" s="44"/>
      <c r="O4" s="44"/>
      <c r="P4" s="39"/>
      <c r="Q4" s="39"/>
      <c r="R4" s="39"/>
      <c r="S4" s="40"/>
    </row>
    <row r="5" spans="1:19" ht="157.5">
      <c r="A5" s="32" t="s">
        <v>805</v>
      </c>
      <c r="B5" s="534"/>
      <c r="C5" s="532"/>
      <c r="D5" s="528"/>
      <c r="E5" s="529"/>
      <c r="F5" s="45" t="s">
        <v>806</v>
      </c>
      <c r="G5" s="36"/>
      <c r="H5" s="34"/>
      <c r="I5" s="36" t="s">
        <v>807</v>
      </c>
      <c r="J5" s="23" t="s">
        <v>59</v>
      </c>
      <c r="K5" s="34"/>
      <c r="L5" s="35" t="s">
        <v>798</v>
      </c>
      <c r="M5" s="282" t="s">
        <v>799</v>
      </c>
      <c r="N5" s="44"/>
      <c r="O5" s="44"/>
      <c r="P5" s="39"/>
      <c r="Q5" s="39"/>
      <c r="R5" s="39"/>
      <c r="S5" s="40"/>
    </row>
    <row r="6" spans="1:19" ht="157.5">
      <c r="A6" s="32" t="s">
        <v>808</v>
      </c>
      <c r="B6" s="534"/>
      <c r="C6" s="532"/>
      <c r="D6" s="528"/>
      <c r="E6" s="529"/>
      <c r="F6" s="45" t="s">
        <v>809</v>
      </c>
      <c r="G6" s="36"/>
      <c r="H6" s="34"/>
      <c r="I6" s="36" t="s">
        <v>810</v>
      </c>
      <c r="J6" s="23" t="s">
        <v>59</v>
      </c>
      <c r="K6" s="34"/>
      <c r="L6" s="35" t="s">
        <v>798</v>
      </c>
      <c r="M6" s="282" t="s">
        <v>799</v>
      </c>
      <c r="N6" s="44"/>
      <c r="O6" s="44"/>
      <c r="P6" s="39"/>
      <c r="Q6" s="39"/>
      <c r="R6" s="39"/>
      <c r="S6" s="40"/>
    </row>
    <row r="7" spans="1:19" ht="157.5">
      <c r="A7" s="32" t="s">
        <v>811</v>
      </c>
      <c r="B7" s="534"/>
      <c r="C7" s="532"/>
      <c r="D7" s="528"/>
      <c r="E7" s="529"/>
      <c r="F7" s="45" t="s">
        <v>812</v>
      </c>
      <c r="G7" s="36"/>
      <c r="H7" s="34"/>
      <c r="I7" s="36" t="s">
        <v>813</v>
      </c>
      <c r="J7" s="23" t="s">
        <v>59</v>
      </c>
      <c r="K7" s="34"/>
      <c r="L7" s="35" t="s">
        <v>798</v>
      </c>
      <c r="M7" s="282" t="s">
        <v>799</v>
      </c>
      <c r="N7" s="44"/>
      <c r="O7" s="44"/>
      <c r="P7" s="39"/>
      <c r="Q7" s="39"/>
      <c r="R7" s="39"/>
      <c r="S7" s="40"/>
    </row>
    <row r="8" spans="1:19" ht="157.5">
      <c r="A8" s="32" t="s">
        <v>814</v>
      </c>
      <c r="B8" s="534"/>
      <c r="C8" s="532"/>
      <c r="D8" s="528" t="s">
        <v>815</v>
      </c>
      <c r="E8" s="529"/>
      <c r="F8" s="45" t="s">
        <v>803</v>
      </c>
      <c r="G8" s="36"/>
      <c r="H8" s="34"/>
      <c r="I8" s="34" t="s">
        <v>816</v>
      </c>
      <c r="J8" s="23" t="s">
        <v>59</v>
      </c>
      <c r="K8" s="34"/>
      <c r="L8" s="35" t="s">
        <v>798</v>
      </c>
      <c r="M8" s="282" t="s">
        <v>799</v>
      </c>
      <c r="N8" s="44"/>
      <c r="O8" s="44"/>
      <c r="P8" s="39"/>
      <c r="Q8" s="39"/>
      <c r="R8" s="39"/>
      <c r="S8" s="40"/>
    </row>
    <row r="9" spans="1:19" ht="157.5">
      <c r="A9" s="32" t="s">
        <v>817</v>
      </c>
      <c r="B9" s="534"/>
      <c r="C9" s="532"/>
      <c r="D9" s="528"/>
      <c r="E9" s="529"/>
      <c r="F9" s="45" t="s">
        <v>806</v>
      </c>
      <c r="G9" s="46"/>
      <c r="H9" s="34"/>
      <c r="I9" s="36" t="s">
        <v>807</v>
      </c>
      <c r="J9" s="23" t="s">
        <v>59</v>
      </c>
      <c r="K9" s="34"/>
      <c r="L9" s="35" t="s">
        <v>798</v>
      </c>
      <c r="M9" s="282" t="s">
        <v>799</v>
      </c>
      <c r="N9" s="44"/>
      <c r="O9" s="44"/>
      <c r="P9" s="39"/>
      <c r="Q9" s="39"/>
      <c r="R9" s="39"/>
      <c r="S9" s="40"/>
    </row>
    <row r="10" spans="1:19" ht="157.5">
      <c r="A10" s="32" t="s">
        <v>818</v>
      </c>
      <c r="B10" s="534"/>
      <c r="C10" s="532"/>
      <c r="D10" s="528"/>
      <c r="E10" s="529"/>
      <c r="F10" s="45" t="s">
        <v>809</v>
      </c>
      <c r="G10" s="36"/>
      <c r="H10" s="34"/>
      <c r="I10" s="36" t="s">
        <v>810</v>
      </c>
      <c r="J10" s="23" t="s">
        <v>59</v>
      </c>
      <c r="K10" s="34"/>
      <c r="L10" s="35" t="s">
        <v>798</v>
      </c>
      <c r="M10" s="282" t="s">
        <v>799</v>
      </c>
      <c r="N10" s="44"/>
      <c r="O10" s="44"/>
      <c r="P10" s="39"/>
      <c r="Q10" s="39"/>
      <c r="R10" s="39"/>
      <c r="S10" s="40"/>
    </row>
    <row r="11" spans="1:19" ht="157.5">
      <c r="A11" s="32" t="s">
        <v>819</v>
      </c>
      <c r="B11" s="534"/>
      <c r="C11" s="532"/>
      <c r="D11" s="528"/>
      <c r="E11" s="529"/>
      <c r="F11" s="45" t="s">
        <v>812</v>
      </c>
      <c r="G11" s="36"/>
      <c r="H11" s="34"/>
      <c r="I11" s="36" t="s">
        <v>813</v>
      </c>
      <c r="J11" s="23" t="s">
        <v>59</v>
      </c>
      <c r="K11" s="34"/>
      <c r="L11" s="35" t="s">
        <v>798</v>
      </c>
      <c r="M11" s="282" t="s">
        <v>799</v>
      </c>
      <c r="N11" s="44"/>
      <c r="O11" s="44"/>
      <c r="P11" s="39"/>
      <c r="Q11" s="39"/>
      <c r="R11" s="39"/>
      <c r="S11" s="40"/>
    </row>
    <row r="12" spans="1:19" ht="157.5">
      <c r="A12" s="32" t="s">
        <v>820</v>
      </c>
      <c r="B12" s="534"/>
      <c r="C12" s="532"/>
      <c r="D12" s="528" t="s">
        <v>821</v>
      </c>
      <c r="E12" s="529"/>
      <c r="F12" s="45" t="s">
        <v>803</v>
      </c>
      <c r="G12" s="36"/>
      <c r="H12" s="34"/>
      <c r="I12" s="34" t="s">
        <v>822</v>
      </c>
      <c r="J12" s="23" t="s">
        <v>59</v>
      </c>
      <c r="K12" s="34"/>
      <c r="L12" s="35" t="s">
        <v>798</v>
      </c>
      <c r="M12" s="282" t="s">
        <v>799</v>
      </c>
      <c r="N12" s="44"/>
      <c r="O12" s="44"/>
      <c r="P12" s="39"/>
      <c r="Q12" s="39"/>
      <c r="R12" s="39"/>
      <c r="S12" s="40"/>
    </row>
    <row r="13" spans="1:19" ht="157.5">
      <c r="A13" s="32" t="s">
        <v>823</v>
      </c>
      <c r="B13" s="534"/>
      <c r="C13" s="532"/>
      <c r="D13" s="528"/>
      <c r="E13" s="529"/>
      <c r="F13" s="45" t="s">
        <v>806</v>
      </c>
      <c r="G13" s="36"/>
      <c r="H13" s="34"/>
      <c r="I13" s="36" t="s">
        <v>807</v>
      </c>
      <c r="J13" s="23" t="s">
        <v>59</v>
      </c>
      <c r="K13" s="34"/>
      <c r="L13" s="35" t="s">
        <v>798</v>
      </c>
      <c r="M13" s="282" t="s">
        <v>799</v>
      </c>
      <c r="N13" s="44"/>
      <c r="O13" s="44"/>
      <c r="P13" s="39"/>
      <c r="Q13" s="39"/>
      <c r="R13" s="39"/>
      <c r="S13" s="40"/>
    </row>
    <row r="14" spans="1:19" ht="157.5">
      <c r="A14" s="32" t="s">
        <v>824</v>
      </c>
      <c r="B14" s="534"/>
      <c r="C14" s="532"/>
      <c r="D14" s="528"/>
      <c r="E14" s="529"/>
      <c r="F14" s="45" t="s">
        <v>809</v>
      </c>
      <c r="G14" s="36"/>
      <c r="H14" s="34"/>
      <c r="I14" s="36" t="s">
        <v>810</v>
      </c>
      <c r="J14" s="23" t="s">
        <v>59</v>
      </c>
      <c r="K14" s="34"/>
      <c r="L14" s="35" t="s">
        <v>798</v>
      </c>
      <c r="M14" s="282" t="s">
        <v>799</v>
      </c>
      <c r="N14" s="44"/>
      <c r="O14" s="44"/>
      <c r="P14" s="39"/>
      <c r="Q14" s="39"/>
      <c r="R14" s="39"/>
      <c r="S14" s="40"/>
    </row>
    <row r="15" spans="1:19" ht="157.5">
      <c r="A15" s="32" t="s">
        <v>825</v>
      </c>
      <c r="B15" s="534"/>
      <c r="C15" s="532"/>
      <c r="D15" s="528"/>
      <c r="E15" s="529"/>
      <c r="F15" s="45" t="s">
        <v>812</v>
      </c>
      <c r="G15" s="36"/>
      <c r="H15" s="34"/>
      <c r="I15" s="36" t="s">
        <v>813</v>
      </c>
      <c r="J15" s="23" t="s">
        <v>59</v>
      </c>
      <c r="K15" s="34"/>
      <c r="L15" s="35" t="s">
        <v>798</v>
      </c>
      <c r="M15" s="282" t="s">
        <v>799</v>
      </c>
      <c r="N15" s="44"/>
      <c r="O15" s="44"/>
      <c r="P15" s="39"/>
      <c r="Q15" s="39"/>
      <c r="R15" s="39"/>
      <c r="S15" s="40"/>
    </row>
    <row r="16" spans="1:19" ht="152.25" customHeight="1">
      <c r="A16" s="32" t="s">
        <v>826</v>
      </c>
      <c r="B16" s="534"/>
      <c r="C16" s="532"/>
      <c r="D16" s="528" t="s">
        <v>827</v>
      </c>
      <c r="E16" s="529"/>
      <c r="F16" s="45" t="s">
        <v>803</v>
      </c>
      <c r="G16" s="36"/>
      <c r="H16" s="34"/>
      <c r="I16" s="34" t="s">
        <v>828</v>
      </c>
      <c r="J16" s="23" t="s">
        <v>59</v>
      </c>
      <c r="K16" s="34"/>
      <c r="L16" s="35" t="s">
        <v>798</v>
      </c>
      <c r="M16" s="282" t="s">
        <v>799</v>
      </c>
      <c r="N16" s="44"/>
      <c r="O16" s="44"/>
      <c r="P16" s="39"/>
      <c r="Q16" s="39"/>
      <c r="R16" s="39"/>
      <c r="S16" s="40"/>
    </row>
    <row r="17" spans="1:19" ht="157.5">
      <c r="A17" s="32" t="s">
        <v>829</v>
      </c>
      <c r="B17" s="534"/>
      <c r="C17" s="532"/>
      <c r="D17" s="528"/>
      <c r="E17" s="529"/>
      <c r="F17" s="45" t="s">
        <v>806</v>
      </c>
      <c r="G17" s="36"/>
      <c r="H17" s="34"/>
      <c r="I17" s="36" t="s">
        <v>807</v>
      </c>
      <c r="J17" s="23" t="s">
        <v>59</v>
      </c>
      <c r="K17" s="34"/>
      <c r="L17" s="35" t="s">
        <v>798</v>
      </c>
      <c r="M17" s="282" t="s">
        <v>799</v>
      </c>
      <c r="N17" s="44"/>
      <c r="O17" s="44"/>
      <c r="P17" s="39"/>
      <c r="Q17" s="39"/>
      <c r="R17" s="39"/>
      <c r="S17" s="40"/>
    </row>
    <row r="18" spans="1:19" ht="157.5">
      <c r="A18" s="32" t="s">
        <v>830</v>
      </c>
      <c r="B18" s="534"/>
      <c r="C18" s="532"/>
      <c r="D18" s="528"/>
      <c r="E18" s="529"/>
      <c r="F18" s="45" t="s">
        <v>809</v>
      </c>
      <c r="G18" s="36"/>
      <c r="H18" s="34"/>
      <c r="I18" s="36" t="s">
        <v>810</v>
      </c>
      <c r="J18" s="23" t="s">
        <v>59</v>
      </c>
      <c r="K18" s="34"/>
      <c r="L18" s="35" t="s">
        <v>798</v>
      </c>
      <c r="M18" s="282" t="s">
        <v>799</v>
      </c>
      <c r="N18" s="44"/>
      <c r="O18" s="44"/>
      <c r="P18" s="39"/>
      <c r="Q18" s="39"/>
      <c r="R18" s="39"/>
      <c r="S18" s="40"/>
    </row>
    <row r="19" spans="1:19" ht="157.5">
      <c r="A19" s="32" t="s">
        <v>831</v>
      </c>
      <c r="B19" s="534"/>
      <c r="C19" s="532"/>
      <c r="D19" s="528"/>
      <c r="E19" s="529"/>
      <c r="F19" s="45" t="s">
        <v>812</v>
      </c>
      <c r="G19" s="36"/>
      <c r="H19" s="34"/>
      <c r="I19" s="36" t="s">
        <v>813</v>
      </c>
      <c r="J19" s="23" t="s">
        <v>59</v>
      </c>
      <c r="K19" s="34"/>
      <c r="L19" s="35" t="s">
        <v>798</v>
      </c>
      <c r="M19" s="282" t="s">
        <v>799</v>
      </c>
      <c r="N19" s="44"/>
      <c r="O19" s="44"/>
      <c r="P19" s="39"/>
      <c r="Q19" s="39"/>
      <c r="R19" s="39"/>
      <c r="S19" s="40"/>
    </row>
    <row r="20" spans="1:19" ht="157.5">
      <c r="A20" s="32" t="s">
        <v>832</v>
      </c>
      <c r="B20" s="534"/>
      <c r="C20" s="532"/>
      <c r="D20" s="520" t="s">
        <v>833</v>
      </c>
      <c r="E20" s="529"/>
      <c r="F20" s="45" t="s">
        <v>834</v>
      </c>
      <c r="G20" s="36"/>
      <c r="H20" s="34"/>
      <c r="I20" s="36" t="s">
        <v>835</v>
      </c>
      <c r="J20" s="23" t="s">
        <v>59</v>
      </c>
      <c r="K20" s="34"/>
      <c r="L20" s="35" t="s">
        <v>798</v>
      </c>
      <c r="M20" s="282" t="s">
        <v>799</v>
      </c>
      <c r="N20" s="44"/>
      <c r="O20" s="44"/>
      <c r="P20" s="39"/>
      <c r="Q20" s="39"/>
      <c r="R20" s="39"/>
      <c r="S20" s="40"/>
    </row>
    <row r="21" spans="1:19" ht="157.5">
      <c r="A21" s="32" t="s">
        <v>836</v>
      </c>
      <c r="B21" s="534"/>
      <c r="C21" s="532"/>
      <c r="D21" s="520"/>
      <c r="E21" s="529"/>
      <c r="F21" s="45" t="s">
        <v>837</v>
      </c>
      <c r="G21" s="36"/>
      <c r="H21" s="34"/>
      <c r="I21" s="36" t="s">
        <v>838</v>
      </c>
      <c r="J21" s="23" t="s">
        <v>59</v>
      </c>
      <c r="K21" s="34"/>
      <c r="L21" s="35" t="s">
        <v>798</v>
      </c>
      <c r="M21" s="282" t="s">
        <v>799</v>
      </c>
      <c r="N21" s="44"/>
      <c r="O21" s="44"/>
      <c r="P21" s="39"/>
      <c r="Q21" s="39"/>
      <c r="R21" s="39"/>
      <c r="S21" s="40"/>
    </row>
    <row r="22" spans="1:19" ht="157.5">
      <c r="A22" s="32" t="s">
        <v>839</v>
      </c>
      <c r="B22" s="534"/>
      <c r="C22" s="532"/>
      <c r="D22" s="520"/>
      <c r="E22" s="529"/>
      <c r="F22" s="45" t="s">
        <v>840</v>
      </c>
      <c r="G22" s="36"/>
      <c r="H22" s="34"/>
      <c r="I22" s="36" t="s">
        <v>841</v>
      </c>
      <c r="J22" s="23" t="s">
        <v>59</v>
      </c>
      <c r="K22" s="34"/>
      <c r="L22" s="35" t="s">
        <v>798</v>
      </c>
      <c r="M22" s="282" t="s">
        <v>799</v>
      </c>
      <c r="N22" s="44"/>
      <c r="O22" s="44"/>
      <c r="P22" s="39"/>
      <c r="Q22" s="39"/>
      <c r="R22" s="39"/>
      <c r="S22" s="40"/>
    </row>
    <row r="23" spans="1:19" ht="157.5">
      <c r="A23" s="32" t="s">
        <v>842</v>
      </c>
      <c r="B23" s="534"/>
      <c r="C23" s="532"/>
      <c r="D23" s="509" t="s">
        <v>843</v>
      </c>
      <c r="E23" s="529"/>
      <c r="F23" s="45" t="s">
        <v>844</v>
      </c>
      <c r="G23" s="36"/>
      <c r="H23" s="34"/>
      <c r="I23" s="36" t="s">
        <v>845</v>
      </c>
      <c r="J23" s="23" t="s">
        <v>59</v>
      </c>
      <c r="K23" s="34"/>
      <c r="L23" s="35" t="s">
        <v>798</v>
      </c>
      <c r="M23" s="282" t="s">
        <v>799</v>
      </c>
      <c r="N23" s="44"/>
      <c r="O23" s="44"/>
      <c r="P23" s="39"/>
      <c r="Q23" s="39"/>
      <c r="R23" s="39"/>
      <c r="S23" s="40"/>
    </row>
    <row r="24" spans="1:19" ht="157.5">
      <c r="A24" s="32" t="s">
        <v>846</v>
      </c>
      <c r="B24" s="534"/>
      <c r="C24" s="532"/>
      <c r="D24" s="510"/>
      <c r="E24" s="529"/>
      <c r="F24" s="45" t="s">
        <v>847</v>
      </c>
      <c r="G24" s="36"/>
      <c r="H24" s="34"/>
      <c r="I24" s="36" t="s">
        <v>848</v>
      </c>
      <c r="J24" s="23" t="s">
        <v>59</v>
      </c>
      <c r="K24" s="34"/>
      <c r="L24" s="35" t="s">
        <v>798</v>
      </c>
      <c r="M24" s="282" t="s">
        <v>799</v>
      </c>
      <c r="N24" s="44"/>
      <c r="O24" s="44"/>
      <c r="P24" s="39"/>
      <c r="Q24" s="39"/>
      <c r="R24" s="39"/>
      <c r="S24" s="40"/>
    </row>
    <row r="25" spans="1:19" ht="157.5">
      <c r="A25" s="32" t="s">
        <v>849</v>
      </c>
      <c r="B25" s="534"/>
      <c r="C25" s="532"/>
      <c r="D25" s="510"/>
      <c r="E25" s="529"/>
      <c r="F25" s="45" t="s">
        <v>850</v>
      </c>
      <c r="G25" s="36"/>
      <c r="H25" s="34"/>
      <c r="I25" s="36" t="s">
        <v>851</v>
      </c>
      <c r="J25" s="23" t="s">
        <v>59</v>
      </c>
      <c r="K25" s="34"/>
      <c r="L25" s="35" t="s">
        <v>798</v>
      </c>
      <c r="M25" s="282" t="s">
        <v>799</v>
      </c>
      <c r="N25" s="44"/>
      <c r="O25" s="44"/>
      <c r="P25" s="39"/>
      <c r="Q25" s="39"/>
      <c r="R25" s="39"/>
      <c r="S25" s="40"/>
    </row>
    <row r="26" spans="1:19" ht="112.5" customHeight="1">
      <c r="A26" s="32" t="s">
        <v>852</v>
      </c>
      <c r="B26" s="534"/>
      <c r="C26" s="532"/>
      <c r="D26" s="511"/>
      <c r="E26" s="529"/>
      <c r="F26" s="48" t="s">
        <v>853</v>
      </c>
      <c r="G26" s="48"/>
      <c r="H26" s="48"/>
      <c r="I26" s="48" t="s">
        <v>854</v>
      </c>
      <c r="J26" s="23" t="s">
        <v>59</v>
      </c>
      <c r="K26" s="34"/>
      <c r="L26" s="35" t="s">
        <v>798</v>
      </c>
      <c r="M26" s="282" t="s">
        <v>799</v>
      </c>
      <c r="N26" s="44"/>
      <c r="O26" s="44"/>
      <c r="P26" s="39"/>
      <c r="Q26" s="39"/>
      <c r="R26" s="39"/>
      <c r="S26" s="40"/>
    </row>
    <row r="27" spans="1:19" ht="157.5">
      <c r="A27" s="32" t="s">
        <v>855</v>
      </c>
      <c r="B27" s="534"/>
      <c r="C27" s="532"/>
      <c r="D27" s="47" t="s">
        <v>856</v>
      </c>
      <c r="E27" s="529"/>
      <c r="F27" s="45" t="s">
        <v>857</v>
      </c>
      <c r="G27" s="36"/>
      <c r="H27" s="34"/>
      <c r="I27" s="46" t="s">
        <v>858</v>
      </c>
      <c r="J27" s="23" t="s">
        <v>59</v>
      </c>
      <c r="K27" s="34"/>
      <c r="L27" s="35" t="s">
        <v>798</v>
      </c>
      <c r="M27" s="282" t="s">
        <v>799</v>
      </c>
      <c r="N27" s="44"/>
      <c r="O27" s="44"/>
      <c r="P27" s="39"/>
      <c r="Q27" s="39"/>
      <c r="R27" s="39"/>
      <c r="S27" s="40"/>
    </row>
    <row r="28" spans="1:19" ht="157.5">
      <c r="A28" s="32" t="s">
        <v>859</v>
      </c>
      <c r="B28" s="534"/>
      <c r="C28" s="532"/>
      <c r="D28" s="520" t="s">
        <v>860</v>
      </c>
      <c r="E28" s="529"/>
      <c r="F28" s="42" t="s">
        <v>861</v>
      </c>
      <c r="G28" s="36"/>
      <c r="H28" s="34"/>
      <c r="I28" s="31" t="s">
        <v>862</v>
      </c>
      <c r="J28" s="23" t="s">
        <v>59</v>
      </c>
      <c r="K28" s="34"/>
      <c r="L28" s="35" t="s">
        <v>798</v>
      </c>
      <c r="M28" s="282" t="s">
        <v>799</v>
      </c>
      <c r="N28" s="44"/>
      <c r="O28" s="44"/>
      <c r="P28" s="39"/>
      <c r="Q28" s="39"/>
      <c r="R28" s="39"/>
      <c r="S28" s="40"/>
    </row>
    <row r="29" spans="1:19" ht="157.5">
      <c r="A29" s="32" t="s">
        <v>863</v>
      </c>
      <c r="B29" s="534"/>
      <c r="C29" s="532"/>
      <c r="D29" s="520"/>
      <c r="E29" s="529"/>
      <c r="F29" s="42" t="s">
        <v>864</v>
      </c>
      <c r="G29" s="36"/>
      <c r="H29" s="34"/>
      <c r="I29" s="31" t="s">
        <v>865</v>
      </c>
      <c r="J29" s="23" t="s">
        <v>59</v>
      </c>
      <c r="K29" s="34"/>
      <c r="L29" s="35" t="s">
        <v>798</v>
      </c>
      <c r="M29" s="282" t="s">
        <v>799</v>
      </c>
      <c r="N29" s="44"/>
      <c r="O29" s="44"/>
      <c r="P29" s="39"/>
      <c r="Q29" s="39"/>
      <c r="R29" s="39"/>
      <c r="S29" s="40"/>
    </row>
    <row r="30" spans="1:19" ht="157.5">
      <c r="A30" s="32" t="s">
        <v>866</v>
      </c>
      <c r="B30" s="534"/>
      <c r="C30" s="532"/>
      <c r="D30" s="509" t="s">
        <v>867</v>
      </c>
      <c r="E30" s="529"/>
      <c r="F30" s="45" t="s">
        <v>868</v>
      </c>
      <c r="G30" s="36"/>
      <c r="H30" s="34"/>
      <c r="I30" s="36" t="s">
        <v>869</v>
      </c>
      <c r="J30" s="23" t="s">
        <v>59</v>
      </c>
      <c r="K30" s="34"/>
      <c r="L30" s="35" t="s">
        <v>798</v>
      </c>
      <c r="M30" s="282" t="s">
        <v>799</v>
      </c>
      <c r="N30" s="44"/>
      <c r="O30" s="44"/>
      <c r="P30" s="39"/>
      <c r="Q30" s="39"/>
      <c r="R30" s="39"/>
      <c r="S30" s="40"/>
    </row>
    <row r="31" spans="1:19" ht="157.5">
      <c r="A31" s="32" t="s">
        <v>870</v>
      </c>
      <c r="B31" s="534"/>
      <c r="C31" s="532"/>
      <c r="D31" s="510"/>
      <c r="E31" s="529"/>
      <c r="F31" s="45" t="s">
        <v>871</v>
      </c>
      <c r="G31" s="36"/>
      <c r="H31" s="34"/>
      <c r="I31" s="34" t="s">
        <v>872</v>
      </c>
      <c r="J31" s="23" t="s">
        <v>59</v>
      </c>
      <c r="K31" s="34"/>
      <c r="L31" s="35" t="s">
        <v>798</v>
      </c>
      <c r="M31" s="282" t="s">
        <v>799</v>
      </c>
      <c r="N31" s="44"/>
      <c r="O31" s="44"/>
      <c r="P31" s="39"/>
      <c r="Q31" s="39"/>
      <c r="R31" s="39"/>
      <c r="S31" s="40"/>
    </row>
    <row r="32" spans="1:19" ht="157.5">
      <c r="A32" s="32" t="s">
        <v>873</v>
      </c>
      <c r="B32" s="534"/>
      <c r="C32" s="532"/>
      <c r="D32" s="511"/>
      <c r="E32" s="529"/>
      <c r="F32" s="31" t="s">
        <v>874</v>
      </c>
      <c r="G32" s="48" t="s">
        <v>875</v>
      </c>
      <c r="H32" s="48" t="s">
        <v>876</v>
      </c>
      <c r="I32" s="48" t="s">
        <v>877</v>
      </c>
      <c r="J32" s="23" t="s">
        <v>59</v>
      </c>
      <c r="K32" s="34"/>
      <c r="L32" s="35" t="s">
        <v>798</v>
      </c>
      <c r="M32" s="282" t="s">
        <v>799</v>
      </c>
      <c r="N32" s="44"/>
      <c r="O32" s="44"/>
      <c r="P32" s="39"/>
      <c r="Q32" s="39"/>
      <c r="R32" s="39"/>
      <c r="S32" s="40"/>
    </row>
    <row r="33" spans="1:19" ht="228.75" customHeight="1">
      <c r="A33" s="32" t="s">
        <v>878</v>
      </c>
      <c r="B33" s="534"/>
      <c r="C33" s="532"/>
      <c r="D33" s="520" t="s">
        <v>616</v>
      </c>
      <c r="E33" s="529"/>
      <c r="F33" s="45" t="s">
        <v>803</v>
      </c>
      <c r="G33" s="36"/>
      <c r="H33" s="34"/>
      <c r="I33" s="43" t="s">
        <v>879</v>
      </c>
      <c r="J33" s="23" t="s">
        <v>59</v>
      </c>
      <c r="K33" s="34"/>
      <c r="L33" s="35" t="s">
        <v>798</v>
      </c>
      <c r="M33" s="282" t="s">
        <v>799</v>
      </c>
      <c r="N33" s="44"/>
      <c r="O33" s="44"/>
      <c r="P33" s="39"/>
      <c r="Q33" s="39"/>
      <c r="R33" s="39"/>
      <c r="S33" s="40"/>
    </row>
    <row r="34" spans="1:19" ht="157.5">
      <c r="A34" s="32" t="s">
        <v>880</v>
      </c>
      <c r="B34" s="534"/>
      <c r="C34" s="532"/>
      <c r="D34" s="520"/>
      <c r="E34" s="529"/>
      <c r="F34" s="45" t="s">
        <v>806</v>
      </c>
      <c r="G34" s="36"/>
      <c r="H34" s="34"/>
      <c r="I34" s="36" t="s">
        <v>807</v>
      </c>
      <c r="J34" s="23" t="s">
        <v>59</v>
      </c>
      <c r="K34" s="34"/>
      <c r="L34" s="35" t="s">
        <v>798</v>
      </c>
      <c r="M34" s="282" t="s">
        <v>799</v>
      </c>
      <c r="N34" s="44"/>
      <c r="O34" s="44"/>
      <c r="P34" s="39"/>
      <c r="Q34" s="39"/>
      <c r="R34" s="39"/>
      <c r="S34" s="40"/>
    </row>
    <row r="35" spans="1:19" ht="157.5">
      <c r="A35" s="32" t="s">
        <v>881</v>
      </c>
      <c r="B35" s="534"/>
      <c r="C35" s="532"/>
      <c r="D35" s="520"/>
      <c r="E35" s="529"/>
      <c r="F35" s="45" t="s">
        <v>809</v>
      </c>
      <c r="G35" s="36"/>
      <c r="H35" s="34"/>
      <c r="I35" s="36" t="s">
        <v>810</v>
      </c>
      <c r="J35" s="23" t="s">
        <v>59</v>
      </c>
      <c r="K35" s="34"/>
      <c r="L35" s="35" t="s">
        <v>798</v>
      </c>
      <c r="M35" s="282" t="s">
        <v>799</v>
      </c>
      <c r="N35" s="44"/>
      <c r="O35" s="44"/>
      <c r="P35" s="39"/>
      <c r="Q35" s="39"/>
      <c r="R35" s="39"/>
      <c r="S35" s="40"/>
    </row>
    <row r="36" spans="1:19" ht="157.5">
      <c r="A36" s="32" t="s">
        <v>882</v>
      </c>
      <c r="B36" s="534"/>
      <c r="C36" s="532"/>
      <c r="D36" s="520"/>
      <c r="E36" s="529"/>
      <c r="F36" s="45" t="s">
        <v>812</v>
      </c>
      <c r="G36" s="36"/>
      <c r="H36" s="34"/>
      <c r="I36" s="36" t="s">
        <v>813</v>
      </c>
      <c r="J36" s="23" t="s">
        <v>59</v>
      </c>
      <c r="K36" s="34"/>
      <c r="L36" s="35" t="s">
        <v>798</v>
      </c>
      <c r="M36" s="282" t="s">
        <v>799</v>
      </c>
      <c r="N36" s="44"/>
      <c r="O36" s="44"/>
      <c r="P36" s="39"/>
      <c r="Q36" s="39"/>
      <c r="R36" s="39"/>
      <c r="S36" s="40"/>
    </row>
    <row r="37" spans="1:19" ht="157.5">
      <c r="A37" s="32" t="s">
        <v>883</v>
      </c>
      <c r="B37" s="534"/>
      <c r="C37" s="532"/>
      <c r="D37" s="509" t="s">
        <v>884</v>
      </c>
      <c r="E37" s="529"/>
      <c r="F37" s="45" t="s">
        <v>850</v>
      </c>
      <c r="G37" s="36"/>
      <c r="H37" s="34"/>
      <c r="I37" s="36" t="s">
        <v>851</v>
      </c>
      <c r="J37" s="23" t="s">
        <v>59</v>
      </c>
      <c r="K37" s="34"/>
      <c r="L37" s="35" t="s">
        <v>798</v>
      </c>
      <c r="M37" s="282" t="s">
        <v>799</v>
      </c>
      <c r="N37" s="44"/>
      <c r="O37" s="44"/>
      <c r="P37" s="39"/>
      <c r="Q37" s="39"/>
      <c r="R37" s="39"/>
      <c r="S37" s="40"/>
    </row>
    <row r="38" spans="1:19" ht="157.5">
      <c r="A38" s="32" t="s">
        <v>885</v>
      </c>
      <c r="B38" s="534"/>
      <c r="C38" s="532"/>
      <c r="D38" s="510"/>
      <c r="E38" s="529"/>
      <c r="F38" s="45" t="s">
        <v>886</v>
      </c>
      <c r="G38" s="36"/>
      <c r="H38" s="34"/>
      <c r="I38" s="36" t="s">
        <v>869</v>
      </c>
      <c r="J38" s="23" t="s">
        <v>59</v>
      </c>
      <c r="K38" s="34"/>
      <c r="L38" s="35" t="s">
        <v>798</v>
      </c>
      <c r="M38" s="282" t="s">
        <v>799</v>
      </c>
      <c r="N38" s="44"/>
      <c r="O38" s="44"/>
      <c r="P38" s="39"/>
      <c r="Q38" s="39"/>
      <c r="R38" s="39"/>
      <c r="S38" s="40"/>
    </row>
    <row r="39" spans="1:19" ht="157.5">
      <c r="A39" s="32" t="s">
        <v>887</v>
      </c>
      <c r="B39" s="534"/>
      <c r="C39" s="532"/>
      <c r="D39" s="511"/>
      <c r="E39" s="529"/>
      <c r="F39" s="31" t="s">
        <v>888</v>
      </c>
      <c r="G39" s="48" t="s">
        <v>889</v>
      </c>
      <c r="H39" s="48" t="s">
        <v>876</v>
      </c>
      <c r="I39" s="48" t="s">
        <v>890</v>
      </c>
      <c r="J39" s="23" t="s">
        <v>59</v>
      </c>
      <c r="K39" s="34"/>
      <c r="L39" s="35" t="s">
        <v>798</v>
      </c>
      <c r="M39" s="282" t="s">
        <v>799</v>
      </c>
      <c r="N39" s="44"/>
      <c r="O39" s="44"/>
      <c r="P39" s="39"/>
      <c r="Q39" s="39"/>
      <c r="R39" s="39"/>
      <c r="S39" s="40"/>
    </row>
    <row r="40" spans="1:19" ht="180" customHeight="1">
      <c r="A40" s="32" t="s">
        <v>891</v>
      </c>
      <c r="B40" s="534"/>
      <c r="C40" s="532"/>
      <c r="D40" s="520" t="s">
        <v>892</v>
      </c>
      <c r="E40" s="529"/>
      <c r="F40" s="45" t="s">
        <v>803</v>
      </c>
      <c r="G40" s="36"/>
      <c r="H40" s="34"/>
      <c r="I40" s="43" t="s">
        <v>893</v>
      </c>
      <c r="J40" s="23" t="s">
        <v>59</v>
      </c>
      <c r="K40" s="34"/>
      <c r="L40" s="35" t="s">
        <v>798</v>
      </c>
      <c r="M40" s="282" t="s">
        <v>799</v>
      </c>
      <c r="N40" s="44"/>
      <c r="O40" s="44"/>
      <c r="P40" s="39"/>
      <c r="Q40" s="39"/>
      <c r="R40" s="39"/>
      <c r="S40" s="40"/>
    </row>
    <row r="41" spans="1:19" ht="157.5">
      <c r="A41" s="32" t="s">
        <v>894</v>
      </c>
      <c r="B41" s="534"/>
      <c r="C41" s="532"/>
      <c r="D41" s="520"/>
      <c r="E41" s="529"/>
      <c r="F41" s="45" t="s">
        <v>806</v>
      </c>
      <c r="G41" s="36"/>
      <c r="H41" s="34"/>
      <c r="I41" s="36" t="s">
        <v>807</v>
      </c>
      <c r="J41" s="23" t="s">
        <v>59</v>
      </c>
      <c r="K41" s="34"/>
      <c r="L41" s="35" t="s">
        <v>798</v>
      </c>
      <c r="M41" s="282" t="s">
        <v>799</v>
      </c>
      <c r="N41" s="44"/>
      <c r="O41" s="44"/>
      <c r="P41" s="39"/>
      <c r="Q41" s="39"/>
      <c r="R41" s="39"/>
      <c r="S41" s="40"/>
    </row>
    <row r="42" spans="1:19" ht="157.5">
      <c r="A42" s="32" t="s">
        <v>895</v>
      </c>
      <c r="B42" s="534"/>
      <c r="C42" s="532"/>
      <c r="D42" s="520"/>
      <c r="E42" s="529"/>
      <c r="F42" s="45" t="s">
        <v>809</v>
      </c>
      <c r="G42" s="36"/>
      <c r="H42" s="34"/>
      <c r="I42" s="36" t="s">
        <v>810</v>
      </c>
      <c r="J42" s="23" t="s">
        <v>59</v>
      </c>
      <c r="K42" s="34"/>
      <c r="L42" s="35" t="s">
        <v>798</v>
      </c>
      <c r="M42" s="282" t="s">
        <v>799</v>
      </c>
      <c r="N42" s="44"/>
      <c r="O42" s="44"/>
      <c r="P42" s="39"/>
      <c r="Q42" s="39"/>
      <c r="R42" s="39"/>
      <c r="S42" s="40"/>
    </row>
    <row r="43" spans="1:19" ht="157.5">
      <c r="A43" s="32" t="s">
        <v>896</v>
      </c>
      <c r="B43" s="534"/>
      <c r="C43" s="532"/>
      <c r="D43" s="520"/>
      <c r="E43" s="529"/>
      <c r="F43" s="45" t="s">
        <v>812</v>
      </c>
      <c r="G43" s="36"/>
      <c r="H43" s="34"/>
      <c r="I43" s="36" t="s">
        <v>813</v>
      </c>
      <c r="J43" s="23" t="s">
        <v>59</v>
      </c>
      <c r="K43" s="34"/>
      <c r="L43" s="35" t="s">
        <v>798</v>
      </c>
      <c r="M43" s="282" t="s">
        <v>799</v>
      </c>
      <c r="N43" s="44"/>
      <c r="O43" s="44"/>
      <c r="P43" s="39"/>
      <c r="Q43" s="39"/>
      <c r="R43" s="39"/>
      <c r="S43" s="40"/>
    </row>
    <row r="44" spans="1:19" ht="157.5">
      <c r="A44" s="32" t="s">
        <v>897</v>
      </c>
      <c r="B44" s="534"/>
      <c r="C44" s="532"/>
      <c r="D44" s="509" t="s">
        <v>898</v>
      </c>
      <c r="E44" s="529"/>
      <c r="F44" s="42" t="s">
        <v>899</v>
      </c>
      <c r="G44" s="36"/>
      <c r="H44" s="34"/>
      <c r="I44" s="31" t="s">
        <v>869</v>
      </c>
      <c r="J44" s="23" t="s">
        <v>59</v>
      </c>
      <c r="K44" s="34"/>
      <c r="L44" s="35" t="s">
        <v>798</v>
      </c>
      <c r="M44" s="282" t="s">
        <v>799</v>
      </c>
      <c r="N44" s="44"/>
      <c r="O44" s="44"/>
      <c r="P44" s="39"/>
      <c r="Q44" s="39"/>
      <c r="R44" s="39"/>
      <c r="S44" s="40"/>
    </row>
    <row r="45" spans="1:19" ht="157.5">
      <c r="A45" s="32" t="s">
        <v>900</v>
      </c>
      <c r="B45" s="534"/>
      <c r="C45" s="532"/>
      <c r="D45" s="510"/>
      <c r="E45" s="529"/>
      <c r="F45" s="42" t="s">
        <v>901</v>
      </c>
      <c r="G45" s="36"/>
      <c r="H45" s="34"/>
      <c r="I45" s="31" t="s">
        <v>869</v>
      </c>
      <c r="J45" s="23" t="s">
        <v>59</v>
      </c>
      <c r="K45" s="34"/>
      <c r="L45" s="35" t="s">
        <v>798</v>
      </c>
      <c r="M45" s="282" t="s">
        <v>799</v>
      </c>
      <c r="N45" s="44"/>
      <c r="O45" s="44"/>
      <c r="P45" s="39"/>
      <c r="Q45" s="39"/>
      <c r="R45" s="39"/>
      <c r="S45" s="40"/>
    </row>
    <row r="46" spans="1:19" ht="157.5">
      <c r="A46" s="32" t="s">
        <v>902</v>
      </c>
      <c r="B46" s="534"/>
      <c r="C46" s="532"/>
      <c r="D46" s="510"/>
      <c r="E46" s="529"/>
      <c r="F46" s="42" t="s">
        <v>903</v>
      </c>
      <c r="G46" s="36"/>
      <c r="H46" s="34"/>
      <c r="I46" s="36" t="s">
        <v>904</v>
      </c>
      <c r="J46" s="23" t="s">
        <v>59</v>
      </c>
      <c r="K46" s="34"/>
      <c r="L46" s="35" t="s">
        <v>798</v>
      </c>
      <c r="M46" s="282" t="s">
        <v>799</v>
      </c>
      <c r="N46" s="44"/>
      <c r="O46" s="44"/>
      <c r="P46" s="39"/>
      <c r="Q46" s="39"/>
      <c r="R46" s="39"/>
      <c r="S46" s="40"/>
    </row>
    <row r="47" spans="1:19" ht="157.5">
      <c r="A47" s="32" t="s">
        <v>905</v>
      </c>
      <c r="B47" s="534"/>
      <c r="C47" s="532"/>
      <c r="D47" s="510"/>
      <c r="E47" s="529"/>
      <c r="F47" s="42" t="s">
        <v>906</v>
      </c>
      <c r="G47" s="36"/>
      <c r="H47" s="34"/>
      <c r="I47" s="48" t="s">
        <v>907</v>
      </c>
      <c r="J47" s="23" t="s">
        <v>59</v>
      </c>
      <c r="K47" s="34"/>
      <c r="L47" s="35" t="s">
        <v>798</v>
      </c>
      <c r="M47" s="282" t="s">
        <v>799</v>
      </c>
      <c r="N47" s="44"/>
      <c r="O47" s="44"/>
      <c r="P47" s="39"/>
      <c r="Q47" s="39"/>
      <c r="R47" s="39"/>
      <c r="S47" s="40"/>
    </row>
    <row r="48" spans="1:19" ht="157.5">
      <c r="A48" s="32" t="s">
        <v>908</v>
      </c>
      <c r="B48" s="534"/>
      <c r="C48" s="532"/>
      <c r="D48" s="510"/>
      <c r="E48" s="529"/>
      <c r="F48" s="42" t="s">
        <v>909</v>
      </c>
      <c r="G48" s="36"/>
      <c r="H48" s="34"/>
      <c r="I48" s="31" t="s">
        <v>910</v>
      </c>
      <c r="J48" s="23" t="s">
        <v>59</v>
      </c>
      <c r="K48" s="34"/>
      <c r="L48" s="35" t="s">
        <v>798</v>
      </c>
      <c r="M48" s="282" t="s">
        <v>799</v>
      </c>
      <c r="N48" s="44"/>
      <c r="O48" s="44"/>
      <c r="P48" s="39"/>
      <c r="Q48" s="39"/>
      <c r="R48" s="39"/>
      <c r="S48" s="40"/>
    </row>
    <row r="49" spans="1:19" ht="157.5">
      <c r="A49" s="32" t="s">
        <v>911</v>
      </c>
      <c r="B49" s="534"/>
      <c r="C49" s="532"/>
      <c r="D49" s="511"/>
      <c r="E49" s="529"/>
      <c r="F49" s="48" t="s">
        <v>912</v>
      </c>
      <c r="G49" s="48"/>
      <c r="H49" s="63"/>
      <c r="I49" s="48" t="s">
        <v>913</v>
      </c>
      <c r="J49" s="23" t="s">
        <v>59</v>
      </c>
      <c r="K49" s="34"/>
      <c r="L49" s="35" t="s">
        <v>798</v>
      </c>
      <c r="M49" s="282" t="s">
        <v>799</v>
      </c>
      <c r="N49" s="44"/>
      <c r="O49" s="44"/>
      <c r="P49" s="39"/>
      <c r="Q49" s="39"/>
      <c r="R49" s="39"/>
      <c r="S49" s="40"/>
    </row>
    <row r="50" spans="1:19" ht="157.5">
      <c r="A50" s="32" t="s">
        <v>914</v>
      </c>
      <c r="B50" s="534"/>
      <c r="C50" s="532"/>
      <c r="D50" s="520" t="s">
        <v>915</v>
      </c>
      <c r="E50" s="529"/>
      <c r="F50" s="45" t="s">
        <v>916</v>
      </c>
      <c r="G50" s="36"/>
      <c r="H50" s="34"/>
      <c r="I50" s="36" t="s">
        <v>917</v>
      </c>
      <c r="J50" s="23" t="s">
        <v>59</v>
      </c>
      <c r="K50" s="34"/>
      <c r="L50" s="35" t="s">
        <v>798</v>
      </c>
      <c r="M50" s="282" t="s">
        <v>799</v>
      </c>
      <c r="N50" s="44"/>
      <c r="O50" s="44"/>
      <c r="P50" s="39"/>
      <c r="Q50" s="39"/>
      <c r="R50" s="39"/>
      <c r="S50" s="40"/>
    </row>
    <row r="51" spans="1:19" ht="157.5">
      <c r="A51" s="32" t="s">
        <v>918</v>
      </c>
      <c r="B51" s="534"/>
      <c r="C51" s="532"/>
      <c r="D51" s="520"/>
      <c r="E51" s="529"/>
      <c r="F51" s="45" t="s">
        <v>840</v>
      </c>
      <c r="G51" s="36"/>
      <c r="H51" s="34"/>
      <c r="I51" s="36" t="s">
        <v>919</v>
      </c>
      <c r="J51" s="23" t="s">
        <v>59</v>
      </c>
      <c r="K51" s="34" t="s">
        <v>920</v>
      </c>
      <c r="L51" s="35" t="s">
        <v>798</v>
      </c>
      <c r="M51" s="282" t="s">
        <v>799</v>
      </c>
      <c r="N51" s="44"/>
      <c r="O51" s="44"/>
      <c r="P51" s="39"/>
      <c r="Q51" s="39"/>
      <c r="R51" s="39"/>
      <c r="S51" s="40"/>
    </row>
    <row r="52" spans="1:19" ht="157.5">
      <c r="A52" s="32" t="s">
        <v>921</v>
      </c>
      <c r="B52" s="534"/>
      <c r="C52" s="532"/>
      <c r="D52" s="530" t="s">
        <v>922</v>
      </c>
      <c r="E52" s="529"/>
      <c r="F52" s="49" t="s">
        <v>923</v>
      </c>
      <c r="G52" s="36"/>
      <c r="H52" s="34"/>
      <c r="I52" s="35" t="s">
        <v>924</v>
      </c>
      <c r="J52" s="23" t="s">
        <v>59</v>
      </c>
      <c r="K52" s="34"/>
      <c r="L52" s="35" t="s">
        <v>798</v>
      </c>
      <c r="M52" s="282" t="s">
        <v>799</v>
      </c>
      <c r="N52" s="44"/>
      <c r="O52" s="44"/>
      <c r="P52" s="39"/>
      <c r="Q52" s="39"/>
      <c r="R52" s="39"/>
      <c r="S52" s="40"/>
    </row>
    <row r="53" spans="1:19" ht="157.5">
      <c r="A53" s="32" t="s">
        <v>925</v>
      </c>
      <c r="B53" s="534"/>
      <c r="C53" s="532"/>
      <c r="D53" s="530"/>
      <c r="E53" s="529"/>
      <c r="F53" s="49" t="s">
        <v>926</v>
      </c>
      <c r="G53" s="36"/>
      <c r="H53" s="34"/>
      <c r="I53" s="35" t="s">
        <v>927</v>
      </c>
      <c r="J53" s="23" t="s">
        <v>59</v>
      </c>
      <c r="K53" s="34"/>
      <c r="L53" s="35" t="s">
        <v>798</v>
      </c>
      <c r="M53" s="282" t="s">
        <v>799</v>
      </c>
      <c r="N53" s="44"/>
      <c r="O53" s="44"/>
      <c r="P53" s="39"/>
      <c r="Q53" s="39"/>
      <c r="R53" s="39"/>
      <c r="S53" s="40"/>
    </row>
    <row r="54" spans="1:19" ht="157.5">
      <c r="A54" s="32" t="s">
        <v>928</v>
      </c>
      <c r="B54" s="534"/>
      <c r="C54" s="532"/>
      <c r="D54" s="530"/>
      <c r="E54" s="529"/>
      <c r="F54" s="49" t="s">
        <v>929</v>
      </c>
      <c r="G54" s="36"/>
      <c r="H54" s="34"/>
      <c r="I54" s="34" t="s">
        <v>930</v>
      </c>
      <c r="J54" s="23" t="s">
        <v>59</v>
      </c>
      <c r="K54" s="34" t="s">
        <v>931</v>
      </c>
      <c r="L54" s="35" t="s">
        <v>798</v>
      </c>
      <c r="M54" s="282" t="s">
        <v>799</v>
      </c>
      <c r="N54" s="44"/>
      <c r="O54" s="44"/>
      <c r="P54" s="39"/>
      <c r="Q54" s="39"/>
      <c r="R54" s="39"/>
      <c r="S54" s="40"/>
    </row>
    <row r="55" spans="1:19" ht="157.5">
      <c r="A55" s="32" t="s">
        <v>932</v>
      </c>
      <c r="B55" s="534"/>
      <c r="C55" s="532"/>
      <c r="D55" s="530"/>
      <c r="E55" s="529"/>
      <c r="F55" s="49" t="s">
        <v>933</v>
      </c>
      <c r="G55" s="36"/>
      <c r="H55" s="34"/>
      <c r="I55" s="34" t="s">
        <v>934</v>
      </c>
      <c r="J55" s="23" t="s">
        <v>59</v>
      </c>
      <c r="K55" s="34" t="s">
        <v>931</v>
      </c>
      <c r="L55" s="35" t="s">
        <v>798</v>
      </c>
      <c r="M55" s="282" t="s">
        <v>799</v>
      </c>
      <c r="N55" s="44"/>
      <c r="O55" s="44"/>
      <c r="P55" s="39"/>
      <c r="Q55" s="39"/>
      <c r="R55" s="39"/>
      <c r="S55" s="40"/>
    </row>
    <row r="56" spans="1:19" ht="157.5">
      <c r="A56" s="32" t="s">
        <v>935</v>
      </c>
      <c r="B56" s="534"/>
      <c r="C56" s="532"/>
      <c r="D56" s="530"/>
      <c r="E56" s="529"/>
      <c r="F56" s="49" t="s">
        <v>936</v>
      </c>
      <c r="G56" s="36"/>
      <c r="H56" s="34"/>
      <c r="I56" s="34" t="s">
        <v>937</v>
      </c>
      <c r="J56" s="23" t="s">
        <v>59</v>
      </c>
      <c r="K56" s="34"/>
      <c r="L56" s="35" t="s">
        <v>798</v>
      </c>
      <c r="M56" s="282" t="s">
        <v>799</v>
      </c>
      <c r="N56" s="44"/>
      <c r="O56" s="44"/>
      <c r="P56" s="39"/>
      <c r="Q56" s="39"/>
      <c r="R56" s="39"/>
      <c r="S56" s="40"/>
    </row>
    <row r="57" spans="1:19" ht="243" customHeight="1">
      <c r="A57" s="32" t="s">
        <v>938</v>
      </c>
      <c r="B57" s="534"/>
      <c r="C57" s="532"/>
      <c r="D57" s="512" t="s">
        <v>939</v>
      </c>
      <c r="E57" s="529"/>
      <c r="F57" s="31" t="s">
        <v>940</v>
      </c>
      <c r="G57" s="31" t="s">
        <v>941</v>
      </c>
      <c r="H57" s="63"/>
      <c r="I57" s="31" t="s">
        <v>942</v>
      </c>
      <c r="J57" s="23" t="s">
        <v>59</v>
      </c>
      <c r="K57" s="34"/>
      <c r="L57" s="35" t="s">
        <v>798</v>
      </c>
      <c r="M57" s="282" t="s">
        <v>799</v>
      </c>
      <c r="N57" s="44"/>
      <c r="O57" s="44"/>
      <c r="P57" s="39"/>
      <c r="Q57" s="39"/>
      <c r="R57" s="39"/>
      <c r="S57" s="40"/>
    </row>
    <row r="58" spans="1:19" ht="129.75" customHeight="1">
      <c r="A58" s="32" t="s">
        <v>943</v>
      </c>
      <c r="B58" s="534"/>
      <c r="C58" s="532"/>
      <c r="D58" s="513"/>
      <c r="E58" s="529"/>
      <c r="F58" s="31" t="s">
        <v>944</v>
      </c>
      <c r="G58" s="31" t="s">
        <v>945</v>
      </c>
      <c r="H58" s="63"/>
      <c r="I58" s="31" t="s">
        <v>946</v>
      </c>
      <c r="J58" s="23" t="s">
        <v>59</v>
      </c>
      <c r="K58" s="34"/>
      <c r="L58" s="35" t="s">
        <v>798</v>
      </c>
      <c r="M58" s="282" t="s">
        <v>799</v>
      </c>
      <c r="N58" s="44"/>
      <c r="O58" s="44"/>
      <c r="P58" s="39"/>
      <c r="Q58" s="39"/>
      <c r="R58" s="39"/>
      <c r="S58" s="40"/>
    </row>
    <row r="59" spans="1:19" ht="157.5">
      <c r="A59" s="32" t="s">
        <v>947</v>
      </c>
      <c r="B59" s="534"/>
      <c r="C59" s="532"/>
      <c r="D59" s="50" t="s">
        <v>92</v>
      </c>
      <c r="E59" s="529"/>
      <c r="F59" s="42" t="s">
        <v>948</v>
      </c>
      <c r="G59" s="36"/>
      <c r="H59" s="34"/>
      <c r="I59" s="34" t="s">
        <v>94</v>
      </c>
      <c r="J59" s="23" t="s">
        <v>59</v>
      </c>
      <c r="K59" s="34"/>
      <c r="L59" s="35" t="s">
        <v>798</v>
      </c>
      <c r="M59" s="282" t="s">
        <v>799</v>
      </c>
      <c r="N59" s="44"/>
      <c r="O59" s="44"/>
      <c r="P59" s="39"/>
      <c r="Q59" s="39"/>
      <c r="R59" s="39"/>
      <c r="S59" s="40"/>
    </row>
    <row r="60" spans="1:19" ht="157.5">
      <c r="A60" s="32" t="s">
        <v>949</v>
      </c>
      <c r="B60" s="534"/>
      <c r="C60" s="532"/>
      <c r="D60" s="530" t="s">
        <v>950</v>
      </c>
      <c r="E60" s="529"/>
      <c r="F60" s="45" t="s">
        <v>951</v>
      </c>
      <c r="G60" s="36"/>
      <c r="H60" s="34"/>
      <c r="I60" s="34" t="s">
        <v>869</v>
      </c>
      <c r="J60" s="23" t="s">
        <v>59</v>
      </c>
      <c r="K60" s="34"/>
      <c r="L60" s="35" t="s">
        <v>798</v>
      </c>
      <c r="M60" s="282" t="s">
        <v>799</v>
      </c>
      <c r="N60" s="44"/>
      <c r="O60" s="44"/>
      <c r="P60" s="39"/>
      <c r="Q60" s="39"/>
      <c r="R60" s="39"/>
      <c r="S60" s="40"/>
    </row>
    <row r="61" spans="1:19" ht="157.5">
      <c r="A61" s="32" t="s">
        <v>952</v>
      </c>
      <c r="B61" s="534"/>
      <c r="C61" s="532"/>
      <c r="D61" s="530"/>
      <c r="E61" s="529"/>
      <c r="F61" s="45" t="s">
        <v>953</v>
      </c>
      <c r="G61" s="36"/>
      <c r="H61" s="34"/>
      <c r="I61" s="34" t="s">
        <v>869</v>
      </c>
      <c r="J61" s="23" t="s">
        <v>59</v>
      </c>
      <c r="K61" s="34"/>
      <c r="L61" s="35" t="s">
        <v>798</v>
      </c>
      <c r="M61" s="282" t="s">
        <v>799</v>
      </c>
      <c r="N61" s="44"/>
      <c r="O61" s="44"/>
      <c r="P61" s="39"/>
      <c r="Q61" s="39"/>
      <c r="R61" s="39"/>
      <c r="S61" s="40"/>
    </row>
    <row r="62" spans="1:19" ht="157.5">
      <c r="A62" s="32" t="s">
        <v>954</v>
      </c>
      <c r="B62" s="534"/>
      <c r="C62" s="532"/>
      <c r="D62" s="530"/>
      <c r="E62" s="529"/>
      <c r="F62" s="49" t="s">
        <v>955</v>
      </c>
      <c r="G62" s="36"/>
      <c r="H62" s="34"/>
      <c r="I62" s="34" t="s">
        <v>956</v>
      </c>
      <c r="J62" s="23" t="s">
        <v>59</v>
      </c>
      <c r="K62" s="34"/>
      <c r="L62" s="35" t="s">
        <v>798</v>
      </c>
      <c r="M62" s="282" t="s">
        <v>799</v>
      </c>
      <c r="N62" s="44"/>
      <c r="O62" s="44"/>
      <c r="P62" s="39"/>
      <c r="Q62" s="39"/>
      <c r="R62" s="39"/>
      <c r="S62" s="40"/>
    </row>
    <row r="63" spans="1:19" ht="157.5">
      <c r="A63" s="32" t="s">
        <v>957</v>
      </c>
      <c r="B63" s="534"/>
      <c r="C63" s="532"/>
      <c r="D63" s="528" t="s">
        <v>958</v>
      </c>
      <c r="E63" s="529"/>
      <c r="F63" s="45" t="s">
        <v>959</v>
      </c>
      <c r="G63" s="36"/>
      <c r="H63" s="34"/>
      <c r="I63" s="48" t="s">
        <v>960</v>
      </c>
      <c r="J63" s="23" t="s">
        <v>59</v>
      </c>
      <c r="K63" s="34"/>
      <c r="L63" s="35" t="s">
        <v>798</v>
      </c>
      <c r="M63" s="282" t="s">
        <v>799</v>
      </c>
      <c r="N63" s="44"/>
      <c r="O63" s="44"/>
      <c r="P63" s="39"/>
      <c r="Q63" s="39"/>
      <c r="R63" s="39"/>
      <c r="S63" s="40"/>
    </row>
    <row r="64" spans="1:19" ht="157.5">
      <c r="A64" s="32" t="s">
        <v>961</v>
      </c>
      <c r="B64" s="534"/>
      <c r="C64" s="532"/>
      <c r="D64" s="528"/>
      <c r="E64" s="529"/>
      <c r="F64" s="45" t="s">
        <v>962</v>
      </c>
      <c r="G64" s="36"/>
      <c r="H64" s="34"/>
      <c r="I64" s="34" t="s">
        <v>963</v>
      </c>
      <c r="J64" s="23" t="s">
        <v>59</v>
      </c>
      <c r="K64" s="34"/>
      <c r="L64" s="35" t="s">
        <v>798</v>
      </c>
      <c r="M64" s="282" t="s">
        <v>799</v>
      </c>
      <c r="N64" s="44"/>
      <c r="O64" s="44"/>
      <c r="P64" s="39"/>
      <c r="Q64" s="39"/>
      <c r="R64" s="39"/>
      <c r="S64" s="40"/>
    </row>
    <row r="65" spans="1:19" ht="157.5">
      <c r="A65" s="32" t="s">
        <v>964</v>
      </c>
      <c r="B65" s="534"/>
      <c r="C65" s="532"/>
      <c r="D65" s="528"/>
      <c r="E65" s="529"/>
      <c r="F65" s="45" t="s">
        <v>965</v>
      </c>
      <c r="G65" s="36"/>
      <c r="H65" s="34"/>
      <c r="I65" s="34"/>
      <c r="J65" s="23" t="s">
        <v>59</v>
      </c>
      <c r="K65" s="34"/>
      <c r="L65" s="35" t="s">
        <v>798</v>
      </c>
      <c r="M65" s="282" t="s">
        <v>799</v>
      </c>
      <c r="N65" s="44"/>
      <c r="O65" s="44"/>
      <c r="P65" s="39"/>
      <c r="Q65" s="39"/>
      <c r="R65" s="39"/>
      <c r="S65" s="40"/>
    </row>
    <row r="66" spans="1:19" ht="157.5">
      <c r="A66" s="32" t="s">
        <v>966</v>
      </c>
      <c r="B66" s="534"/>
      <c r="C66" s="532"/>
      <c r="D66" s="528"/>
      <c r="E66" s="529"/>
      <c r="F66" s="45" t="s">
        <v>967</v>
      </c>
      <c r="G66" s="36"/>
      <c r="H66" s="34"/>
      <c r="I66" s="35" t="s">
        <v>968</v>
      </c>
      <c r="J66" s="23" t="s">
        <v>59</v>
      </c>
      <c r="K66" s="34"/>
      <c r="L66" s="35" t="s">
        <v>798</v>
      </c>
      <c r="M66" s="282" t="s">
        <v>799</v>
      </c>
      <c r="N66" s="44"/>
      <c r="O66" s="44"/>
      <c r="P66" s="39"/>
      <c r="Q66" s="39"/>
      <c r="R66" s="39"/>
      <c r="S66" s="40"/>
    </row>
    <row r="67" spans="1:19" ht="351" customHeight="1">
      <c r="A67" s="32" t="s">
        <v>969</v>
      </c>
      <c r="B67" s="534"/>
      <c r="C67" s="532"/>
      <c r="D67" s="31" t="s">
        <v>970</v>
      </c>
      <c r="E67" s="31"/>
      <c r="F67" s="31" t="s">
        <v>971</v>
      </c>
      <c r="G67" s="31" t="s">
        <v>972</v>
      </c>
      <c r="H67" s="63"/>
      <c r="I67" s="31" t="s">
        <v>973</v>
      </c>
      <c r="J67" s="23" t="s">
        <v>59</v>
      </c>
      <c r="K67" s="35"/>
      <c r="L67" s="35" t="s">
        <v>798</v>
      </c>
      <c r="M67" s="282" t="s">
        <v>799</v>
      </c>
      <c r="N67" s="44"/>
      <c r="O67" s="44"/>
      <c r="P67" s="39"/>
      <c r="Q67" s="39"/>
      <c r="R67" s="39"/>
      <c r="S67" s="40"/>
    </row>
    <row r="68" spans="1:19" ht="32.25" customHeight="1">
      <c r="A68" s="427" t="s">
        <v>974</v>
      </c>
      <c r="B68" s="427"/>
      <c r="C68" s="427"/>
      <c r="D68" s="427"/>
      <c r="E68" s="427"/>
      <c r="F68" s="427"/>
      <c r="G68" s="427"/>
      <c r="H68" s="427"/>
      <c r="I68" s="427"/>
      <c r="J68" s="427"/>
      <c r="K68" s="427"/>
      <c r="L68" s="427"/>
      <c r="M68" s="427"/>
      <c r="N68" s="17">
        <f>COUNTIF($J69:J83,"PASS")</f>
        <v>15</v>
      </c>
      <c r="O68" s="17">
        <f>COUNTIF($J69:J83,"FAIL")</f>
        <v>0</v>
      </c>
      <c r="P68" s="17">
        <f>COUNTBLANK(J69:J89)</f>
        <v>0</v>
      </c>
      <c r="Q68" s="17">
        <f>COUNTIF($J69:J83,"IN PROGRESS")</f>
        <v>0</v>
      </c>
      <c r="R68" s="17">
        <f>COUNTIF($J69:J83,"BLOCKED")</f>
        <v>0</v>
      </c>
      <c r="S68" s="40"/>
    </row>
    <row r="69" spans="1:19" ht="157.5">
      <c r="A69" s="32" t="s">
        <v>975</v>
      </c>
      <c r="B69" s="521" t="s">
        <v>976</v>
      </c>
      <c r="C69" s="524" t="s">
        <v>54</v>
      </c>
      <c r="D69" s="514" t="s">
        <v>977</v>
      </c>
      <c r="E69" s="517" t="s">
        <v>978</v>
      </c>
      <c r="F69" s="51" t="s">
        <v>979</v>
      </c>
      <c r="G69" s="32"/>
      <c r="H69" s="34"/>
      <c r="I69" s="51" t="s">
        <v>980</v>
      </c>
      <c r="J69" s="23" t="s">
        <v>59</v>
      </c>
      <c r="K69" s="34"/>
      <c r="L69" s="35" t="s">
        <v>798</v>
      </c>
      <c r="M69" s="282" t="s">
        <v>799</v>
      </c>
      <c r="N69" s="39"/>
      <c r="O69" s="39"/>
      <c r="P69" s="39"/>
      <c r="Q69" s="39"/>
      <c r="R69" s="39"/>
      <c r="S69" s="40"/>
    </row>
    <row r="70" spans="1:19" ht="157.5">
      <c r="A70" s="32" t="s">
        <v>981</v>
      </c>
      <c r="B70" s="522"/>
      <c r="C70" s="525"/>
      <c r="D70" s="515"/>
      <c r="E70" s="518"/>
      <c r="F70" s="51" t="s">
        <v>982</v>
      </c>
      <c r="G70" s="32"/>
      <c r="H70" s="34"/>
      <c r="I70" s="51" t="s">
        <v>983</v>
      </c>
      <c r="J70" s="23" t="s">
        <v>59</v>
      </c>
      <c r="K70" s="34"/>
      <c r="L70" s="35" t="s">
        <v>798</v>
      </c>
      <c r="M70" s="282" t="s">
        <v>799</v>
      </c>
      <c r="N70" s="39"/>
      <c r="O70" s="39"/>
      <c r="P70" s="39"/>
      <c r="Q70" s="39"/>
      <c r="R70" s="39"/>
      <c r="S70" s="40"/>
    </row>
    <row r="71" spans="1:19" ht="157.5">
      <c r="A71" s="32" t="s">
        <v>984</v>
      </c>
      <c r="B71" s="522"/>
      <c r="C71" s="525"/>
      <c r="D71" s="515"/>
      <c r="E71" s="518"/>
      <c r="F71" s="51" t="s">
        <v>985</v>
      </c>
      <c r="G71" s="32"/>
      <c r="H71" s="34"/>
      <c r="I71" s="51" t="s">
        <v>986</v>
      </c>
      <c r="J71" s="23" t="s">
        <v>59</v>
      </c>
      <c r="K71" s="34"/>
      <c r="L71" s="35" t="s">
        <v>798</v>
      </c>
      <c r="M71" s="282" t="s">
        <v>799</v>
      </c>
      <c r="N71" s="39"/>
      <c r="O71" s="39"/>
      <c r="P71" s="39"/>
      <c r="Q71" s="39"/>
      <c r="R71" s="39"/>
      <c r="S71" s="40"/>
    </row>
    <row r="72" spans="1:19" ht="157.5">
      <c r="A72" s="32" t="s">
        <v>987</v>
      </c>
      <c r="B72" s="522"/>
      <c r="C72" s="525"/>
      <c r="D72" s="516"/>
      <c r="E72" s="519"/>
      <c r="F72" s="51" t="s">
        <v>988</v>
      </c>
      <c r="G72" s="32"/>
      <c r="H72" s="34"/>
      <c r="I72" s="51" t="s">
        <v>989</v>
      </c>
      <c r="J72" s="23" t="s">
        <v>59</v>
      </c>
      <c r="K72" s="34"/>
      <c r="L72" s="35" t="s">
        <v>798</v>
      </c>
      <c r="M72" s="282" t="s">
        <v>799</v>
      </c>
      <c r="N72" s="39"/>
      <c r="O72" s="39"/>
      <c r="P72" s="39"/>
      <c r="Q72" s="39"/>
      <c r="R72" s="39"/>
      <c r="S72" s="40"/>
    </row>
    <row r="73" spans="1:19" ht="157.5">
      <c r="A73" s="32" t="s">
        <v>990</v>
      </c>
      <c r="B73" s="522"/>
      <c r="C73" s="525"/>
      <c r="D73" s="36" t="s">
        <v>991</v>
      </c>
      <c r="E73" s="36" t="s">
        <v>992</v>
      </c>
      <c r="F73" s="36" t="s">
        <v>993</v>
      </c>
      <c r="G73" s="36"/>
      <c r="H73" s="34"/>
      <c r="I73" s="35" t="s">
        <v>994</v>
      </c>
      <c r="J73" s="23" t="s">
        <v>59</v>
      </c>
      <c r="K73" s="34"/>
      <c r="L73" s="35" t="s">
        <v>798</v>
      </c>
      <c r="M73" s="282" t="s">
        <v>799</v>
      </c>
      <c r="N73" s="39"/>
      <c r="O73" s="39"/>
      <c r="P73" s="39"/>
      <c r="Q73" s="39"/>
      <c r="R73" s="39"/>
      <c r="S73" s="40"/>
    </row>
    <row r="74" spans="1:19" ht="157.5">
      <c r="A74" s="32" t="s">
        <v>995</v>
      </c>
      <c r="B74" s="522"/>
      <c r="C74" s="525"/>
      <c r="D74" s="36" t="s">
        <v>996</v>
      </c>
      <c r="E74" s="52"/>
      <c r="F74" s="36" t="s">
        <v>997</v>
      </c>
      <c r="G74" s="36"/>
      <c r="H74" s="34"/>
      <c r="I74" s="35" t="s">
        <v>998</v>
      </c>
      <c r="J74" s="23" t="s">
        <v>59</v>
      </c>
      <c r="K74" s="34"/>
      <c r="L74" s="35" t="s">
        <v>798</v>
      </c>
      <c r="M74" s="282" t="s">
        <v>799</v>
      </c>
      <c r="N74" s="39"/>
      <c r="O74" s="39"/>
      <c r="P74" s="39"/>
      <c r="Q74" s="39"/>
      <c r="R74" s="39"/>
      <c r="S74" s="40"/>
    </row>
    <row r="75" spans="1:19" ht="157.5">
      <c r="A75" s="32" t="s">
        <v>999</v>
      </c>
      <c r="B75" s="522"/>
      <c r="C75" s="525"/>
      <c r="D75" s="508" t="s">
        <v>1000</v>
      </c>
      <c r="E75" s="50"/>
      <c r="F75" s="55" t="s">
        <v>1001</v>
      </c>
      <c r="G75" s="50"/>
      <c r="H75" s="56"/>
      <c r="I75" s="57" t="s">
        <v>1002</v>
      </c>
      <c r="J75" s="23" t="s">
        <v>59</v>
      </c>
      <c r="K75" s="34"/>
      <c r="L75" s="35" t="s">
        <v>798</v>
      </c>
      <c r="M75" s="282" t="s">
        <v>799</v>
      </c>
      <c r="N75" s="39"/>
      <c r="O75" s="39"/>
      <c r="P75" s="39"/>
      <c r="Q75" s="39"/>
      <c r="R75" s="39"/>
      <c r="S75" s="40"/>
    </row>
    <row r="76" spans="1:19" ht="157.5">
      <c r="A76" s="32" t="s">
        <v>1003</v>
      </c>
      <c r="B76" s="522"/>
      <c r="C76" s="525"/>
      <c r="D76" s="508"/>
      <c r="E76" s="50"/>
      <c r="F76" s="59" t="s">
        <v>1004</v>
      </c>
      <c r="G76" s="60"/>
      <c r="H76" s="61"/>
      <c r="I76" s="62" t="s">
        <v>71</v>
      </c>
      <c r="J76" s="23" t="s">
        <v>59</v>
      </c>
      <c r="K76" s="34"/>
      <c r="L76" s="35" t="s">
        <v>798</v>
      </c>
      <c r="M76" s="282" t="s">
        <v>799</v>
      </c>
      <c r="N76" s="39"/>
      <c r="O76" s="39"/>
      <c r="P76" s="39"/>
      <c r="Q76" s="39"/>
      <c r="R76" s="39"/>
      <c r="S76" s="40"/>
    </row>
    <row r="77" spans="1:19" ht="157.5">
      <c r="A77" s="32" t="s">
        <v>1005</v>
      </c>
      <c r="B77" s="522"/>
      <c r="C77" s="525"/>
      <c r="D77" s="508"/>
      <c r="E77" s="50"/>
      <c r="F77" s="42" t="s">
        <v>1006</v>
      </c>
      <c r="G77" s="36"/>
      <c r="H77" s="34"/>
      <c r="I77" s="35" t="s">
        <v>71</v>
      </c>
      <c r="J77" s="23" t="s">
        <v>59</v>
      </c>
      <c r="K77" s="34"/>
      <c r="L77" s="35" t="s">
        <v>798</v>
      </c>
      <c r="M77" s="282" t="s">
        <v>799</v>
      </c>
      <c r="N77" s="39"/>
      <c r="O77" s="39"/>
      <c r="P77" s="39"/>
      <c r="Q77" s="39"/>
      <c r="R77" s="39"/>
      <c r="S77" s="40"/>
    </row>
    <row r="78" spans="1:19" ht="157.5">
      <c r="A78" s="32" t="s">
        <v>1007</v>
      </c>
      <c r="B78" s="522"/>
      <c r="C78" s="525"/>
      <c r="D78" s="508"/>
      <c r="E78" s="50"/>
      <c r="F78" s="42" t="s">
        <v>1008</v>
      </c>
      <c r="G78" s="36"/>
      <c r="H78" s="34"/>
      <c r="I78" s="35" t="s">
        <v>1009</v>
      </c>
      <c r="J78" s="23" t="s">
        <v>59</v>
      </c>
      <c r="K78" s="34"/>
      <c r="L78" s="35" t="s">
        <v>798</v>
      </c>
      <c r="M78" s="282" t="s">
        <v>799</v>
      </c>
      <c r="N78" s="39"/>
      <c r="O78" s="39"/>
      <c r="P78" s="39"/>
      <c r="Q78" s="39"/>
      <c r="R78" s="39"/>
      <c r="S78" s="40"/>
    </row>
    <row r="79" spans="1:19" ht="207" customHeight="1">
      <c r="A79" s="32" t="s">
        <v>1010</v>
      </c>
      <c r="B79" s="522"/>
      <c r="C79" s="525"/>
      <c r="D79" s="508"/>
      <c r="E79" s="60"/>
      <c r="F79" s="31" t="s">
        <v>1011</v>
      </c>
      <c r="G79" s="36"/>
      <c r="H79" s="34"/>
      <c r="I79" s="35" t="s">
        <v>1012</v>
      </c>
      <c r="J79" s="23" t="s">
        <v>59</v>
      </c>
      <c r="K79" s="34"/>
      <c r="L79" s="35" t="s">
        <v>798</v>
      </c>
      <c r="M79" s="282" t="s">
        <v>799</v>
      </c>
      <c r="N79" s="39"/>
      <c r="O79" s="39"/>
      <c r="P79" s="39"/>
      <c r="Q79" s="39"/>
      <c r="R79" s="39"/>
      <c r="S79" s="40"/>
    </row>
    <row r="80" spans="1:19" ht="157.5">
      <c r="A80" s="32" t="s">
        <v>1013</v>
      </c>
      <c r="B80" s="522"/>
      <c r="C80" s="525"/>
      <c r="D80" s="508" t="s">
        <v>1014</v>
      </c>
      <c r="E80" s="539"/>
      <c r="F80" s="42" t="s">
        <v>138</v>
      </c>
      <c r="G80" s="36"/>
      <c r="H80" s="34"/>
      <c r="I80" s="31" t="s">
        <v>139</v>
      </c>
      <c r="J80" s="23" t="s">
        <v>59</v>
      </c>
      <c r="K80" s="34"/>
      <c r="L80" s="35" t="s">
        <v>798</v>
      </c>
      <c r="M80" s="282" t="s">
        <v>799</v>
      </c>
      <c r="N80" s="39"/>
      <c r="O80" s="39"/>
      <c r="P80" s="39"/>
      <c r="Q80" s="39"/>
      <c r="R80" s="39"/>
      <c r="S80" s="40"/>
    </row>
    <row r="81" spans="1:19" ht="157.5">
      <c r="A81" s="32" t="s">
        <v>1015</v>
      </c>
      <c r="B81" s="522"/>
      <c r="C81" s="525"/>
      <c r="D81" s="508"/>
      <c r="E81" s="539"/>
      <c r="F81" s="42" t="s">
        <v>1016</v>
      </c>
      <c r="G81" s="36"/>
      <c r="H81" s="34"/>
      <c r="I81" s="35" t="s">
        <v>1017</v>
      </c>
      <c r="J81" s="23" t="s">
        <v>59</v>
      </c>
      <c r="K81" s="34"/>
      <c r="L81" s="35" t="s">
        <v>798</v>
      </c>
      <c r="M81" s="282" t="s">
        <v>799</v>
      </c>
      <c r="N81" s="39"/>
      <c r="O81" s="39"/>
      <c r="P81" s="39"/>
      <c r="Q81" s="39"/>
      <c r="R81" s="39"/>
      <c r="S81" s="40"/>
    </row>
    <row r="82" spans="1:19" ht="157.5">
      <c r="A82" s="32" t="s">
        <v>1018</v>
      </c>
      <c r="B82" s="522"/>
      <c r="C82" s="525"/>
      <c r="D82" s="508"/>
      <c r="E82" s="539"/>
      <c r="F82" s="42" t="s">
        <v>861</v>
      </c>
      <c r="G82" s="36"/>
      <c r="H82" s="34"/>
      <c r="I82" s="31" t="s">
        <v>1019</v>
      </c>
      <c r="J82" s="23" t="s">
        <v>59</v>
      </c>
      <c r="K82" s="34"/>
      <c r="L82" s="35" t="s">
        <v>798</v>
      </c>
      <c r="M82" s="282" t="s">
        <v>799</v>
      </c>
      <c r="N82" s="39"/>
      <c r="O82" s="39"/>
      <c r="P82" s="39"/>
      <c r="Q82" s="39"/>
      <c r="R82" s="39"/>
      <c r="S82" s="40"/>
    </row>
    <row r="83" spans="1:19" ht="157.5">
      <c r="A83" s="32" t="s">
        <v>1020</v>
      </c>
      <c r="B83" s="522"/>
      <c r="C83" s="525"/>
      <c r="D83" s="508"/>
      <c r="E83" s="539"/>
      <c r="F83" s="42" t="s">
        <v>1021</v>
      </c>
      <c r="G83" s="36"/>
      <c r="H83" s="34"/>
      <c r="I83" s="31" t="s">
        <v>1022</v>
      </c>
      <c r="J83" s="23" t="s">
        <v>59</v>
      </c>
      <c r="K83" s="34"/>
      <c r="L83" s="35" t="s">
        <v>798</v>
      </c>
      <c r="M83" s="282" t="s">
        <v>799</v>
      </c>
      <c r="N83" s="39"/>
      <c r="O83" s="39"/>
      <c r="P83" s="39"/>
      <c r="Q83" s="39"/>
      <c r="R83" s="39"/>
      <c r="S83" s="40"/>
    </row>
    <row r="84" spans="1:19" ht="157.5">
      <c r="A84" s="32" t="s">
        <v>1023</v>
      </c>
      <c r="B84" s="522"/>
      <c r="C84" s="525"/>
      <c r="D84" s="508"/>
      <c r="E84" s="539"/>
      <c r="F84" s="45" t="s">
        <v>1024</v>
      </c>
      <c r="G84" s="36"/>
      <c r="H84" s="34"/>
      <c r="I84" s="34" t="s">
        <v>1025</v>
      </c>
      <c r="J84" s="23" t="s">
        <v>59</v>
      </c>
      <c r="K84" s="34"/>
      <c r="L84" s="35" t="s">
        <v>798</v>
      </c>
      <c r="M84" s="282" t="s">
        <v>799</v>
      </c>
      <c r="N84" s="39"/>
      <c r="O84" s="39"/>
      <c r="P84" s="39"/>
      <c r="Q84" s="39"/>
      <c r="R84" s="39"/>
      <c r="S84" s="40"/>
    </row>
    <row r="85" spans="1:19" ht="157.5">
      <c r="A85" s="32" t="s">
        <v>1026</v>
      </c>
      <c r="B85" s="522"/>
      <c r="C85" s="525"/>
      <c r="D85" s="508"/>
      <c r="E85" s="539"/>
      <c r="F85" s="45" t="s">
        <v>1027</v>
      </c>
      <c r="G85" s="36"/>
      <c r="H85" s="34"/>
      <c r="I85" s="34" t="s">
        <v>1028</v>
      </c>
      <c r="J85" s="23" t="s">
        <v>59</v>
      </c>
      <c r="K85" s="34"/>
      <c r="L85" s="35" t="s">
        <v>798</v>
      </c>
      <c r="M85" s="282" t="s">
        <v>799</v>
      </c>
      <c r="N85" s="39"/>
      <c r="O85" s="39"/>
      <c r="P85" s="39"/>
      <c r="Q85" s="39"/>
      <c r="R85" s="39"/>
      <c r="S85" s="40"/>
    </row>
    <row r="86" spans="1:19" ht="157.5">
      <c r="A86" s="32" t="s">
        <v>1029</v>
      </c>
      <c r="B86" s="522"/>
      <c r="C86" s="525"/>
      <c r="D86" s="508"/>
      <c r="E86" s="539"/>
      <c r="F86" s="53" t="s">
        <v>1030</v>
      </c>
      <c r="G86" s="52"/>
      <c r="H86" s="33"/>
      <c r="I86" s="52" t="s">
        <v>1031</v>
      </c>
      <c r="J86" s="23" t="s">
        <v>59</v>
      </c>
      <c r="K86" s="34"/>
      <c r="L86" s="35" t="s">
        <v>798</v>
      </c>
      <c r="M86" s="282" t="s">
        <v>799</v>
      </c>
      <c r="N86" s="39"/>
      <c r="O86" s="39"/>
      <c r="P86" s="39"/>
      <c r="Q86" s="39"/>
      <c r="R86" s="39"/>
      <c r="S86" s="40"/>
    </row>
    <row r="87" spans="1:19" ht="157.5">
      <c r="A87" s="32" t="s">
        <v>1032</v>
      </c>
      <c r="B87" s="522"/>
      <c r="C87" s="525"/>
      <c r="D87" s="536" t="s">
        <v>1033</v>
      </c>
      <c r="E87" s="527"/>
      <c r="F87" s="31" t="s">
        <v>1034</v>
      </c>
      <c r="G87" s="31" t="s">
        <v>1035</v>
      </c>
      <c r="H87" s="63"/>
      <c r="I87" s="69" t="s">
        <v>1036</v>
      </c>
      <c r="J87" s="23" t="s">
        <v>59</v>
      </c>
      <c r="K87" s="34"/>
      <c r="L87" s="35" t="s">
        <v>798</v>
      </c>
      <c r="M87" s="282" t="s">
        <v>799</v>
      </c>
      <c r="N87" s="39"/>
      <c r="O87" s="39"/>
      <c r="P87" s="39"/>
      <c r="Q87" s="39"/>
      <c r="R87" s="39"/>
      <c r="S87" s="40"/>
    </row>
    <row r="88" spans="1:19" ht="157.5">
      <c r="A88" s="32" t="s">
        <v>1037</v>
      </c>
      <c r="B88" s="522"/>
      <c r="C88" s="525"/>
      <c r="D88" s="542"/>
      <c r="E88" s="527"/>
      <c r="F88" s="31" t="s">
        <v>1038</v>
      </c>
      <c r="G88" s="31" t="s">
        <v>1039</v>
      </c>
      <c r="H88" s="63"/>
      <c r="I88" s="69" t="s">
        <v>1040</v>
      </c>
      <c r="J88" s="23" t="s">
        <v>59</v>
      </c>
      <c r="K88" s="34"/>
      <c r="L88" s="35" t="s">
        <v>798</v>
      </c>
      <c r="M88" s="282" t="s">
        <v>799</v>
      </c>
      <c r="N88" s="39"/>
      <c r="O88" s="39"/>
      <c r="P88" s="39"/>
      <c r="Q88" s="39"/>
      <c r="R88" s="39"/>
      <c r="S88" s="40"/>
    </row>
    <row r="89" spans="1:19" ht="157.5">
      <c r="A89" s="32" t="s">
        <v>1041</v>
      </c>
      <c r="B89" s="523"/>
      <c r="C89" s="526"/>
      <c r="D89" s="543"/>
      <c r="E89" s="527"/>
      <c r="F89" s="31" t="s">
        <v>1038</v>
      </c>
      <c r="G89" s="31" t="s">
        <v>1042</v>
      </c>
      <c r="H89" s="63"/>
      <c r="I89" s="69" t="s">
        <v>1040</v>
      </c>
      <c r="J89" s="23" t="s">
        <v>59</v>
      </c>
      <c r="K89" s="34"/>
      <c r="L89" s="35" t="s">
        <v>798</v>
      </c>
      <c r="M89" s="282" t="s">
        <v>799</v>
      </c>
      <c r="N89" s="39"/>
      <c r="O89" s="39"/>
      <c r="P89" s="39"/>
      <c r="Q89" s="39"/>
      <c r="R89" s="39"/>
      <c r="S89" s="40"/>
    </row>
    <row r="90" spans="1:19">
      <c r="A90" s="427" t="s">
        <v>1043</v>
      </c>
      <c r="B90" s="427"/>
      <c r="C90" s="427"/>
      <c r="D90" s="427"/>
      <c r="E90" s="427"/>
      <c r="F90" s="427"/>
      <c r="G90" s="427"/>
      <c r="H90" s="427"/>
      <c r="I90" s="427"/>
      <c r="J90" s="427"/>
      <c r="K90" s="427"/>
      <c r="L90" s="427"/>
      <c r="M90" s="427"/>
      <c r="N90" s="17">
        <f>COUNTIF($J91:J105,"PASS")</f>
        <v>15</v>
      </c>
      <c r="O90" s="17">
        <f>COUNTIF($J91:J105,"FAIL")</f>
        <v>0</v>
      </c>
      <c r="P90" s="17">
        <f>COUNTBLANK(J91:J113)</f>
        <v>0</v>
      </c>
      <c r="Q90" s="17">
        <f>COUNTIF($J91:J105,"IN PROGRESS")</f>
        <v>0</v>
      </c>
      <c r="R90" s="17">
        <f>COUNTIF($J91:J105,"BLOCKED")</f>
        <v>0</v>
      </c>
      <c r="S90" s="40"/>
    </row>
    <row r="91" spans="1:19" ht="157.5">
      <c r="A91" s="32" t="s">
        <v>1044</v>
      </c>
      <c r="B91" s="521" t="s">
        <v>1045</v>
      </c>
      <c r="C91" s="544" t="s">
        <v>54</v>
      </c>
      <c r="D91" s="514" t="s">
        <v>1046</v>
      </c>
      <c r="E91" s="517" t="s">
        <v>978</v>
      </c>
      <c r="F91" s="51" t="s">
        <v>1047</v>
      </c>
      <c r="G91" s="32"/>
      <c r="H91" s="34"/>
      <c r="I91" s="51" t="s">
        <v>1048</v>
      </c>
      <c r="J91" s="23" t="s">
        <v>59</v>
      </c>
      <c r="K91" s="34"/>
      <c r="L91" s="35" t="s">
        <v>798</v>
      </c>
      <c r="M91" s="282" t="s">
        <v>799</v>
      </c>
      <c r="N91" s="39"/>
      <c r="O91" s="39"/>
      <c r="P91" s="39"/>
      <c r="Q91" s="39"/>
      <c r="R91" s="39"/>
      <c r="S91" s="40"/>
    </row>
    <row r="92" spans="1:19" ht="157.5">
      <c r="A92" s="32" t="s">
        <v>1049</v>
      </c>
      <c r="B92" s="522"/>
      <c r="C92" s="545"/>
      <c r="D92" s="515"/>
      <c r="E92" s="540"/>
      <c r="F92" s="51" t="s">
        <v>982</v>
      </c>
      <c r="G92" s="32"/>
      <c r="H92" s="34"/>
      <c r="I92" s="51" t="s">
        <v>983</v>
      </c>
      <c r="J92" s="23" t="s">
        <v>59</v>
      </c>
      <c r="K92" s="34"/>
      <c r="L92" s="35" t="s">
        <v>798</v>
      </c>
      <c r="M92" s="282" t="s">
        <v>799</v>
      </c>
      <c r="N92" s="39"/>
      <c r="O92" s="39"/>
      <c r="P92" s="39"/>
      <c r="Q92" s="39"/>
      <c r="R92" s="39"/>
      <c r="S92" s="40"/>
    </row>
    <row r="93" spans="1:19" ht="157.5">
      <c r="A93" s="32" t="s">
        <v>1050</v>
      </c>
      <c r="B93" s="522"/>
      <c r="C93" s="545"/>
      <c r="D93" s="515"/>
      <c r="E93" s="540"/>
      <c r="F93" s="51" t="s">
        <v>985</v>
      </c>
      <c r="G93" s="32"/>
      <c r="H93" s="34"/>
      <c r="I93" s="51" t="s">
        <v>986</v>
      </c>
      <c r="J93" s="23" t="s">
        <v>59</v>
      </c>
      <c r="K93" s="34"/>
      <c r="L93" s="35" t="s">
        <v>798</v>
      </c>
      <c r="M93" s="282" t="s">
        <v>799</v>
      </c>
      <c r="N93" s="39"/>
      <c r="O93" s="39"/>
      <c r="P93" s="39"/>
      <c r="Q93" s="39"/>
      <c r="R93" s="39"/>
      <c r="S93" s="40"/>
    </row>
    <row r="94" spans="1:19" ht="157.5">
      <c r="A94" s="32" t="s">
        <v>1051</v>
      </c>
      <c r="B94" s="522"/>
      <c r="C94" s="545"/>
      <c r="D94" s="516"/>
      <c r="E94" s="541"/>
      <c r="F94" s="51" t="s">
        <v>988</v>
      </c>
      <c r="G94" s="32"/>
      <c r="H94" s="34"/>
      <c r="I94" s="51" t="s">
        <v>989</v>
      </c>
      <c r="J94" s="23" t="s">
        <v>59</v>
      </c>
      <c r="K94" s="34"/>
      <c r="L94" s="35" t="s">
        <v>798</v>
      </c>
      <c r="M94" s="282" t="s">
        <v>799</v>
      </c>
      <c r="N94" s="39"/>
      <c r="O94" s="39"/>
      <c r="P94" s="39"/>
      <c r="Q94" s="39"/>
      <c r="R94" s="39"/>
      <c r="S94" s="40"/>
    </row>
    <row r="95" spans="1:19" ht="115.5" customHeight="1">
      <c r="A95" s="32" t="s">
        <v>1052</v>
      </c>
      <c r="B95" s="522"/>
      <c r="C95" s="545"/>
      <c r="D95" s="36" t="s">
        <v>1053</v>
      </c>
      <c r="E95" s="36" t="s">
        <v>1054</v>
      </c>
      <c r="F95" s="36" t="s">
        <v>1055</v>
      </c>
      <c r="G95" s="36"/>
      <c r="H95" s="34"/>
      <c r="I95" s="35" t="s">
        <v>994</v>
      </c>
      <c r="J95" s="23" t="s">
        <v>59</v>
      </c>
      <c r="K95" s="34"/>
      <c r="L95" s="35" t="s">
        <v>798</v>
      </c>
      <c r="M95" s="282" t="s">
        <v>799</v>
      </c>
      <c r="N95" s="39"/>
      <c r="O95" s="39"/>
      <c r="P95" s="39"/>
      <c r="Q95" s="39"/>
      <c r="R95" s="39"/>
      <c r="S95" s="40"/>
    </row>
    <row r="96" spans="1:19" ht="60" customHeight="1">
      <c r="A96" s="32" t="s">
        <v>1056</v>
      </c>
      <c r="B96" s="522"/>
      <c r="C96" s="545"/>
      <c r="D96" s="36" t="s">
        <v>1057</v>
      </c>
      <c r="E96" s="36"/>
      <c r="F96" s="36" t="s">
        <v>997</v>
      </c>
      <c r="G96" s="36"/>
      <c r="H96" s="34"/>
      <c r="I96" s="35" t="s">
        <v>998</v>
      </c>
      <c r="J96" s="23" t="s">
        <v>59</v>
      </c>
      <c r="K96" s="34"/>
      <c r="L96" s="35" t="s">
        <v>798</v>
      </c>
      <c r="M96" s="282" t="s">
        <v>799</v>
      </c>
      <c r="N96" s="39"/>
      <c r="O96" s="39"/>
      <c r="P96" s="39"/>
      <c r="Q96" s="39"/>
      <c r="R96" s="39"/>
      <c r="S96" s="40"/>
    </row>
    <row r="97" spans="1:19" ht="157.5">
      <c r="A97" s="32" t="s">
        <v>1058</v>
      </c>
      <c r="B97" s="522"/>
      <c r="C97" s="545"/>
      <c r="D97" s="537" t="s">
        <v>1059</v>
      </c>
      <c r="E97" s="50"/>
      <c r="F97" s="42" t="s">
        <v>1001</v>
      </c>
      <c r="G97" s="36"/>
      <c r="H97" s="34"/>
      <c r="I97" s="35" t="s">
        <v>1002</v>
      </c>
      <c r="J97" s="23" t="s">
        <v>59</v>
      </c>
      <c r="K97" s="34"/>
      <c r="L97" s="35" t="s">
        <v>798</v>
      </c>
      <c r="M97" s="282" t="s">
        <v>799</v>
      </c>
      <c r="N97" s="39"/>
      <c r="O97" s="39"/>
      <c r="P97" s="39"/>
      <c r="Q97" s="39"/>
      <c r="R97" s="39"/>
      <c r="S97" s="40"/>
    </row>
    <row r="98" spans="1:19" ht="157.5">
      <c r="A98" s="32" t="s">
        <v>1060</v>
      </c>
      <c r="B98" s="522"/>
      <c r="C98" s="545"/>
      <c r="D98" s="537"/>
      <c r="E98" s="50"/>
      <c r="F98" s="42" t="s">
        <v>1004</v>
      </c>
      <c r="G98" s="36"/>
      <c r="H98" s="34"/>
      <c r="I98" s="35" t="s">
        <v>71</v>
      </c>
      <c r="J98" s="23" t="s">
        <v>59</v>
      </c>
      <c r="K98" s="34"/>
      <c r="L98" s="35" t="s">
        <v>798</v>
      </c>
      <c r="M98" s="282" t="s">
        <v>799</v>
      </c>
      <c r="N98" s="39"/>
      <c r="O98" s="39"/>
      <c r="P98" s="39"/>
      <c r="Q98" s="39"/>
      <c r="R98" s="39"/>
      <c r="S98" s="40"/>
    </row>
    <row r="99" spans="1:19" ht="157.5">
      <c r="A99" s="32" t="s">
        <v>1061</v>
      </c>
      <c r="B99" s="522"/>
      <c r="C99" s="545"/>
      <c r="D99" s="537"/>
      <c r="E99" s="50"/>
      <c r="F99" s="42" t="s">
        <v>1006</v>
      </c>
      <c r="G99" s="36"/>
      <c r="H99" s="34"/>
      <c r="I99" s="35" t="s">
        <v>71</v>
      </c>
      <c r="J99" s="23" t="s">
        <v>59</v>
      </c>
      <c r="K99" s="34"/>
      <c r="L99" s="35" t="s">
        <v>798</v>
      </c>
      <c r="M99" s="282" t="s">
        <v>799</v>
      </c>
      <c r="N99" s="39"/>
      <c r="O99" s="39"/>
      <c r="P99" s="39"/>
      <c r="Q99" s="39"/>
      <c r="R99" s="39"/>
      <c r="S99" s="40"/>
    </row>
    <row r="100" spans="1:19" ht="157.5">
      <c r="A100" s="32" t="s">
        <v>1062</v>
      </c>
      <c r="B100" s="522"/>
      <c r="C100" s="545"/>
      <c r="D100" s="537"/>
      <c r="E100" s="50"/>
      <c r="F100" s="42" t="s">
        <v>1008</v>
      </c>
      <c r="G100" s="36"/>
      <c r="H100" s="34"/>
      <c r="I100" s="35" t="s">
        <v>1009</v>
      </c>
      <c r="J100" s="23" t="s">
        <v>59</v>
      </c>
      <c r="K100" s="34"/>
      <c r="L100" s="35" t="s">
        <v>798</v>
      </c>
      <c r="M100" s="282" t="s">
        <v>799</v>
      </c>
      <c r="N100" s="39"/>
      <c r="O100" s="39"/>
      <c r="P100" s="39"/>
      <c r="Q100" s="39"/>
      <c r="R100" s="39"/>
      <c r="S100" s="40"/>
    </row>
    <row r="101" spans="1:19" ht="189">
      <c r="A101" s="32" t="s">
        <v>1063</v>
      </c>
      <c r="B101" s="522"/>
      <c r="C101" s="545"/>
      <c r="D101" s="537"/>
      <c r="E101" s="65"/>
      <c r="F101" s="42" t="s">
        <v>1011</v>
      </c>
      <c r="G101" s="36"/>
      <c r="H101" s="34"/>
      <c r="I101" s="35" t="s">
        <v>1064</v>
      </c>
      <c r="J101" s="23" t="s">
        <v>59</v>
      </c>
      <c r="K101" s="34"/>
      <c r="L101" s="35" t="s">
        <v>798</v>
      </c>
      <c r="M101" s="282" t="s">
        <v>799</v>
      </c>
      <c r="N101" s="39"/>
      <c r="O101" s="39"/>
      <c r="P101" s="39"/>
      <c r="Q101" s="39"/>
      <c r="R101" s="39"/>
      <c r="S101" s="40"/>
    </row>
    <row r="102" spans="1:19" ht="157.5">
      <c r="A102" s="32" t="s">
        <v>1065</v>
      </c>
      <c r="B102" s="522"/>
      <c r="C102" s="545"/>
      <c r="D102" s="508" t="s">
        <v>1066</v>
      </c>
      <c r="E102" s="530"/>
      <c r="F102" s="42" t="s">
        <v>138</v>
      </c>
      <c r="G102" s="36"/>
      <c r="H102" s="34"/>
      <c r="I102" s="31" t="s">
        <v>139</v>
      </c>
      <c r="J102" s="23" t="s">
        <v>59</v>
      </c>
      <c r="K102" s="34"/>
      <c r="L102" s="35" t="s">
        <v>798</v>
      </c>
      <c r="M102" s="282" t="s">
        <v>799</v>
      </c>
      <c r="N102" s="39"/>
      <c r="O102" s="39"/>
      <c r="P102" s="39"/>
      <c r="Q102" s="39"/>
      <c r="R102" s="39"/>
      <c r="S102" s="40"/>
    </row>
    <row r="103" spans="1:19" ht="157.5">
      <c r="A103" s="32" t="s">
        <v>1067</v>
      </c>
      <c r="B103" s="522"/>
      <c r="C103" s="545"/>
      <c r="D103" s="508"/>
      <c r="E103" s="530"/>
      <c r="F103" s="42" t="s">
        <v>1016</v>
      </c>
      <c r="G103" s="36"/>
      <c r="H103" s="34"/>
      <c r="I103" s="35" t="s">
        <v>1068</v>
      </c>
      <c r="J103" s="23" t="s">
        <v>59</v>
      </c>
      <c r="K103" s="34"/>
      <c r="L103" s="35" t="s">
        <v>798</v>
      </c>
      <c r="M103" s="282" t="s">
        <v>799</v>
      </c>
      <c r="N103" s="39"/>
      <c r="O103" s="39"/>
      <c r="P103" s="39"/>
      <c r="Q103" s="39"/>
      <c r="R103" s="39"/>
      <c r="S103" s="40"/>
    </row>
    <row r="104" spans="1:19" ht="157.5">
      <c r="A104" s="32" t="s">
        <v>1069</v>
      </c>
      <c r="B104" s="522"/>
      <c r="C104" s="545"/>
      <c r="D104" s="508"/>
      <c r="E104" s="530"/>
      <c r="F104" s="42" t="s">
        <v>1070</v>
      </c>
      <c r="G104" s="36"/>
      <c r="H104" s="34"/>
      <c r="I104" s="31" t="s">
        <v>242</v>
      </c>
      <c r="J104" s="23" t="s">
        <v>59</v>
      </c>
      <c r="K104" s="34"/>
      <c r="L104" s="35" t="s">
        <v>798</v>
      </c>
      <c r="M104" s="282" t="s">
        <v>799</v>
      </c>
      <c r="N104" s="39"/>
      <c r="O104" s="39"/>
      <c r="P104" s="39"/>
      <c r="Q104" s="39"/>
      <c r="R104" s="39"/>
      <c r="S104" s="40"/>
    </row>
    <row r="105" spans="1:19" ht="157.5">
      <c r="A105" s="32" t="s">
        <v>1071</v>
      </c>
      <c r="B105" s="522"/>
      <c r="C105" s="545"/>
      <c r="D105" s="508"/>
      <c r="E105" s="530"/>
      <c r="F105" s="42" t="s">
        <v>1072</v>
      </c>
      <c r="G105" s="36"/>
      <c r="H105" s="34"/>
      <c r="I105" s="31" t="s">
        <v>865</v>
      </c>
      <c r="J105" s="23" t="s">
        <v>59</v>
      </c>
      <c r="K105" s="34"/>
      <c r="L105" s="35" t="s">
        <v>798</v>
      </c>
      <c r="M105" s="282" t="s">
        <v>799</v>
      </c>
      <c r="N105" s="39"/>
      <c r="O105" s="39"/>
      <c r="P105" s="39"/>
      <c r="Q105" s="39"/>
      <c r="R105" s="39"/>
      <c r="S105" s="40"/>
    </row>
    <row r="106" spans="1:19" ht="157.5">
      <c r="A106" s="32" t="s">
        <v>1073</v>
      </c>
      <c r="B106" s="522"/>
      <c r="C106" s="545"/>
      <c r="D106" s="508"/>
      <c r="E106" s="530"/>
      <c r="F106" s="45" t="s">
        <v>1074</v>
      </c>
      <c r="G106" s="36"/>
      <c r="H106" s="34"/>
      <c r="I106" s="34" t="s">
        <v>1075</v>
      </c>
      <c r="J106" s="23" t="s">
        <v>59</v>
      </c>
      <c r="K106" s="34"/>
      <c r="L106" s="35" t="s">
        <v>798</v>
      </c>
      <c r="M106" s="282" t="s">
        <v>799</v>
      </c>
      <c r="N106" s="39"/>
      <c r="O106" s="39"/>
      <c r="P106" s="39"/>
      <c r="Q106" s="39"/>
      <c r="R106" s="39"/>
      <c r="S106" s="40"/>
    </row>
    <row r="107" spans="1:19" ht="157.5">
      <c r="A107" s="32" t="s">
        <v>1076</v>
      </c>
      <c r="B107" s="522"/>
      <c r="C107" s="545"/>
      <c r="D107" s="508"/>
      <c r="E107" s="530"/>
      <c r="F107" s="45" t="s">
        <v>1077</v>
      </c>
      <c r="G107" s="36"/>
      <c r="H107" s="34"/>
      <c r="I107" s="34" t="s">
        <v>1078</v>
      </c>
      <c r="J107" s="23" t="s">
        <v>59</v>
      </c>
      <c r="K107" s="34"/>
      <c r="L107" s="35" t="s">
        <v>798</v>
      </c>
      <c r="M107" s="282" t="s">
        <v>799</v>
      </c>
      <c r="N107" s="39"/>
      <c r="O107" s="39"/>
      <c r="P107" s="39"/>
      <c r="Q107" s="39"/>
      <c r="R107" s="39"/>
      <c r="S107" s="40"/>
    </row>
    <row r="108" spans="1:19" ht="157.5">
      <c r="A108" s="32" t="s">
        <v>1079</v>
      </c>
      <c r="B108" s="522"/>
      <c r="C108" s="545"/>
      <c r="D108" s="508"/>
      <c r="E108" s="530"/>
      <c r="F108" s="49" t="s">
        <v>1030</v>
      </c>
      <c r="G108" s="36"/>
      <c r="H108" s="34"/>
      <c r="I108" s="64" t="s">
        <v>1031</v>
      </c>
      <c r="J108" s="68" t="s">
        <v>59</v>
      </c>
      <c r="K108" s="53"/>
      <c r="L108" s="35" t="s">
        <v>798</v>
      </c>
      <c r="M108" s="282" t="s">
        <v>799</v>
      </c>
      <c r="N108" s="39"/>
      <c r="O108" s="39"/>
      <c r="P108" s="39"/>
      <c r="Q108" s="39"/>
      <c r="R108" s="39"/>
      <c r="S108" s="40"/>
    </row>
    <row r="109" spans="1:19" ht="129" customHeight="1">
      <c r="A109" s="32" t="s">
        <v>1080</v>
      </c>
      <c r="B109" s="522"/>
      <c r="C109" s="545"/>
      <c r="D109" s="535" t="s">
        <v>1081</v>
      </c>
      <c r="E109" s="48"/>
      <c r="F109" s="48" t="s">
        <v>1082</v>
      </c>
      <c r="G109" s="48" t="s">
        <v>1083</v>
      </c>
      <c r="H109" s="63"/>
      <c r="I109" s="67" t="s">
        <v>1084</v>
      </c>
      <c r="J109" s="66" t="s">
        <v>59</v>
      </c>
      <c r="K109" s="56"/>
      <c r="L109" s="35" t="s">
        <v>798</v>
      </c>
      <c r="M109" s="282" t="s">
        <v>799</v>
      </c>
      <c r="N109" s="39"/>
      <c r="O109" s="39"/>
      <c r="P109" s="39"/>
      <c r="Q109" s="39"/>
      <c r="R109" s="39"/>
      <c r="S109" s="40"/>
    </row>
    <row r="110" spans="1:19" ht="157.5">
      <c r="A110" s="32" t="s">
        <v>1085</v>
      </c>
      <c r="B110" s="522"/>
      <c r="C110" s="545"/>
      <c r="D110" s="536"/>
      <c r="E110" s="70"/>
      <c r="F110" s="48" t="s">
        <v>1086</v>
      </c>
      <c r="G110" s="48" t="s">
        <v>1087</v>
      </c>
      <c r="H110" s="63"/>
      <c r="I110" s="67" t="s">
        <v>1084</v>
      </c>
      <c r="J110" s="68" t="s">
        <v>59</v>
      </c>
      <c r="K110" s="75"/>
      <c r="L110" s="35" t="s">
        <v>798</v>
      </c>
      <c r="M110" s="282" t="s">
        <v>799</v>
      </c>
      <c r="N110" s="39"/>
      <c r="O110" s="39"/>
      <c r="P110" s="39"/>
      <c r="Q110" s="39"/>
      <c r="R110" s="39"/>
      <c r="S110" s="40"/>
    </row>
    <row r="111" spans="1:19" ht="157.5">
      <c r="A111" s="32" t="s">
        <v>1088</v>
      </c>
      <c r="B111" s="522"/>
      <c r="C111" s="545"/>
      <c r="D111" s="538" t="s">
        <v>1033</v>
      </c>
      <c r="E111" s="72"/>
      <c r="F111" s="42" t="s">
        <v>1089</v>
      </c>
      <c r="G111" s="31" t="s">
        <v>1090</v>
      </c>
      <c r="H111" s="63"/>
      <c r="I111" s="73" t="s">
        <v>1091</v>
      </c>
      <c r="J111" s="68" t="s">
        <v>59</v>
      </c>
      <c r="K111" s="72"/>
      <c r="L111" s="35" t="s">
        <v>798</v>
      </c>
      <c r="M111" s="282" t="s">
        <v>799</v>
      </c>
      <c r="N111" s="39"/>
      <c r="O111" s="39"/>
      <c r="P111" s="39"/>
      <c r="Q111" s="39"/>
      <c r="R111" s="39"/>
      <c r="S111" s="40"/>
    </row>
    <row r="112" spans="1:19" ht="64.5" customHeight="1">
      <c r="A112" s="32" t="s">
        <v>1092</v>
      </c>
      <c r="B112" s="522"/>
      <c r="C112" s="545"/>
      <c r="D112" s="538"/>
      <c r="E112" s="72"/>
      <c r="F112" s="42" t="s">
        <v>1093</v>
      </c>
      <c r="G112" s="31" t="s">
        <v>1094</v>
      </c>
      <c r="H112" s="63"/>
      <c r="I112" s="74" t="s">
        <v>1095</v>
      </c>
      <c r="J112" s="68" t="s">
        <v>59</v>
      </c>
      <c r="K112" s="72"/>
      <c r="L112" s="35" t="s">
        <v>798</v>
      </c>
      <c r="M112" s="282" t="s">
        <v>799</v>
      </c>
      <c r="N112" s="39"/>
      <c r="O112" s="39"/>
      <c r="P112" s="39"/>
      <c r="Q112" s="39"/>
      <c r="R112" s="39"/>
      <c r="S112" s="40"/>
    </row>
    <row r="113" spans="1:19" ht="157.5">
      <c r="A113" s="32" t="s">
        <v>1096</v>
      </c>
      <c r="B113" s="523"/>
      <c r="C113" s="546"/>
      <c r="D113" s="538"/>
      <c r="E113" s="72"/>
      <c r="F113" s="42" t="s">
        <v>1097</v>
      </c>
      <c r="G113" s="31" t="s">
        <v>1098</v>
      </c>
      <c r="H113" s="63"/>
      <c r="I113" s="74" t="s">
        <v>1095</v>
      </c>
      <c r="J113" s="68" t="s">
        <v>59</v>
      </c>
      <c r="K113" s="72"/>
      <c r="L113" s="35" t="s">
        <v>798</v>
      </c>
      <c r="M113" s="282" t="s">
        <v>799</v>
      </c>
      <c r="N113" s="39"/>
      <c r="O113" s="39"/>
      <c r="P113" s="39"/>
      <c r="Q113" s="39"/>
      <c r="R113" s="39"/>
      <c r="S113" s="40"/>
    </row>
    <row r="114" spans="1:19" ht="15" customHeight="1">
      <c r="A114" s="32" t="s">
        <v>1099</v>
      </c>
      <c r="B114" s="167"/>
      <c r="C114" s="167"/>
      <c r="D114" s="168"/>
      <c r="E114" s="168"/>
      <c r="F114" s="167"/>
      <c r="G114" s="167"/>
      <c r="H114" s="167"/>
      <c r="I114" s="167"/>
      <c r="J114" s="168"/>
      <c r="K114" s="168"/>
      <c r="L114" s="168"/>
      <c r="M114" s="169"/>
      <c r="N114" s="17">
        <f>COUNTIF($J115:J129,"PASS")</f>
        <v>3</v>
      </c>
      <c r="O114" s="17">
        <f>COUNTIF($J115,"FAIL")</f>
        <v>0</v>
      </c>
      <c r="P114" s="17">
        <f>COUNTBLANK(J115)</f>
        <v>0</v>
      </c>
      <c r="Q114" s="17">
        <f>COUNTIF($J115:J129,"IN PROGRESS")</f>
        <v>0</v>
      </c>
      <c r="R114" s="17">
        <f>COUNTIF($J115:J129,"BLOCKED")</f>
        <v>0</v>
      </c>
    </row>
    <row r="115" spans="1:19" ht="81" customHeight="1">
      <c r="A115" s="32" t="s">
        <v>1100</v>
      </c>
      <c r="B115" s="54" t="s">
        <v>1101</v>
      </c>
      <c r="C115" s="71" t="s">
        <v>54</v>
      </c>
      <c r="D115" s="76" t="s">
        <v>1102</v>
      </c>
      <c r="E115" s="76"/>
      <c r="F115" s="76" t="s">
        <v>1103</v>
      </c>
      <c r="G115" s="76" t="s">
        <v>1104</v>
      </c>
      <c r="H115" s="76"/>
      <c r="I115" s="76" t="s">
        <v>1105</v>
      </c>
      <c r="J115" s="66" t="s">
        <v>59</v>
      </c>
      <c r="K115" s="56"/>
      <c r="L115" s="58"/>
      <c r="M115" s="282" t="s">
        <v>799</v>
      </c>
      <c r="N115" s="39"/>
      <c r="O115" s="39"/>
      <c r="P115" s="39"/>
      <c r="Q115" s="39"/>
      <c r="R115" s="39"/>
      <c r="S115" s="40"/>
    </row>
    <row r="116" spans="1:19" ht="15" customHeight="1">
      <c r="A116" s="165"/>
      <c r="B116" s="165"/>
      <c r="C116" s="165"/>
      <c r="D116" s="165"/>
      <c r="E116" s="165"/>
      <c r="F116" s="165"/>
      <c r="G116" s="165"/>
      <c r="H116" s="165"/>
      <c r="I116" s="165"/>
      <c r="J116" s="165"/>
      <c r="K116" s="165"/>
      <c r="L116" s="165"/>
      <c r="M116" s="165"/>
      <c r="N116" s="17">
        <f>COUNTIF($J117:J131,"PASS")</f>
        <v>2</v>
      </c>
      <c r="O116" s="17">
        <f>COUNTIF($J117:J131,"FAIL")</f>
        <v>0</v>
      </c>
      <c r="P116" s="17">
        <f>COUNTBLANK(J117:J118)</f>
        <v>0</v>
      </c>
      <c r="Q116" s="17">
        <f>COUNTIF($J117:J131,"IN PROGRESS")</f>
        <v>0</v>
      </c>
      <c r="R116" s="17">
        <f>COUNTIF($J117:J131,"BLOCKED")</f>
        <v>0</v>
      </c>
      <c r="S116" s="40"/>
    </row>
    <row r="117" spans="1:19" ht="31.5">
      <c r="A117" s="32" t="s">
        <v>1106</v>
      </c>
      <c r="B117" s="32" t="s">
        <v>1107</v>
      </c>
      <c r="C117" s="166" t="s">
        <v>54</v>
      </c>
      <c r="D117" s="78" t="s">
        <v>1108</v>
      </c>
      <c r="E117" s="41"/>
      <c r="F117" s="45" t="s">
        <v>1109</v>
      </c>
      <c r="G117" s="36"/>
      <c r="H117" s="34"/>
      <c r="I117" s="35"/>
      <c r="J117" s="23" t="s">
        <v>59</v>
      </c>
      <c r="K117" s="32" t="s">
        <v>1110</v>
      </c>
      <c r="L117" s="35"/>
      <c r="M117" s="282" t="s">
        <v>799</v>
      </c>
      <c r="N117" s="44"/>
      <c r="O117" s="44"/>
      <c r="P117" s="39"/>
      <c r="Q117" s="39"/>
      <c r="R117" s="39"/>
      <c r="S117" s="40"/>
    </row>
    <row r="118" spans="1:19" ht="31.5">
      <c r="A118" s="32" t="s">
        <v>1111</v>
      </c>
      <c r="B118" s="32"/>
      <c r="C118" s="166"/>
      <c r="D118" s="78"/>
      <c r="E118" s="41"/>
      <c r="F118" s="45" t="s">
        <v>1112</v>
      </c>
      <c r="G118" s="36"/>
      <c r="H118" s="34"/>
      <c r="I118" s="103"/>
      <c r="J118" s="66" t="s">
        <v>59</v>
      </c>
      <c r="K118" s="32" t="s">
        <v>1110</v>
      </c>
      <c r="L118" s="35"/>
      <c r="M118" s="282" t="s">
        <v>799</v>
      </c>
      <c r="N118" s="44"/>
      <c r="O118" s="44"/>
      <c r="P118" s="39"/>
      <c r="Q118" s="39"/>
      <c r="R118" s="39"/>
      <c r="S118" s="40"/>
    </row>
  </sheetData>
  <mergeCells count="41">
    <mergeCell ref="D109:D110"/>
    <mergeCell ref="E102:E108"/>
    <mergeCell ref="D97:D101"/>
    <mergeCell ref="D111:D113"/>
    <mergeCell ref="E80:E86"/>
    <mergeCell ref="E91:E94"/>
    <mergeCell ref="D87:D89"/>
    <mergeCell ref="A90:M90"/>
    <mergeCell ref="D91:D94"/>
    <mergeCell ref="B91:B113"/>
    <mergeCell ref="C91:C113"/>
    <mergeCell ref="A2:M2"/>
    <mergeCell ref="D4:D7"/>
    <mergeCell ref="E4:E66"/>
    <mergeCell ref="D8:D11"/>
    <mergeCell ref="D12:D15"/>
    <mergeCell ref="D16:D19"/>
    <mergeCell ref="D20:D22"/>
    <mergeCell ref="D52:D56"/>
    <mergeCell ref="D60:D62"/>
    <mergeCell ref="D63:D66"/>
    <mergeCell ref="D23:D26"/>
    <mergeCell ref="D28:D29"/>
    <mergeCell ref="D33:D36"/>
    <mergeCell ref="D40:D43"/>
    <mergeCell ref="C3:C67"/>
    <mergeCell ref="B3:B67"/>
    <mergeCell ref="D75:D79"/>
    <mergeCell ref="D30:D32"/>
    <mergeCell ref="D37:D39"/>
    <mergeCell ref="D102:D108"/>
    <mergeCell ref="D57:D58"/>
    <mergeCell ref="D44:D49"/>
    <mergeCell ref="A68:M68"/>
    <mergeCell ref="D69:D72"/>
    <mergeCell ref="E69:E72"/>
    <mergeCell ref="D50:D51"/>
    <mergeCell ref="B69:B89"/>
    <mergeCell ref="C69:C89"/>
    <mergeCell ref="E87:E89"/>
    <mergeCell ref="D80:D86"/>
  </mergeCells>
  <conditionalFormatting sqref="J1:J2">
    <cfRule type="containsText" dxfId="55" priority="25" operator="containsText" text="FAIL">
      <formula>NOT(ISERROR(SEARCH("FAIL",J1)))</formula>
    </cfRule>
    <cfRule type="containsText" dxfId="54" priority="26" operator="containsText" text="PASS">
      <formula>NOT(ISERROR(SEARCH("PASS",J1)))</formula>
    </cfRule>
  </conditionalFormatting>
  <conditionalFormatting sqref="J3:J89 J91:J113 H111:H113 J115 J117:J118">
    <cfRule type="containsText" dxfId="53" priority="17" operator="containsText" text="BLOCKED">
      <formula>NOT(ISERROR(SEARCH("BLOCKED",H3)))</formula>
    </cfRule>
    <cfRule type="containsText" dxfId="52" priority="18" stopIfTrue="1" operator="containsText" text="IN PROGRESS">
      <formula>NOT(ISERROR(SEARCH("IN PROGRESS",H3)))</formula>
    </cfRule>
    <cfRule type="containsText" dxfId="51" priority="19" stopIfTrue="1" operator="containsText" text="PASS">
      <formula>NOT(ISERROR(SEARCH("PASS",H3)))</formula>
    </cfRule>
    <cfRule type="containsText" dxfId="50" priority="20" stopIfTrue="1" operator="containsText" text="FAIL">
      <formula>NOT(ISERROR(SEARCH("FAIL",H3)))</formula>
    </cfRule>
  </conditionalFormatting>
  <conditionalFormatting sqref="J68">
    <cfRule type="containsText" dxfId="49" priority="13" operator="containsText" text="FAIL">
      <formula>NOT(ISERROR(SEARCH("FAIL",J68)))</formula>
    </cfRule>
    <cfRule type="containsText" dxfId="48" priority="14" operator="containsText" text="PASS">
      <formula>NOT(ISERROR(SEARCH("PASS",J68)))</formula>
    </cfRule>
  </conditionalFormatting>
  <conditionalFormatting sqref="J90">
    <cfRule type="containsText" dxfId="47" priority="11" operator="containsText" text="FAIL">
      <formula>NOT(ISERROR(SEARCH("FAIL",J90)))</formula>
    </cfRule>
    <cfRule type="containsText" dxfId="46" priority="12" operator="containsText" text="PASS">
      <formula>NOT(ISERROR(SEARCH("PASS",J90)))</formula>
    </cfRule>
  </conditionalFormatting>
  <conditionalFormatting sqref="J116">
    <cfRule type="containsText" dxfId="45" priority="15" operator="containsText" text="FAIL">
      <formula>NOT(ISERROR(SEARCH("FAIL",J116)))</formula>
    </cfRule>
    <cfRule type="containsText" dxfId="44" priority="16" operator="containsText" text="PASS">
      <formula>NOT(ISERROR(SEARCH("PASS",J116)))</formula>
    </cfRule>
  </conditionalFormatting>
  <dataValidations count="1">
    <dataValidation type="list" allowBlank="1" showInputMessage="1" showErrorMessage="1" sqref="H111:H113 J115 J91:J113 J117:J118 J3:J89" xr:uid="{7312F610-DED2-465D-A05E-2145ADDEF871}">
      <formula1>"PASS, FAIL, IN PROGRESS, BLOCKED,"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C42B-AB79-4FDF-90B2-64C8B2EBF7B3}">
  <dimension ref="A1:S138"/>
  <sheetViews>
    <sheetView workbookViewId="0">
      <pane ySplit="1" topLeftCell="A2" activePane="bottomLeft" state="frozen"/>
      <selection pane="bottomLeft" activeCell="L136" sqref="L136"/>
    </sheetView>
  </sheetViews>
  <sheetFormatPr defaultColWidth="9.140625" defaultRowHeight="15"/>
  <cols>
    <col min="1" max="1" width="16.28515625" style="9" customWidth="1"/>
    <col min="2" max="2" width="10.42578125" style="9" customWidth="1"/>
    <col min="3" max="3" width="12.140625" style="9" customWidth="1"/>
    <col min="4" max="4" width="36" style="9" customWidth="1"/>
    <col min="5" max="5" width="59.42578125" style="9" customWidth="1"/>
    <col min="6" max="6" width="35.42578125" style="9" customWidth="1"/>
    <col min="7" max="7" width="27.42578125" style="9" customWidth="1"/>
    <col min="8" max="8" width="22.42578125" style="9" customWidth="1"/>
    <col min="9" max="9" width="54.140625" style="9" customWidth="1"/>
    <col min="10" max="10" width="13.28515625" style="9" bestFit="1" customWidth="1"/>
    <col min="11" max="11" width="9.140625" style="9"/>
    <col min="12" max="12" width="34.28515625" style="9" customWidth="1"/>
    <col min="13" max="13" width="16" style="9" bestFit="1" customWidth="1"/>
    <col min="14" max="16384" width="9.140625" style="9"/>
  </cols>
  <sheetData>
    <row r="1" spans="1:19" ht="27" customHeight="1">
      <c r="A1" s="13" t="s">
        <v>38</v>
      </c>
      <c r="B1" s="13" t="s">
        <v>39</v>
      </c>
      <c r="C1" s="13" t="s">
        <v>40</v>
      </c>
      <c r="D1" s="13" t="s">
        <v>41</v>
      </c>
      <c r="E1" s="13" t="s">
        <v>42</v>
      </c>
      <c r="F1" s="13" t="s">
        <v>43</v>
      </c>
      <c r="G1" s="13" t="s">
        <v>44</v>
      </c>
      <c r="H1" s="13" t="s">
        <v>45</v>
      </c>
      <c r="I1" s="13" t="s">
        <v>46</v>
      </c>
      <c r="J1" s="13" t="s">
        <v>47</v>
      </c>
      <c r="K1" s="13" t="s">
        <v>48</v>
      </c>
      <c r="L1" s="14" t="s">
        <v>49</v>
      </c>
      <c r="M1" s="13" t="s">
        <v>50</v>
      </c>
      <c r="N1" s="15">
        <f>SUM(N2:N138)</f>
        <v>59</v>
      </c>
      <c r="O1" s="15">
        <f>SUM(O2:O138)</f>
        <v>0</v>
      </c>
      <c r="P1" s="15">
        <f>SUM(P2:P138)</f>
        <v>0</v>
      </c>
      <c r="Q1" s="15">
        <f>SUM(Q2:Q138)</f>
        <v>0</v>
      </c>
      <c r="R1" s="15">
        <f>SUM(R2:R138)</f>
        <v>0</v>
      </c>
      <c r="S1" s="24"/>
    </row>
    <row r="2" spans="1:19" ht="19.5" customHeight="1">
      <c r="A2" s="427" t="s">
        <v>565</v>
      </c>
      <c r="B2" s="427"/>
      <c r="C2" s="427"/>
      <c r="D2" s="427"/>
      <c r="E2" s="427"/>
      <c r="F2" s="427"/>
      <c r="G2" s="427"/>
      <c r="H2" s="427"/>
      <c r="I2" s="427"/>
      <c r="J2" s="427"/>
      <c r="K2" s="427"/>
      <c r="L2" s="427"/>
      <c r="M2" s="427"/>
      <c r="N2" s="17">
        <f>COUNTIF($J3:J17,"PASS")</f>
        <v>15</v>
      </c>
      <c r="O2" s="17">
        <f>COUNTIF($J3:J17,"FAIL")</f>
        <v>0</v>
      </c>
      <c r="P2" s="17">
        <f>COUNTBLANK(J3:J65)</f>
        <v>0</v>
      </c>
      <c r="Q2" s="17">
        <f>COUNTIF($J3:J17,"IN PROGRESS")</f>
        <v>0</v>
      </c>
      <c r="R2" s="17">
        <f>COUNTIF($J3:J17,"BLOCKED")</f>
        <v>0</v>
      </c>
    </row>
    <row r="3" spans="1:19" ht="315">
      <c r="A3" s="32" t="s">
        <v>793</v>
      </c>
      <c r="B3" s="533" t="s">
        <v>794</v>
      </c>
      <c r="C3" s="531" t="s">
        <v>54</v>
      </c>
      <c r="D3" s="33" t="s">
        <v>795</v>
      </c>
      <c r="E3" s="33"/>
      <c r="F3" s="31" t="s">
        <v>796</v>
      </c>
      <c r="G3" s="34"/>
      <c r="H3" s="34"/>
      <c r="I3" s="34" t="s">
        <v>797</v>
      </c>
      <c r="J3" s="23" t="s">
        <v>59</v>
      </c>
      <c r="K3" s="34"/>
      <c r="L3" s="35" t="s">
        <v>1113</v>
      </c>
      <c r="M3" s="282" t="s">
        <v>799</v>
      </c>
      <c r="N3" s="37"/>
      <c r="O3" s="38"/>
      <c r="P3" s="39"/>
      <c r="Q3" s="39"/>
      <c r="R3" s="39"/>
      <c r="S3" s="40"/>
    </row>
    <row r="4" spans="1:19" ht="315">
      <c r="A4" s="32" t="s">
        <v>800</v>
      </c>
      <c r="B4" s="534"/>
      <c r="C4" s="532"/>
      <c r="D4" s="528" t="s">
        <v>801</v>
      </c>
      <c r="E4" s="529" t="s">
        <v>802</v>
      </c>
      <c r="F4" s="42" t="s">
        <v>803</v>
      </c>
      <c r="G4" s="36"/>
      <c r="H4" s="34"/>
      <c r="I4" s="43" t="s">
        <v>1114</v>
      </c>
      <c r="J4" s="23" t="s">
        <v>59</v>
      </c>
      <c r="K4" s="34"/>
      <c r="L4" s="35" t="s">
        <v>1113</v>
      </c>
      <c r="M4" s="282" t="s">
        <v>799</v>
      </c>
      <c r="N4" s="44"/>
      <c r="O4" s="44"/>
      <c r="P4" s="39"/>
      <c r="Q4" s="39"/>
      <c r="R4" s="39"/>
      <c r="S4" s="40"/>
    </row>
    <row r="5" spans="1:19" ht="315">
      <c r="A5" s="32" t="s">
        <v>805</v>
      </c>
      <c r="B5" s="534"/>
      <c r="C5" s="532"/>
      <c r="D5" s="528"/>
      <c r="E5" s="529"/>
      <c r="F5" s="45" t="s">
        <v>806</v>
      </c>
      <c r="G5" s="36"/>
      <c r="H5" s="34"/>
      <c r="I5" s="36" t="s">
        <v>807</v>
      </c>
      <c r="J5" s="23" t="s">
        <v>59</v>
      </c>
      <c r="K5" s="34"/>
      <c r="L5" s="35" t="s">
        <v>1113</v>
      </c>
      <c r="M5" s="282" t="s">
        <v>799</v>
      </c>
      <c r="N5" s="44"/>
      <c r="O5" s="44"/>
      <c r="P5" s="39"/>
      <c r="Q5" s="39"/>
      <c r="R5" s="39"/>
      <c r="S5" s="40"/>
    </row>
    <row r="6" spans="1:19" ht="315">
      <c r="A6" s="32" t="s">
        <v>808</v>
      </c>
      <c r="B6" s="534"/>
      <c r="C6" s="532"/>
      <c r="D6" s="528"/>
      <c r="E6" s="529"/>
      <c r="F6" s="45" t="s">
        <v>809</v>
      </c>
      <c r="G6" s="36"/>
      <c r="H6" s="34"/>
      <c r="I6" s="36" t="s">
        <v>810</v>
      </c>
      <c r="J6" s="23" t="s">
        <v>59</v>
      </c>
      <c r="K6" s="34"/>
      <c r="L6" s="35" t="s">
        <v>1113</v>
      </c>
      <c r="M6" s="282" t="s">
        <v>799</v>
      </c>
      <c r="N6" s="44"/>
      <c r="O6" s="44"/>
      <c r="P6" s="39"/>
      <c r="Q6" s="39"/>
      <c r="R6" s="39"/>
      <c r="S6" s="40"/>
    </row>
    <row r="7" spans="1:19" ht="315">
      <c r="A7" s="32" t="s">
        <v>811</v>
      </c>
      <c r="B7" s="534"/>
      <c r="C7" s="532"/>
      <c r="D7" s="528"/>
      <c r="E7" s="529"/>
      <c r="F7" s="45" t="s">
        <v>812</v>
      </c>
      <c r="G7" s="36"/>
      <c r="H7" s="34"/>
      <c r="I7" s="36" t="s">
        <v>813</v>
      </c>
      <c r="J7" s="23" t="s">
        <v>59</v>
      </c>
      <c r="K7" s="34"/>
      <c r="L7" s="35" t="s">
        <v>1113</v>
      </c>
      <c r="M7" s="282" t="s">
        <v>799</v>
      </c>
      <c r="N7" s="44"/>
      <c r="O7" s="44"/>
      <c r="P7" s="39"/>
      <c r="Q7" s="39"/>
      <c r="R7" s="39"/>
      <c r="S7" s="40"/>
    </row>
    <row r="8" spans="1:19" ht="315">
      <c r="A8" s="32" t="s">
        <v>814</v>
      </c>
      <c r="B8" s="534"/>
      <c r="C8" s="532"/>
      <c r="D8" s="528" t="s">
        <v>815</v>
      </c>
      <c r="E8" s="529"/>
      <c r="F8" s="45" t="s">
        <v>803</v>
      </c>
      <c r="G8" s="36"/>
      <c r="H8" s="34"/>
      <c r="I8" s="34" t="s">
        <v>1115</v>
      </c>
      <c r="J8" s="23" t="s">
        <v>59</v>
      </c>
      <c r="K8" s="34"/>
      <c r="L8" s="35" t="s">
        <v>1113</v>
      </c>
      <c r="M8" s="282" t="s">
        <v>799</v>
      </c>
      <c r="N8" s="44"/>
      <c r="O8" s="44"/>
      <c r="P8" s="39"/>
      <c r="Q8" s="39"/>
      <c r="R8" s="39"/>
      <c r="S8" s="40"/>
    </row>
    <row r="9" spans="1:19" ht="273" customHeight="1">
      <c r="A9" s="32" t="s">
        <v>817</v>
      </c>
      <c r="B9" s="534"/>
      <c r="C9" s="532"/>
      <c r="D9" s="528"/>
      <c r="E9" s="529"/>
      <c r="F9" s="45" t="s">
        <v>806</v>
      </c>
      <c r="G9" s="46"/>
      <c r="H9" s="34"/>
      <c r="I9" s="36" t="s">
        <v>807</v>
      </c>
      <c r="J9" s="23" t="s">
        <v>59</v>
      </c>
      <c r="K9" s="34"/>
      <c r="L9" s="35" t="s">
        <v>1113</v>
      </c>
      <c r="M9" s="282" t="s">
        <v>799</v>
      </c>
      <c r="N9" s="44"/>
      <c r="O9" s="44"/>
      <c r="P9" s="39"/>
      <c r="Q9" s="39"/>
      <c r="R9" s="39"/>
      <c r="S9" s="40"/>
    </row>
    <row r="10" spans="1:19" ht="315">
      <c r="A10" s="32" t="s">
        <v>818</v>
      </c>
      <c r="B10" s="534"/>
      <c r="C10" s="532"/>
      <c r="D10" s="528"/>
      <c r="E10" s="529"/>
      <c r="F10" s="45" t="s">
        <v>809</v>
      </c>
      <c r="G10" s="36"/>
      <c r="H10" s="34"/>
      <c r="I10" s="36" t="s">
        <v>810</v>
      </c>
      <c r="J10" s="23" t="s">
        <v>59</v>
      </c>
      <c r="K10" s="34"/>
      <c r="L10" s="35" t="s">
        <v>1113</v>
      </c>
      <c r="M10" s="282" t="s">
        <v>799</v>
      </c>
      <c r="N10" s="44"/>
      <c r="O10" s="44"/>
      <c r="P10" s="39"/>
      <c r="Q10" s="39"/>
      <c r="R10" s="39"/>
      <c r="S10" s="40"/>
    </row>
    <row r="11" spans="1:19" ht="287.25" customHeight="1">
      <c r="A11" s="32" t="s">
        <v>819</v>
      </c>
      <c r="B11" s="534"/>
      <c r="C11" s="532"/>
      <c r="D11" s="528"/>
      <c r="E11" s="529"/>
      <c r="F11" s="45" t="s">
        <v>812</v>
      </c>
      <c r="G11" s="36"/>
      <c r="H11" s="34"/>
      <c r="I11" s="36" t="s">
        <v>813</v>
      </c>
      <c r="J11" s="23" t="s">
        <v>59</v>
      </c>
      <c r="K11" s="34"/>
      <c r="L11" s="35" t="s">
        <v>1113</v>
      </c>
      <c r="M11" s="282" t="s">
        <v>799</v>
      </c>
      <c r="N11" s="44"/>
      <c r="O11" s="44"/>
      <c r="P11" s="39"/>
      <c r="Q11" s="39"/>
      <c r="R11" s="39"/>
      <c r="S11" s="40"/>
    </row>
    <row r="12" spans="1:19" ht="315">
      <c r="A12" s="32" t="s">
        <v>820</v>
      </c>
      <c r="B12" s="534"/>
      <c r="C12" s="532"/>
      <c r="D12" s="528" t="s">
        <v>821</v>
      </c>
      <c r="E12" s="529"/>
      <c r="F12" s="45" t="s">
        <v>803</v>
      </c>
      <c r="G12" s="36"/>
      <c r="H12" s="34"/>
      <c r="I12" s="34" t="s">
        <v>822</v>
      </c>
      <c r="J12" s="23" t="s">
        <v>59</v>
      </c>
      <c r="K12" s="34"/>
      <c r="L12" s="35" t="s">
        <v>1113</v>
      </c>
      <c r="M12" s="282" t="s">
        <v>799</v>
      </c>
      <c r="N12" s="44"/>
      <c r="O12" s="44"/>
      <c r="P12" s="39"/>
      <c r="Q12" s="39"/>
      <c r="R12" s="39"/>
      <c r="S12" s="40"/>
    </row>
    <row r="13" spans="1:19" ht="315">
      <c r="A13" s="32" t="s">
        <v>823</v>
      </c>
      <c r="B13" s="534"/>
      <c r="C13" s="532"/>
      <c r="D13" s="528"/>
      <c r="E13" s="529"/>
      <c r="F13" s="45" t="s">
        <v>806</v>
      </c>
      <c r="G13" s="36"/>
      <c r="H13" s="34"/>
      <c r="I13" s="36" t="s">
        <v>807</v>
      </c>
      <c r="J13" s="23" t="s">
        <v>59</v>
      </c>
      <c r="K13" s="34"/>
      <c r="L13" s="35" t="s">
        <v>1113</v>
      </c>
      <c r="M13" s="282" t="s">
        <v>799</v>
      </c>
      <c r="N13" s="44"/>
      <c r="O13" s="44"/>
      <c r="P13" s="39"/>
      <c r="Q13" s="39"/>
      <c r="R13" s="39"/>
      <c r="S13" s="40"/>
    </row>
    <row r="14" spans="1:19" ht="315">
      <c r="A14" s="32" t="s">
        <v>824</v>
      </c>
      <c r="B14" s="534"/>
      <c r="C14" s="532"/>
      <c r="D14" s="528"/>
      <c r="E14" s="529"/>
      <c r="F14" s="45" t="s">
        <v>809</v>
      </c>
      <c r="G14" s="36"/>
      <c r="H14" s="34"/>
      <c r="I14" s="36" t="s">
        <v>810</v>
      </c>
      <c r="J14" s="23" t="s">
        <v>59</v>
      </c>
      <c r="K14" s="34"/>
      <c r="L14" s="35" t="s">
        <v>1113</v>
      </c>
      <c r="M14" s="282" t="s">
        <v>799</v>
      </c>
      <c r="N14" s="44"/>
      <c r="O14" s="44"/>
      <c r="P14" s="39"/>
      <c r="Q14" s="39"/>
      <c r="R14" s="39"/>
      <c r="S14" s="40"/>
    </row>
    <row r="15" spans="1:19" ht="315">
      <c r="A15" s="32" t="s">
        <v>825</v>
      </c>
      <c r="B15" s="534"/>
      <c r="C15" s="532"/>
      <c r="D15" s="528"/>
      <c r="E15" s="529"/>
      <c r="F15" s="45" t="s">
        <v>812</v>
      </c>
      <c r="G15" s="36"/>
      <c r="H15" s="34"/>
      <c r="I15" s="36" t="s">
        <v>813</v>
      </c>
      <c r="J15" s="23" t="s">
        <v>59</v>
      </c>
      <c r="K15" s="34"/>
      <c r="L15" s="35" t="s">
        <v>1113</v>
      </c>
      <c r="M15" s="282" t="s">
        <v>799</v>
      </c>
      <c r="N15" s="44"/>
      <c r="O15" s="44"/>
      <c r="P15" s="39"/>
      <c r="Q15" s="39"/>
      <c r="R15" s="39"/>
      <c r="S15" s="40"/>
    </row>
    <row r="16" spans="1:19" ht="197.25" customHeight="1">
      <c r="A16" s="32" t="s">
        <v>826</v>
      </c>
      <c r="B16" s="534"/>
      <c r="C16" s="532"/>
      <c r="D16" s="528" t="s">
        <v>827</v>
      </c>
      <c r="E16" s="529"/>
      <c r="F16" s="45" t="s">
        <v>803</v>
      </c>
      <c r="G16" s="36"/>
      <c r="H16" s="34"/>
      <c r="I16" s="34" t="s">
        <v>1116</v>
      </c>
      <c r="J16" s="23" t="s">
        <v>59</v>
      </c>
      <c r="K16" s="34"/>
      <c r="L16" s="35" t="s">
        <v>1113</v>
      </c>
      <c r="M16" s="282" t="s">
        <v>799</v>
      </c>
      <c r="N16" s="44"/>
      <c r="O16" s="44"/>
      <c r="P16" s="39"/>
      <c r="Q16" s="39"/>
      <c r="R16" s="39"/>
      <c r="S16" s="40"/>
    </row>
    <row r="17" spans="1:19" ht="179.25" customHeight="1">
      <c r="A17" s="32" t="s">
        <v>829</v>
      </c>
      <c r="B17" s="534"/>
      <c r="C17" s="532"/>
      <c r="D17" s="528"/>
      <c r="E17" s="529"/>
      <c r="F17" s="45" t="s">
        <v>806</v>
      </c>
      <c r="G17" s="36"/>
      <c r="H17" s="34"/>
      <c r="I17" s="36" t="s">
        <v>807</v>
      </c>
      <c r="J17" s="23" t="s">
        <v>59</v>
      </c>
      <c r="K17" s="34"/>
      <c r="L17" s="35" t="s">
        <v>1113</v>
      </c>
      <c r="M17" s="282" t="s">
        <v>799</v>
      </c>
      <c r="N17" s="44"/>
      <c r="O17" s="44"/>
      <c r="P17" s="39"/>
      <c r="Q17" s="39"/>
      <c r="R17" s="39"/>
      <c r="S17" s="40"/>
    </row>
    <row r="18" spans="1:19" ht="57" customHeight="1">
      <c r="A18" s="32" t="s">
        <v>830</v>
      </c>
      <c r="B18" s="534"/>
      <c r="C18" s="532"/>
      <c r="D18" s="528"/>
      <c r="E18" s="529"/>
      <c r="F18" s="45" t="s">
        <v>809</v>
      </c>
      <c r="G18" s="36"/>
      <c r="H18" s="34"/>
      <c r="I18" s="36" t="s">
        <v>810</v>
      </c>
      <c r="J18" s="23" t="s">
        <v>59</v>
      </c>
      <c r="K18" s="34"/>
      <c r="L18" s="35" t="s">
        <v>1113</v>
      </c>
      <c r="M18" s="282" t="s">
        <v>799</v>
      </c>
      <c r="N18" s="44"/>
      <c r="O18" s="44"/>
      <c r="P18" s="39"/>
      <c r="Q18" s="39"/>
      <c r="R18" s="39"/>
      <c r="S18" s="40"/>
    </row>
    <row r="19" spans="1:19" ht="58.5" customHeight="1">
      <c r="A19" s="32" t="s">
        <v>831</v>
      </c>
      <c r="B19" s="534"/>
      <c r="C19" s="532"/>
      <c r="D19" s="528"/>
      <c r="E19" s="529"/>
      <c r="F19" s="45" t="s">
        <v>812</v>
      </c>
      <c r="G19" s="36"/>
      <c r="H19" s="34"/>
      <c r="I19" s="36" t="s">
        <v>813</v>
      </c>
      <c r="J19" s="23" t="s">
        <v>59</v>
      </c>
      <c r="K19" s="34"/>
      <c r="L19" s="35" t="s">
        <v>1113</v>
      </c>
      <c r="M19" s="282" t="s">
        <v>799</v>
      </c>
      <c r="N19" s="44"/>
      <c r="O19" s="44"/>
      <c r="P19" s="39"/>
      <c r="Q19" s="39"/>
      <c r="R19" s="39"/>
      <c r="S19" s="40"/>
    </row>
    <row r="20" spans="1:19" ht="315">
      <c r="A20" s="32" t="s">
        <v>832</v>
      </c>
      <c r="B20" s="534"/>
      <c r="C20" s="532"/>
      <c r="D20" s="520" t="s">
        <v>833</v>
      </c>
      <c r="E20" s="529"/>
      <c r="F20" s="45" t="s">
        <v>834</v>
      </c>
      <c r="G20" s="36"/>
      <c r="H20" s="34"/>
      <c r="I20" s="36" t="s">
        <v>835</v>
      </c>
      <c r="J20" s="23" t="s">
        <v>59</v>
      </c>
      <c r="K20" s="34"/>
      <c r="L20" s="35" t="s">
        <v>1113</v>
      </c>
      <c r="M20" s="282" t="s">
        <v>799</v>
      </c>
      <c r="N20" s="44"/>
      <c r="O20" s="44"/>
      <c r="P20" s="39"/>
      <c r="Q20" s="39"/>
      <c r="R20" s="39"/>
      <c r="S20" s="40"/>
    </row>
    <row r="21" spans="1:19" ht="315">
      <c r="A21" s="32" t="s">
        <v>836</v>
      </c>
      <c r="B21" s="534"/>
      <c r="C21" s="532"/>
      <c r="D21" s="520"/>
      <c r="E21" s="529"/>
      <c r="F21" s="45" t="s">
        <v>837</v>
      </c>
      <c r="G21" s="36"/>
      <c r="H21" s="34"/>
      <c r="I21" s="36" t="s">
        <v>838</v>
      </c>
      <c r="J21" s="23" t="s">
        <v>59</v>
      </c>
      <c r="K21" s="34"/>
      <c r="L21" s="35" t="s">
        <v>1113</v>
      </c>
      <c r="M21" s="282" t="s">
        <v>799</v>
      </c>
      <c r="N21" s="44"/>
      <c r="O21" s="44"/>
      <c r="P21" s="39"/>
      <c r="Q21" s="39"/>
      <c r="R21" s="39"/>
      <c r="S21" s="40"/>
    </row>
    <row r="22" spans="1:19" ht="315">
      <c r="A22" s="32" t="s">
        <v>839</v>
      </c>
      <c r="B22" s="534"/>
      <c r="C22" s="532"/>
      <c r="D22" s="520"/>
      <c r="E22" s="529"/>
      <c r="F22" s="45" t="s">
        <v>840</v>
      </c>
      <c r="G22" s="36"/>
      <c r="H22" s="34"/>
      <c r="I22" s="36" t="s">
        <v>919</v>
      </c>
      <c r="J22" s="23" t="s">
        <v>59</v>
      </c>
      <c r="K22" s="34"/>
      <c r="L22" s="35" t="s">
        <v>1113</v>
      </c>
      <c r="M22" s="282" t="s">
        <v>799</v>
      </c>
      <c r="N22" s="44"/>
      <c r="O22" s="44"/>
      <c r="P22" s="39"/>
      <c r="Q22" s="39"/>
      <c r="R22" s="39"/>
      <c r="S22" s="40"/>
    </row>
    <row r="23" spans="1:19" ht="315">
      <c r="A23" s="32" t="s">
        <v>842</v>
      </c>
      <c r="B23" s="534"/>
      <c r="C23" s="532"/>
      <c r="D23" s="509" t="s">
        <v>843</v>
      </c>
      <c r="E23" s="529"/>
      <c r="F23" s="45" t="s">
        <v>844</v>
      </c>
      <c r="G23" s="36"/>
      <c r="H23" s="34"/>
      <c r="I23" s="36" t="s">
        <v>845</v>
      </c>
      <c r="J23" s="23" t="s">
        <v>59</v>
      </c>
      <c r="K23" s="34"/>
      <c r="L23" s="35" t="s">
        <v>1113</v>
      </c>
      <c r="M23" s="282" t="s">
        <v>799</v>
      </c>
      <c r="N23" s="44"/>
      <c r="O23" s="44"/>
      <c r="P23" s="39"/>
      <c r="Q23" s="39"/>
      <c r="R23" s="39"/>
      <c r="S23" s="40"/>
    </row>
    <row r="24" spans="1:19" ht="48.75" customHeight="1">
      <c r="A24" s="32" t="s">
        <v>846</v>
      </c>
      <c r="B24" s="534"/>
      <c r="C24" s="532"/>
      <c r="D24" s="510"/>
      <c r="E24" s="529"/>
      <c r="F24" s="45" t="s">
        <v>847</v>
      </c>
      <c r="G24" s="36"/>
      <c r="H24" s="34"/>
      <c r="I24" s="36" t="s">
        <v>848</v>
      </c>
      <c r="J24" s="23" t="s">
        <v>59</v>
      </c>
      <c r="K24" s="34"/>
      <c r="L24" s="35" t="s">
        <v>1113</v>
      </c>
      <c r="M24" s="282" t="s">
        <v>799</v>
      </c>
      <c r="N24" s="44"/>
      <c r="O24" s="44"/>
      <c r="P24" s="39"/>
      <c r="Q24" s="39"/>
      <c r="R24" s="39"/>
      <c r="S24" s="40"/>
    </row>
    <row r="25" spans="1:19" ht="53.25" customHeight="1">
      <c r="A25" s="32" t="s">
        <v>849</v>
      </c>
      <c r="B25" s="534"/>
      <c r="C25" s="532"/>
      <c r="D25" s="510"/>
      <c r="E25" s="529"/>
      <c r="F25" s="45" t="s">
        <v>850</v>
      </c>
      <c r="G25" s="36"/>
      <c r="H25" s="34"/>
      <c r="I25" s="36" t="s">
        <v>851</v>
      </c>
      <c r="J25" s="23" t="s">
        <v>59</v>
      </c>
      <c r="K25" s="34"/>
      <c r="L25" s="35" t="s">
        <v>1113</v>
      </c>
      <c r="M25" s="282" t="s">
        <v>799</v>
      </c>
      <c r="N25" s="44"/>
      <c r="O25" s="44"/>
      <c r="P25" s="39"/>
      <c r="Q25" s="39"/>
      <c r="R25" s="39"/>
      <c r="S25" s="40"/>
    </row>
    <row r="26" spans="1:19" ht="112.5" customHeight="1">
      <c r="A26" s="32" t="s">
        <v>852</v>
      </c>
      <c r="B26" s="534"/>
      <c r="C26" s="532"/>
      <c r="D26" s="511"/>
      <c r="E26" s="529"/>
      <c r="F26" s="48" t="s">
        <v>853</v>
      </c>
      <c r="G26" s="48"/>
      <c r="H26" s="48"/>
      <c r="I26" s="48" t="s">
        <v>854</v>
      </c>
      <c r="J26" s="23" t="s">
        <v>59</v>
      </c>
      <c r="K26" s="34"/>
      <c r="L26" s="35" t="s">
        <v>1113</v>
      </c>
      <c r="M26" s="282" t="s">
        <v>799</v>
      </c>
      <c r="N26" s="44"/>
      <c r="O26" s="44"/>
      <c r="P26" s="39"/>
      <c r="Q26" s="39"/>
      <c r="R26" s="39"/>
      <c r="S26" s="40"/>
    </row>
    <row r="27" spans="1:19" ht="315">
      <c r="A27" s="32" t="s">
        <v>855</v>
      </c>
      <c r="B27" s="534"/>
      <c r="C27" s="532"/>
      <c r="D27" s="47" t="s">
        <v>856</v>
      </c>
      <c r="E27" s="529"/>
      <c r="F27" s="45" t="s">
        <v>857</v>
      </c>
      <c r="G27" s="36"/>
      <c r="H27" s="34"/>
      <c r="I27" s="46" t="s">
        <v>858</v>
      </c>
      <c r="J27" s="23" t="s">
        <v>59</v>
      </c>
      <c r="K27" s="34"/>
      <c r="L27" s="35" t="s">
        <v>1113</v>
      </c>
      <c r="M27" s="282" t="s">
        <v>799</v>
      </c>
      <c r="N27" s="44"/>
      <c r="O27" s="44"/>
      <c r="P27" s="39"/>
      <c r="Q27" s="39"/>
      <c r="R27" s="39"/>
      <c r="S27" s="40"/>
    </row>
    <row r="28" spans="1:19" ht="315">
      <c r="A28" s="32" t="s">
        <v>859</v>
      </c>
      <c r="B28" s="534"/>
      <c r="C28" s="532"/>
      <c r="D28" s="520" t="s">
        <v>860</v>
      </c>
      <c r="E28" s="529"/>
      <c r="F28" s="42" t="s">
        <v>861</v>
      </c>
      <c r="G28" s="36"/>
      <c r="H28" s="34"/>
      <c r="I28" s="31" t="s">
        <v>862</v>
      </c>
      <c r="J28" s="23" t="s">
        <v>59</v>
      </c>
      <c r="K28" s="34"/>
      <c r="L28" s="35" t="s">
        <v>1113</v>
      </c>
      <c r="M28" s="282" t="s">
        <v>799</v>
      </c>
      <c r="N28" s="44"/>
      <c r="O28" s="44"/>
      <c r="P28" s="39"/>
      <c r="Q28" s="39"/>
      <c r="R28" s="39"/>
      <c r="S28" s="40"/>
    </row>
    <row r="29" spans="1:19" ht="315">
      <c r="A29" s="32" t="s">
        <v>863</v>
      </c>
      <c r="B29" s="534"/>
      <c r="C29" s="532"/>
      <c r="D29" s="520"/>
      <c r="E29" s="529"/>
      <c r="F29" s="42" t="s">
        <v>864</v>
      </c>
      <c r="G29" s="36"/>
      <c r="H29" s="34"/>
      <c r="I29" s="31" t="s">
        <v>865</v>
      </c>
      <c r="J29" s="23" t="s">
        <v>59</v>
      </c>
      <c r="K29" s="34"/>
      <c r="L29" s="35" t="s">
        <v>1113</v>
      </c>
      <c r="M29" s="282" t="s">
        <v>799</v>
      </c>
      <c r="N29" s="44"/>
      <c r="O29" s="44"/>
      <c r="P29" s="39"/>
      <c r="Q29" s="39"/>
      <c r="R29" s="39"/>
      <c r="S29" s="40"/>
    </row>
    <row r="30" spans="1:19" ht="315">
      <c r="A30" s="32" t="s">
        <v>866</v>
      </c>
      <c r="B30" s="534"/>
      <c r="C30" s="532"/>
      <c r="D30" s="509" t="s">
        <v>867</v>
      </c>
      <c r="E30" s="529"/>
      <c r="F30" s="45" t="s">
        <v>868</v>
      </c>
      <c r="G30" s="36"/>
      <c r="H30" s="34"/>
      <c r="I30" s="36" t="s">
        <v>869</v>
      </c>
      <c r="J30" s="23" t="s">
        <v>59</v>
      </c>
      <c r="K30" s="34"/>
      <c r="L30" s="35" t="s">
        <v>1113</v>
      </c>
      <c r="M30" s="282" t="s">
        <v>799</v>
      </c>
      <c r="N30" s="44"/>
      <c r="O30" s="44"/>
      <c r="P30" s="39"/>
      <c r="Q30" s="39"/>
      <c r="R30" s="39"/>
      <c r="S30" s="40"/>
    </row>
    <row r="31" spans="1:19" ht="315">
      <c r="A31" s="32" t="s">
        <v>870</v>
      </c>
      <c r="B31" s="534"/>
      <c r="C31" s="532"/>
      <c r="D31" s="510"/>
      <c r="E31" s="529"/>
      <c r="F31" s="45" t="s">
        <v>871</v>
      </c>
      <c r="G31" s="36"/>
      <c r="H31" s="34"/>
      <c r="I31" s="34" t="s">
        <v>872</v>
      </c>
      <c r="J31" s="23" t="s">
        <v>59</v>
      </c>
      <c r="K31" s="34"/>
      <c r="L31" s="35" t="s">
        <v>1113</v>
      </c>
      <c r="M31" s="282" t="s">
        <v>799</v>
      </c>
      <c r="N31" s="44"/>
      <c r="O31" s="44"/>
      <c r="P31" s="39"/>
      <c r="Q31" s="39"/>
      <c r="R31" s="39"/>
      <c r="S31" s="40"/>
    </row>
    <row r="32" spans="1:19" ht="315">
      <c r="A32" s="32" t="s">
        <v>873</v>
      </c>
      <c r="B32" s="534"/>
      <c r="C32" s="532"/>
      <c r="D32" s="520" t="s">
        <v>616</v>
      </c>
      <c r="E32" s="529"/>
      <c r="F32" s="45" t="s">
        <v>803</v>
      </c>
      <c r="G32" s="36"/>
      <c r="H32" s="34"/>
      <c r="I32" s="43" t="s">
        <v>879</v>
      </c>
      <c r="J32" s="23" t="s">
        <v>59</v>
      </c>
      <c r="K32" s="34"/>
      <c r="L32" s="35" t="s">
        <v>1113</v>
      </c>
      <c r="M32" s="282" t="s">
        <v>799</v>
      </c>
      <c r="N32" s="44"/>
      <c r="O32" s="44"/>
      <c r="P32" s="39"/>
      <c r="Q32" s="39"/>
      <c r="R32" s="39"/>
      <c r="S32" s="40"/>
    </row>
    <row r="33" spans="1:19" ht="315">
      <c r="A33" s="32" t="s">
        <v>878</v>
      </c>
      <c r="B33" s="534"/>
      <c r="C33" s="532"/>
      <c r="D33" s="520"/>
      <c r="E33" s="529"/>
      <c r="F33" s="45" t="s">
        <v>806</v>
      </c>
      <c r="G33" s="36"/>
      <c r="H33" s="34"/>
      <c r="I33" s="36" t="s">
        <v>807</v>
      </c>
      <c r="J33" s="23" t="s">
        <v>59</v>
      </c>
      <c r="K33" s="34"/>
      <c r="L33" s="35" t="s">
        <v>1113</v>
      </c>
      <c r="M33" s="282" t="s">
        <v>799</v>
      </c>
      <c r="N33" s="44"/>
      <c r="O33" s="44"/>
      <c r="P33" s="39"/>
      <c r="Q33" s="39"/>
      <c r="R33" s="39"/>
      <c r="S33" s="40"/>
    </row>
    <row r="34" spans="1:19" ht="315">
      <c r="A34" s="32" t="s">
        <v>880</v>
      </c>
      <c r="B34" s="534"/>
      <c r="C34" s="532"/>
      <c r="D34" s="520"/>
      <c r="E34" s="529"/>
      <c r="F34" s="45" t="s">
        <v>809</v>
      </c>
      <c r="G34" s="36"/>
      <c r="H34" s="34"/>
      <c r="I34" s="36" t="s">
        <v>810</v>
      </c>
      <c r="J34" s="23" t="s">
        <v>59</v>
      </c>
      <c r="K34" s="34"/>
      <c r="L34" s="35" t="s">
        <v>1113</v>
      </c>
      <c r="M34" s="282" t="s">
        <v>799</v>
      </c>
      <c r="N34" s="44"/>
      <c r="O34" s="44"/>
      <c r="P34" s="39"/>
      <c r="Q34" s="39"/>
      <c r="R34" s="39"/>
      <c r="S34" s="40"/>
    </row>
    <row r="35" spans="1:19" ht="315">
      <c r="A35" s="32" t="s">
        <v>881</v>
      </c>
      <c r="B35" s="534"/>
      <c r="C35" s="532"/>
      <c r="D35" s="520"/>
      <c r="E35" s="529"/>
      <c r="F35" s="45" t="s">
        <v>812</v>
      </c>
      <c r="G35" s="36"/>
      <c r="H35" s="34"/>
      <c r="I35" s="36" t="s">
        <v>813</v>
      </c>
      <c r="J35" s="23" t="s">
        <v>59</v>
      </c>
      <c r="K35" s="34"/>
      <c r="L35" s="35" t="s">
        <v>1113</v>
      </c>
      <c r="M35" s="282" t="s">
        <v>799</v>
      </c>
      <c r="N35" s="44"/>
      <c r="O35" s="44"/>
      <c r="P35" s="39"/>
      <c r="Q35" s="39"/>
      <c r="R35" s="39"/>
      <c r="S35" s="40"/>
    </row>
    <row r="36" spans="1:19" ht="315">
      <c r="A36" s="32" t="s">
        <v>882</v>
      </c>
      <c r="B36" s="534"/>
      <c r="C36" s="532"/>
      <c r="D36" s="509" t="s">
        <v>884</v>
      </c>
      <c r="E36" s="529"/>
      <c r="F36" s="45" t="s">
        <v>850</v>
      </c>
      <c r="G36" s="36"/>
      <c r="H36" s="34"/>
      <c r="I36" s="36" t="s">
        <v>851</v>
      </c>
      <c r="J36" s="23" t="s">
        <v>59</v>
      </c>
      <c r="K36" s="34"/>
      <c r="L36" s="35" t="s">
        <v>1113</v>
      </c>
      <c r="M36" s="282" t="s">
        <v>799</v>
      </c>
      <c r="N36" s="44"/>
      <c r="O36" s="44"/>
      <c r="P36" s="39"/>
      <c r="Q36" s="39"/>
      <c r="R36" s="39"/>
      <c r="S36" s="40"/>
    </row>
    <row r="37" spans="1:19" ht="315">
      <c r="A37" s="32" t="s">
        <v>883</v>
      </c>
      <c r="B37" s="534"/>
      <c r="C37" s="532"/>
      <c r="D37" s="510"/>
      <c r="E37" s="529"/>
      <c r="F37" s="45" t="s">
        <v>886</v>
      </c>
      <c r="G37" s="36"/>
      <c r="H37" s="34"/>
      <c r="I37" s="36" t="s">
        <v>869</v>
      </c>
      <c r="J37" s="23" t="s">
        <v>59</v>
      </c>
      <c r="K37" s="34"/>
      <c r="L37" s="35" t="s">
        <v>1113</v>
      </c>
      <c r="M37" s="282" t="s">
        <v>799</v>
      </c>
      <c r="N37" s="44"/>
      <c r="O37" s="44"/>
      <c r="P37" s="39"/>
      <c r="Q37" s="39"/>
      <c r="R37" s="39"/>
      <c r="S37" s="40"/>
    </row>
    <row r="38" spans="1:19" ht="315">
      <c r="A38" s="32" t="s">
        <v>885</v>
      </c>
      <c r="B38" s="534"/>
      <c r="C38" s="532"/>
      <c r="D38" s="520" t="s">
        <v>892</v>
      </c>
      <c r="E38" s="529"/>
      <c r="F38" s="45" t="s">
        <v>803</v>
      </c>
      <c r="G38" s="36"/>
      <c r="H38" s="34"/>
      <c r="I38" s="43" t="s">
        <v>1117</v>
      </c>
      <c r="J38" s="23" t="s">
        <v>59</v>
      </c>
      <c r="K38" s="34"/>
      <c r="L38" s="35" t="s">
        <v>1113</v>
      </c>
      <c r="M38" s="282" t="s">
        <v>799</v>
      </c>
      <c r="N38" s="44"/>
      <c r="O38" s="44"/>
      <c r="P38" s="39"/>
      <c r="Q38" s="39"/>
      <c r="R38" s="39"/>
      <c r="S38" s="40"/>
    </row>
    <row r="39" spans="1:19" ht="57.75" customHeight="1">
      <c r="A39" s="32" t="s">
        <v>887</v>
      </c>
      <c r="B39" s="534"/>
      <c r="C39" s="532"/>
      <c r="D39" s="520"/>
      <c r="E39" s="529"/>
      <c r="F39" s="45" t="s">
        <v>806</v>
      </c>
      <c r="G39" s="36"/>
      <c r="H39" s="34"/>
      <c r="I39" s="36" t="s">
        <v>807</v>
      </c>
      <c r="J39" s="23" t="s">
        <v>59</v>
      </c>
      <c r="K39" s="34"/>
      <c r="L39" s="35" t="s">
        <v>1113</v>
      </c>
      <c r="M39" s="282" t="s">
        <v>799</v>
      </c>
      <c r="N39" s="44"/>
      <c r="O39" s="44"/>
      <c r="P39" s="39"/>
      <c r="Q39" s="39"/>
      <c r="R39" s="39"/>
      <c r="S39" s="40"/>
    </row>
    <row r="40" spans="1:19" ht="315">
      <c r="A40" s="32" t="s">
        <v>891</v>
      </c>
      <c r="B40" s="534"/>
      <c r="C40" s="532"/>
      <c r="D40" s="520"/>
      <c r="E40" s="529"/>
      <c r="F40" s="45" t="s">
        <v>809</v>
      </c>
      <c r="G40" s="36"/>
      <c r="H40" s="34"/>
      <c r="I40" s="36" t="s">
        <v>810</v>
      </c>
      <c r="J40" s="23" t="s">
        <v>59</v>
      </c>
      <c r="K40" s="34"/>
      <c r="L40" s="35" t="s">
        <v>1113</v>
      </c>
      <c r="M40" s="282" t="s">
        <v>799</v>
      </c>
      <c r="N40" s="44"/>
      <c r="O40" s="44"/>
      <c r="P40" s="39"/>
      <c r="Q40" s="39"/>
      <c r="R40" s="39"/>
      <c r="S40" s="40"/>
    </row>
    <row r="41" spans="1:19" ht="60.75" customHeight="1">
      <c r="A41" s="32" t="s">
        <v>894</v>
      </c>
      <c r="B41" s="534"/>
      <c r="C41" s="532"/>
      <c r="D41" s="520"/>
      <c r="E41" s="529"/>
      <c r="F41" s="45" t="s">
        <v>812</v>
      </c>
      <c r="G41" s="36"/>
      <c r="H41" s="34"/>
      <c r="I41" s="36" t="s">
        <v>813</v>
      </c>
      <c r="J41" s="23" t="s">
        <v>59</v>
      </c>
      <c r="K41" s="34"/>
      <c r="L41" s="35" t="s">
        <v>1113</v>
      </c>
      <c r="M41" s="282" t="s">
        <v>799</v>
      </c>
      <c r="N41" s="44"/>
      <c r="O41" s="44"/>
      <c r="P41" s="39"/>
      <c r="Q41" s="39"/>
      <c r="R41" s="39"/>
      <c r="S41" s="40"/>
    </row>
    <row r="42" spans="1:19" ht="64.5" customHeight="1">
      <c r="A42" s="32" t="s">
        <v>895</v>
      </c>
      <c r="B42" s="534"/>
      <c r="C42" s="532"/>
      <c r="D42" s="509" t="s">
        <v>898</v>
      </c>
      <c r="E42" s="529"/>
      <c r="F42" s="42" t="s">
        <v>899</v>
      </c>
      <c r="G42" s="36"/>
      <c r="H42" s="34"/>
      <c r="I42" s="31" t="s">
        <v>869</v>
      </c>
      <c r="J42" s="23" t="s">
        <v>59</v>
      </c>
      <c r="K42" s="34"/>
      <c r="L42" s="35" t="s">
        <v>1113</v>
      </c>
      <c r="M42" s="282" t="s">
        <v>799</v>
      </c>
      <c r="N42" s="44"/>
      <c r="O42" s="44"/>
      <c r="P42" s="39"/>
      <c r="Q42" s="39"/>
      <c r="R42" s="39"/>
      <c r="S42" s="40"/>
    </row>
    <row r="43" spans="1:19" ht="61.5" customHeight="1">
      <c r="A43" s="32" t="s">
        <v>896</v>
      </c>
      <c r="B43" s="534"/>
      <c r="C43" s="532"/>
      <c r="D43" s="510"/>
      <c r="E43" s="529"/>
      <c r="F43" s="42" t="s">
        <v>901</v>
      </c>
      <c r="G43" s="36"/>
      <c r="H43" s="34"/>
      <c r="I43" s="31" t="s">
        <v>869</v>
      </c>
      <c r="J43" s="23" t="s">
        <v>59</v>
      </c>
      <c r="K43" s="34"/>
      <c r="L43" s="35" t="s">
        <v>1113</v>
      </c>
      <c r="M43" s="282" t="s">
        <v>799</v>
      </c>
      <c r="N43" s="44"/>
      <c r="O43" s="44"/>
      <c r="P43" s="39"/>
      <c r="Q43" s="39"/>
      <c r="R43" s="39"/>
      <c r="S43" s="40"/>
    </row>
    <row r="44" spans="1:19" ht="62.25" customHeight="1">
      <c r="A44" s="32" t="s">
        <v>897</v>
      </c>
      <c r="B44" s="534"/>
      <c r="C44" s="532"/>
      <c r="D44" s="510"/>
      <c r="E44" s="529"/>
      <c r="F44" s="42" t="s">
        <v>903</v>
      </c>
      <c r="G44" s="36"/>
      <c r="H44" s="34"/>
      <c r="I44" s="36" t="s">
        <v>904</v>
      </c>
      <c r="J44" s="23" t="s">
        <v>59</v>
      </c>
      <c r="K44" s="34"/>
      <c r="L44" s="35" t="s">
        <v>1113</v>
      </c>
      <c r="M44" s="282" t="s">
        <v>799</v>
      </c>
      <c r="N44" s="44"/>
      <c r="O44" s="44"/>
      <c r="P44" s="39"/>
      <c r="Q44" s="39"/>
      <c r="R44" s="39"/>
      <c r="S44" s="40"/>
    </row>
    <row r="45" spans="1:19" ht="315">
      <c r="A45" s="32" t="s">
        <v>900</v>
      </c>
      <c r="B45" s="534"/>
      <c r="C45" s="532"/>
      <c r="D45" s="510"/>
      <c r="E45" s="529"/>
      <c r="F45" s="42" t="s">
        <v>906</v>
      </c>
      <c r="G45" s="36"/>
      <c r="H45" s="34"/>
      <c r="I45" s="48" t="s">
        <v>907</v>
      </c>
      <c r="J45" s="23" t="s">
        <v>59</v>
      </c>
      <c r="K45" s="34"/>
      <c r="L45" s="35" t="s">
        <v>1113</v>
      </c>
      <c r="M45" s="282" t="s">
        <v>799</v>
      </c>
      <c r="N45" s="44"/>
      <c r="O45" s="44"/>
      <c r="P45" s="39"/>
      <c r="Q45" s="39"/>
      <c r="R45" s="39"/>
      <c r="S45" s="40"/>
    </row>
    <row r="46" spans="1:19" ht="315">
      <c r="A46" s="32" t="s">
        <v>902</v>
      </c>
      <c r="B46" s="534"/>
      <c r="C46" s="532"/>
      <c r="D46" s="510"/>
      <c r="E46" s="529"/>
      <c r="F46" s="42" t="s">
        <v>909</v>
      </c>
      <c r="G46" s="36"/>
      <c r="H46" s="34"/>
      <c r="I46" s="31" t="s">
        <v>910</v>
      </c>
      <c r="J46" s="23" t="s">
        <v>59</v>
      </c>
      <c r="K46" s="34"/>
      <c r="L46" s="35" t="s">
        <v>1113</v>
      </c>
      <c r="M46" s="282" t="s">
        <v>799</v>
      </c>
      <c r="N46" s="44"/>
      <c r="O46" s="44"/>
      <c r="P46" s="39"/>
      <c r="Q46" s="39"/>
      <c r="R46" s="39"/>
      <c r="S46" s="40"/>
    </row>
    <row r="47" spans="1:19" ht="60" customHeight="1">
      <c r="A47" s="32" t="s">
        <v>905</v>
      </c>
      <c r="B47" s="534"/>
      <c r="C47" s="532"/>
      <c r="D47" s="511"/>
      <c r="E47" s="529"/>
      <c r="F47" s="48" t="s">
        <v>912</v>
      </c>
      <c r="G47" s="48" t="s">
        <v>1118</v>
      </c>
      <c r="H47" s="63"/>
      <c r="I47" s="48" t="s">
        <v>913</v>
      </c>
      <c r="J47" s="23" t="s">
        <v>59</v>
      </c>
      <c r="K47" s="34"/>
      <c r="L47" s="35" t="s">
        <v>1113</v>
      </c>
      <c r="M47" s="282" t="s">
        <v>799</v>
      </c>
      <c r="N47" s="44"/>
      <c r="O47" s="44"/>
      <c r="P47" s="39"/>
      <c r="Q47" s="39"/>
      <c r="R47" s="39"/>
      <c r="S47" s="40"/>
    </row>
    <row r="48" spans="1:19" ht="315">
      <c r="A48" s="32" t="s">
        <v>908</v>
      </c>
      <c r="B48" s="534"/>
      <c r="C48" s="532"/>
      <c r="D48" s="520" t="s">
        <v>915</v>
      </c>
      <c r="E48" s="529"/>
      <c r="F48" s="45" t="s">
        <v>916</v>
      </c>
      <c r="G48" s="36"/>
      <c r="H48" s="34"/>
      <c r="I48" s="36" t="s">
        <v>917</v>
      </c>
      <c r="J48" s="23" t="s">
        <v>59</v>
      </c>
      <c r="K48" s="34"/>
      <c r="L48" s="35" t="s">
        <v>1113</v>
      </c>
      <c r="M48" s="282" t="s">
        <v>799</v>
      </c>
      <c r="N48" s="44"/>
      <c r="O48" s="44"/>
      <c r="P48" s="39"/>
      <c r="Q48" s="39"/>
      <c r="R48" s="39"/>
      <c r="S48" s="40"/>
    </row>
    <row r="49" spans="1:19" ht="315">
      <c r="A49" s="32" t="s">
        <v>911</v>
      </c>
      <c r="B49" s="534"/>
      <c r="C49" s="532"/>
      <c r="D49" s="520"/>
      <c r="E49" s="529"/>
      <c r="F49" s="45" t="s">
        <v>840</v>
      </c>
      <c r="G49" s="36"/>
      <c r="H49" s="34"/>
      <c r="I49" s="36" t="s">
        <v>919</v>
      </c>
      <c r="J49" s="23" t="s">
        <v>59</v>
      </c>
      <c r="K49" s="34"/>
      <c r="L49" s="35" t="s">
        <v>1113</v>
      </c>
      <c r="M49" s="282" t="s">
        <v>799</v>
      </c>
      <c r="N49" s="44"/>
      <c r="O49" s="44"/>
      <c r="P49" s="39"/>
      <c r="Q49" s="39"/>
      <c r="R49" s="39"/>
      <c r="S49" s="40"/>
    </row>
    <row r="50" spans="1:19" ht="315">
      <c r="A50" s="32" t="s">
        <v>914</v>
      </c>
      <c r="B50" s="534"/>
      <c r="C50" s="532"/>
      <c r="D50" s="530" t="s">
        <v>922</v>
      </c>
      <c r="E50" s="529"/>
      <c r="F50" s="49" t="s">
        <v>923</v>
      </c>
      <c r="G50" s="36"/>
      <c r="H50" s="34"/>
      <c r="I50" s="35" t="s">
        <v>924</v>
      </c>
      <c r="J50" s="23" t="s">
        <v>59</v>
      </c>
      <c r="K50" s="34"/>
      <c r="L50" s="35" t="s">
        <v>1113</v>
      </c>
      <c r="M50" s="282" t="s">
        <v>799</v>
      </c>
      <c r="N50" s="44"/>
      <c r="O50" s="44"/>
      <c r="P50" s="39"/>
      <c r="Q50" s="39"/>
      <c r="R50" s="39"/>
      <c r="S50" s="40"/>
    </row>
    <row r="51" spans="1:19" ht="315">
      <c r="A51" s="32" t="s">
        <v>918</v>
      </c>
      <c r="B51" s="534"/>
      <c r="C51" s="532"/>
      <c r="D51" s="530"/>
      <c r="E51" s="529"/>
      <c r="F51" s="49" t="s">
        <v>926</v>
      </c>
      <c r="G51" s="36"/>
      <c r="H51" s="34"/>
      <c r="I51" s="35" t="s">
        <v>927</v>
      </c>
      <c r="J51" s="23" t="s">
        <v>59</v>
      </c>
      <c r="K51" s="34"/>
      <c r="L51" s="35" t="s">
        <v>1113</v>
      </c>
      <c r="M51" s="282" t="s">
        <v>799</v>
      </c>
      <c r="N51" s="44"/>
      <c r="O51" s="44"/>
      <c r="P51" s="39"/>
      <c r="Q51" s="39"/>
      <c r="R51" s="39"/>
      <c r="S51" s="40"/>
    </row>
    <row r="52" spans="1:19" ht="315">
      <c r="A52" s="32" t="s">
        <v>921</v>
      </c>
      <c r="B52" s="534"/>
      <c r="C52" s="532"/>
      <c r="D52" s="530"/>
      <c r="E52" s="529"/>
      <c r="F52" s="49" t="s">
        <v>929</v>
      </c>
      <c r="G52" s="36"/>
      <c r="H52" s="34"/>
      <c r="I52" s="34" t="s">
        <v>930</v>
      </c>
      <c r="J52" s="23" t="s">
        <v>59</v>
      </c>
      <c r="K52" s="34"/>
      <c r="L52" s="35" t="s">
        <v>1113</v>
      </c>
      <c r="M52" s="282" t="s">
        <v>799</v>
      </c>
      <c r="N52" s="44"/>
      <c r="O52" s="44"/>
      <c r="P52" s="39"/>
      <c r="Q52" s="39"/>
      <c r="R52" s="39"/>
      <c r="S52" s="40"/>
    </row>
    <row r="53" spans="1:19" ht="315">
      <c r="A53" s="32" t="s">
        <v>925</v>
      </c>
      <c r="B53" s="534"/>
      <c r="C53" s="532"/>
      <c r="D53" s="530"/>
      <c r="E53" s="529"/>
      <c r="F53" s="49" t="s">
        <v>933</v>
      </c>
      <c r="G53" s="36"/>
      <c r="H53" s="34"/>
      <c r="I53" s="34" t="s">
        <v>934</v>
      </c>
      <c r="J53" s="23" t="s">
        <v>59</v>
      </c>
      <c r="K53" s="34"/>
      <c r="L53" s="35" t="s">
        <v>1113</v>
      </c>
      <c r="M53" s="282" t="s">
        <v>799</v>
      </c>
      <c r="N53" s="44"/>
      <c r="O53" s="44"/>
      <c r="P53" s="39"/>
      <c r="Q53" s="39"/>
      <c r="R53" s="39"/>
      <c r="S53" s="40"/>
    </row>
    <row r="54" spans="1:19" ht="315">
      <c r="A54" s="32" t="s">
        <v>928</v>
      </c>
      <c r="B54" s="534"/>
      <c r="C54" s="532"/>
      <c r="D54" s="530"/>
      <c r="E54" s="529"/>
      <c r="F54" s="49" t="s">
        <v>936</v>
      </c>
      <c r="G54" s="36"/>
      <c r="H54" s="34"/>
      <c r="I54" s="34" t="s">
        <v>937</v>
      </c>
      <c r="J54" s="23" t="s">
        <v>59</v>
      </c>
      <c r="K54" s="34"/>
      <c r="L54" s="35" t="s">
        <v>1113</v>
      </c>
      <c r="M54" s="282" t="s">
        <v>799</v>
      </c>
      <c r="N54" s="44"/>
      <c r="O54" s="44"/>
      <c r="P54" s="39"/>
      <c r="Q54" s="39"/>
      <c r="R54" s="39"/>
      <c r="S54" s="40"/>
    </row>
    <row r="55" spans="1:19" ht="243" customHeight="1">
      <c r="A55" s="32" t="s">
        <v>932</v>
      </c>
      <c r="B55" s="534"/>
      <c r="C55" s="532"/>
      <c r="D55" s="512" t="s">
        <v>939</v>
      </c>
      <c r="E55" s="529"/>
      <c r="F55" s="31" t="s">
        <v>940</v>
      </c>
      <c r="G55" s="31" t="s">
        <v>1119</v>
      </c>
      <c r="H55" s="63"/>
      <c r="I55" s="31" t="s">
        <v>942</v>
      </c>
      <c r="J55" s="23" t="s">
        <v>59</v>
      </c>
      <c r="K55" s="34"/>
      <c r="L55" s="35" t="s">
        <v>1113</v>
      </c>
      <c r="M55" s="282" t="s">
        <v>799</v>
      </c>
      <c r="N55" s="44"/>
      <c r="O55" s="44"/>
      <c r="P55" s="39"/>
      <c r="Q55" s="39"/>
      <c r="R55" s="39"/>
      <c r="S55" s="40"/>
    </row>
    <row r="56" spans="1:19" ht="129.75" customHeight="1">
      <c r="A56" s="32" t="s">
        <v>935</v>
      </c>
      <c r="B56" s="534"/>
      <c r="C56" s="532"/>
      <c r="D56" s="513"/>
      <c r="E56" s="529"/>
      <c r="F56" s="31" t="s">
        <v>944</v>
      </c>
      <c r="G56" s="31" t="s">
        <v>1120</v>
      </c>
      <c r="H56" s="63"/>
      <c r="I56" s="31" t="s">
        <v>946</v>
      </c>
      <c r="J56" s="23" t="s">
        <v>59</v>
      </c>
      <c r="K56" s="34"/>
      <c r="L56" s="35" t="s">
        <v>1113</v>
      </c>
      <c r="M56" s="282" t="s">
        <v>799</v>
      </c>
      <c r="N56" s="44"/>
      <c r="O56" s="44"/>
      <c r="P56" s="39"/>
      <c r="Q56" s="39"/>
      <c r="R56" s="39"/>
      <c r="S56" s="40"/>
    </row>
    <row r="57" spans="1:19" ht="315">
      <c r="A57" s="32" t="s">
        <v>938</v>
      </c>
      <c r="B57" s="534"/>
      <c r="C57" s="532"/>
      <c r="D57" s="50" t="s">
        <v>92</v>
      </c>
      <c r="E57" s="529"/>
      <c r="F57" s="42" t="s">
        <v>948</v>
      </c>
      <c r="G57" s="36"/>
      <c r="H57" s="34"/>
      <c r="I57" s="34" t="s">
        <v>94</v>
      </c>
      <c r="J57" s="23" t="s">
        <v>59</v>
      </c>
      <c r="K57" s="34"/>
      <c r="L57" s="35" t="s">
        <v>1113</v>
      </c>
      <c r="M57" s="282" t="s">
        <v>799</v>
      </c>
      <c r="N57" s="44"/>
      <c r="O57" s="44"/>
      <c r="P57" s="39"/>
      <c r="Q57" s="39"/>
      <c r="R57" s="39"/>
      <c r="S57" s="40"/>
    </row>
    <row r="58" spans="1:19" ht="65.25" customHeight="1">
      <c r="A58" s="32" t="s">
        <v>943</v>
      </c>
      <c r="B58" s="534"/>
      <c r="C58" s="532"/>
      <c r="D58" s="530" t="s">
        <v>950</v>
      </c>
      <c r="E58" s="529"/>
      <c r="F58" s="45" t="s">
        <v>951</v>
      </c>
      <c r="G58" s="36"/>
      <c r="H58" s="34"/>
      <c r="I58" s="34" t="s">
        <v>869</v>
      </c>
      <c r="J58" s="23" t="s">
        <v>59</v>
      </c>
      <c r="K58" s="34"/>
      <c r="L58" s="35" t="s">
        <v>1113</v>
      </c>
      <c r="M58" s="282" t="s">
        <v>799</v>
      </c>
      <c r="N58" s="44"/>
      <c r="O58" s="44"/>
      <c r="P58" s="39"/>
      <c r="Q58" s="39"/>
      <c r="R58" s="39"/>
      <c r="S58" s="40"/>
    </row>
    <row r="59" spans="1:19" ht="54.75" customHeight="1">
      <c r="A59" s="32" t="s">
        <v>947</v>
      </c>
      <c r="B59" s="534"/>
      <c r="C59" s="532"/>
      <c r="D59" s="530"/>
      <c r="E59" s="529"/>
      <c r="F59" s="45" t="s">
        <v>953</v>
      </c>
      <c r="G59" s="36"/>
      <c r="H59" s="34"/>
      <c r="I59" s="34" t="s">
        <v>869</v>
      </c>
      <c r="J59" s="23" t="s">
        <v>59</v>
      </c>
      <c r="K59" s="34"/>
      <c r="L59" s="35" t="s">
        <v>1113</v>
      </c>
      <c r="M59" s="282" t="s">
        <v>799</v>
      </c>
      <c r="N59" s="44"/>
      <c r="O59" s="44"/>
      <c r="P59" s="39"/>
      <c r="Q59" s="39"/>
      <c r="R59" s="39"/>
      <c r="S59" s="40"/>
    </row>
    <row r="60" spans="1:19" ht="50.25" customHeight="1">
      <c r="A60" s="32" t="s">
        <v>949</v>
      </c>
      <c r="B60" s="534"/>
      <c r="C60" s="532"/>
      <c r="D60" s="530"/>
      <c r="E60" s="529"/>
      <c r="F60" s="49" t="s">
        <v>955</v>
      </c>
      <c r="G60" s="36"/>
      <c r="H60" s="34"/>
      <c r="I60" s="34" t="s">
        <v>956</v>
      </c>
      <c r="J60" s="23" t="s">
        <v>59</v>
      </c>
      <c r="K60" s="34"/>
      <c r="L60" s="35" t="s">
        <v>1113</v>
      </c>
      <c r="M60" s="282" t="s">
        <v>799</v>
      </c>
      <c r="N60" s="44"/>
      <c r="O60" s="44"/>
      <c r="P60" s="39"/>
      <c r="Q60" s="39"/>
      <c r="R60" s="39"/>
      <c r="S60" s="40"/>
    </row>
    <row r="61" spans="1:19" ht="315">
      <c r="A61" s="32" t="s">
        <v>952</v>
      </c>
      <c r="B61" s="534"/>
      <c r="C61" s="532"/>
      <c r="D61" s="528" t="s">
        <v>958</v>
      </c>
      <c r="E61" s="529"/>
      <c r="F61" s="45" t="s">
        <v>959</v>
      </c>
      <c r="G61" s="36"/>
      <c r="H61" s="34"/>
      <c r="I61" s="48" t="s">
        <v>960</v>
      </c>
      <c r="J61" s="23" t="s">
        <v>59</v>
      </c>
      <c r="K61" s="34"/>
      <c r="L61" s="35" t="s">
        <v>1113</v>
      </c>
      <c r="M61" s="282" t="s">
        <v>799</v>
      </c>
      <c r="N61" s="44"/>
      <c r="O61" s="44"/>
      <c r="P61" s="39"/>
      <c r="Q61" s="39"/>
      <c r="R61" s="39"/>
      <c r="S61" s="40"/>
    </row>
    <row r="62" spans="1:19" ht="315">
      <c r="A62" s="32" t="s">
        <v>954</v>
      </c>
      <c r="B62" s="534"/>
      <c r="C62" s="532"/>
      <c r="D62" s="528"/>
      <c r="E62" s="529"/>
      <c r="F62" s="45" t="s">
        <v>962</v>
      </c>
      <c r="G62" s="36"/>
      <c r="H62" s="34"/>
      <c r="I62" s="34" t="s">
        <v>963</v>
      </c>
      <c r="J62" s="23" t="s">
        <v>59</v>
      </c>
      <c r="K62" s="34"/>
      <c r="L62" s="35" t="s">
        <v>1113</v>
      </c>
      <c r="M62" s="282" t="s">
        <v>799</v>
      </c>
      <c r="N62" s="44"/>
      <c r="O62" s="44"/>
      <c r="P62" s="39"/>
      <c r="Q62" s="39"/>
      <c r="R62" s="39"/>
      <c r="S62" s="40"/>
    </row>
    <row r="63" spans="1:19" ht="315">
      <c r="A63" s="32" t="s">
        <v>957</v>
      </c>
      <c r="B63" s="534"/>
      <c r="C63" s="532"/>
      <c r="D63" s="528"/>
      <c r="E63" s="529"/>
      <c r="F63" s="45" t="s">
        <v>965</v>
      </c>
      <c r="G63" s="36"/>
      <c r="H63" s="34"/>
      <c r="I63" s="171"/>
      <c r="J63" s="23" t="s">
        <v>59</v>
      </c>
      <c r="K63" s="34"/>
      <c r="L63" s="35" t="s">
        <v>1113</v>
      </c>
      <c r="M63" s="282" t="s">
        <v>799</v>
      </c>
      <c r="N63" s="44"/>
      <c r="O63" s="44"/>
      <c r="P63" s="39"/>
      <c r="Q63" s="39"/>
      <c r="R63" s="39"/>
      <c r="S63" s="40"/>
    </row>
    <row r="64" spans="1:19" ht="315">
      <c r="A64" s="32" t="s">
        <v>961</v>
      </c>
      <c r="B64" s="534"/>
      <c r="C64" s="532"/>
      <c r="D64" s="528"/>
      <c r="E64" s="529"/>
      <c r="F64" s="45" t="s">
        <v>967</v>
      </c>
      <c r="G64" s="36"/>
      <c r="H64" s="34"/>
      <c r="I64" s="35" t="s">
        <v>968</v>
      </c>
      <c r="J64" s="23" t="s">
        <v>59</v>
      </c>
      <c r="K64" s="34"/>
      <c r="L64" s="35" t="s">
        <v>1113</v>
      </c>
      <c r="M64" s="282" t="s">
        <v>799</v>
      </c>
      <c r="N64" s="44"/>
      <c r="O64" s="44"/>
      <c r="P64" s="39"/>
      <c r="Q64" s="39"/>
      <c r="R64" s="39"/>
      <c r="S64" s="40"/>
    </row>
    <row r="65" spans="1:19" ht="351" customHeight="1">
      <c r="A65" s="32" t="s">
        <v>964</v>
      </c>
      <c r="B65" s="555"/>
      <c r="C65" s="554"/>
      <c r="D65" s="170" t="s">
        <v>970</v>
      </c>
      <c r="E65" s="31"/>
      <c r="F65" s="31" t="s">
        <v>971</v>
      </c>
      <c r="G65" s="31" t="s">
        <v>972</v>
      </c>
      <c r="H65" s="63"/>
      <c r="I65" s="31" t="s">
        <v>973</v>
      </c>
      <c r="J65" s="23" t="s">
        <v>59</v>
      </c>
      <c r="K65" s="35"/>
      <c r="L65" s="31"/>
      <c r="M65" s="282" t="s">
        <v>799</v>
      </c>
      <c r="N65" s="44"/>
      <c r="O65" s="44"/>
      <c r="P65" s="39"/>
      <c r="Q65" s="39"/>
      <c r="R65" s="39"/>
      <c r="S65" s="40"/>
    </row>
    <row r="66" spans="1:19" ht="32.25" customHeight="1">
      <c r="A66" s="427" t="s">
        <v>974</v>
      </c>
      <c r="B66" s="549"/>
      <c r="C66" s="549"/>
      <c r="D66" s="427"/>
      <c r="E66" s="435"/>
      <c r="F66" s="427"/>
      <c r="G66" s="427"/>
      <c r="H66" s="427"/>
      <c r="I66" s="427"/>
      <c r="J66" s="427"/>
      <c r="K66" s="427"/>
      <c r="L66" s="427"/>
      <c r="M66" s="427"/>
      <c r="N66" s="17">
        <f>COUNTIF($J67:J81,"PASS")</f>
        <v>15</v>
      </c>
      <c r="O66" s="17">
        <f>COUNTIF($J67:J81,"FAIL")</f>
        <v>0</v>
      </c>
      <c r="P66" s="17">
        <f>COUNTBLANK(J67:J87)</f>
        <v>0</v>
      </c>
      <c r="Q66" s="17">
        <f>COUNTIF($J67:J81,"IN PROGRESS")</f>
        <v>0</v>
      </c>
      <c r="R66" s="17">
        <f>COUNTIF($J67:J81,"BLOCKED")</f>
        <v>0</v>
      </c>
      <c r="S66" s="40"/>
    </row>
    <row r="67" spans="1:19" ht="146.25" customHeight="1">
      <c r="A67" s="32" t="s">
        <v>966</v>
      </c>
      <c r="B67" s="251" t="s">
        <v>1121</v>
      </c>
      <c r="C67" s="254" t="s">
        <v>54</v>
      </c>
      <c r="D67" s="262" t="s">
        <v>977</v>
      </c>
      <c r="E67" s="272" t="s">
        <v>1122</v>
      </c>
      <c r="F67" s="102" t="s">
        <v>979</v>
      </c>
      <c r="G67" s="32"/>
      <c r="H67" s="34"/>
      <c r="I67" s="51" t="s">
        <v>980</v>
      </c>
      <c r="J67" s="23" t="s">
        <v>59</v>
      </c>
      <c r="K67" s="34" t="s">
        <v>1123</v>
      </c>
      <c r="L67" s="35" t="s">
        <v>1124</v>
      </c>
      <c r="M67" s="282" t="s">
        <v>799</v>
      </c>
      <c r="N67" s="39"/>
      <c r="O67" s="39"/>
      <c r="P67" s="39"/>
      <c r="Q67" s="39"/>
      <c r="R67" s="39"/>
      <c r="S67" s="40"/>
    </row>
    <row r="68" spans="1:19" ht="299.25">
      <c r="A68" s="32" t="s">
        <v>969</v>
      </c>
      <c r="B68" s="252"/>
      <c r="C68" s="255"/>
      <c r="D68" s="263"/>
      <c r="E68" s="273"/>
      <c r="F68" s="102" t="s">
        <v>982</v>
      </c>
      <c r="G68" s="32"/>
      <c r="H68" s="34"/>
      <c r="I68" s="51" t="s">
        <v>983</v>
      </c>
      <c r="J68" s="23" t="s">
        <v>59</v>
      </c>
      <c r="K68" s="34"/>
      <c r="L68" s="35" t="s">
        <v>1124</v>
      </c>
      <c r="M68" s="282" t="s">
        <v>799</v>
      </c>
      <c r="N68" s="39"/>
      <c r="O68" s="39"/>
      <c r="P68" s="39"/>
      <c r="Q68" s="39"/>
      <c r="R68" s="39"/>
      <c r="S68" s="40"/>
    </row>
    <row r="69" spans="1:19" ht="67.5" customHeight="1">
      <c r="A69" s="32" t="s">
        <v>1125</v>
      </c>
      <c r="B69" s="252"/>
      <c r="C69" s="255"/>
      <c r="D69" s="263"/>
      <c r="E69" s="273"/>
      <c r="F69" s="102" t="s">
        <v>985</v>
      </c>
      <c r="G69" s="32"/>
      <c r="H69" s="34"/>
      <c r="I69" s="51" t="s">
        <v>986</v>
      </c>
      <c r="J69" s="23" t="s">
        <v>59</v>
      </c>
      <c r="K69" s="34"/>
      <c r="L69" s="35" t="s">
        <v>1124</v>
      </c>
      <c r="M69" s="282" t="s">
        <v>799</v>
      </c>
      <c r="N69" s="39"/>
      <c r="O69" s="39"/>
      <c r="P69" s="39"/>
      <c r="Q69" s="39"/>
      <c r="R69" s="39"/>
      <c r="S69" s="40"/>
    </row>
    <row r="70" spans="1:19" ht="70.5" customHeight="1">
      <c r="A70" s="32" t="s">
        <v>975</v>
      </c>
      <c r="B70" s="252"/>
      <c r="C70" s="255"/>
      <c r="D70" s="264"/>
      <c r="E70" s="273"/>
      <c r="F70" s="102" t="s">
        <v>988</v>
      </c>
      <c r="G70" s="32"/>
      <c r="H70" s="34"/>
      <c r="I70" s="51" t="s">
        <v>989</v>
      </c>
      <c r="J70" s="23" t="s">
        <v>59</v>
      </c>
      <c r="K70" s="34"/>
      <c r="L70" s="35" t="s">
        <v>1124</v>
      </c>
      <c r="M70" s="282" t="s">
        <v>799</v>
      </c>
      <c r="N70" s="39"/>
      <c r="O70" s="39"/>
      <c r="P70" s="39"/>
      <c r="Q70" s="39"/>
      <c r="R70" s="39"/>
      <c r="S70" s="40"/>
    </row>
    <row r="71" spans="1:19" ht="101.25" customHeight="1">
      <c r="A71" s="32" t="s">
        <v>981</v>
      </c>
      <c r="B71" s="252"/>
      <c r="C71" s="255"/>
      <c r="D71" s="64" t="s">
        <v>991</v>
      </c>
      <c r="E71" s="273"/>
      <c r="F71" s="45" t="s">
        <v>993</v>
      </c>
      <c r="G71" s="36"/>
      <c r="H71" s="34"/>
      <c r="I71" s="35" t="s">
        <v>994</v>
      </c>
      <c r="J71" s="23" t="s">
        <v>59</v>
      </c>
      <c r="K71" s="34"/>
      <c r="L71" s="35" t="s">
        <v>1124</v>
      </c>
      <c r="M71" s="282" t="s">
        <v>799</v>
      </c>
      <c r="N71" s="39"/>
      <c r="O71" s="39"/>
      <c r="P71" s="39"/>
      <c r="Q71" s="39"/>
      <c r="R71" s="39"/>
      <c r="S71" s="40"/>
    </row>
    <row r="72" spans="1:19" ht="55.5" customHeight="1">
      <c r="A72" s="32" t="s">
        <v>984</v>
      </c>
      <c r="B72" s="252"/>
      <c r="C72" s="255"/>
      <c r="D72" s="64" t="s">
        <v>996</v>
      </c>
      <c r="E72" s="273"/>
      <c r="F72" s="45" t="s">
        <v>997</v>
      </c>
      <c r="G72" s="36"/>
      <c r="H72" s="34"/>
      <c r="I72" s="35" t="s">
        <v>998</v>
      </c>
      <c r="J72" s="23" t="s">
        <v>59</v>
      </c>
      <c r="K72" s="34"/>
      <c r="L72" s="35" t="s">
        <v>1124</v>
      </c>
      <c r="M72" s="282" t="s">
        <v>799</v>
      </c>
      <c r="N72" s="39"/>
      <c r="O72" s="39"/>
      <c r="P72" s="39"/>
      <c r="Q72" s="39"/>
      <c r="R72" s="39"/>
      <c r="S72" s="40"/>
    </row>
    <row r="73" spans="1:19" ht="33.75" customHeight="1">
      <c r="A73" s="32" t="s">
        <v>987</v>
      </c>
      <c r="B73" s="252"/>
      <c r="C73" s="255"/>
      <c r="D73" s="268" t="s">
        <v>1000</v>
      </c>
      <c r="E73" s="273"/>
      <c r="F73" s="55" t="s">
        <v>1001</v>
      </c>
      <c r="G73" s="50"/>
      <c r="H73" s="56"/>
      <c r="I73" s="57" t="s">
        <v>1002</v>
      </c>
      <c r="J73" s="23" t="s">
        <v>59</v>
      </c>
      <c r="K73" s="34"/>
      <c r="L73" s="35" t="s">
        <v>1124</v>
      </c>
      <c r="M73" s="282" t="s">
        <v>799</v>
      </c>
      <c r="N73" s="39"/>
      <c r="O73" s="39"/>
      <c r="P73" s="39"/>
      <c r="Q73" s="39"/>
      <c r="R73" s="39"/>
      <c r="S73" s="40"/>
    </row>
    <row r="74" spans="1:19" ht="299.25">
      <c r="A74" s="32" t="s">
        <v>990</v>
      </c>
      <c r="B74" s="252"/>
      <c r="C74" s="255"/>
      <c r="D74" s="269"/>
      <c r="E74" s="273"/>
      <c r="F74" s="59" t="s">
        <v>1004</v>
      </c>
      <c r="G74" s="60"/>
      <c r="H74" s="61"/>
      <c r="I74" s="62" t="s">
        <v>71</v>
      </c>
      <c r="J74" s="23" t="s">
        <v>59</v>
      </c>
      <c r="K74" s="34"/>
      <c r="L74" s="35" t="s">
        <v>1124</v>
      </c>
      <c r="M74" s="282" t="s">
        <v>799</v>
      </c>
      <c r="N74" s="39"/>
      <c r="O74" s="39"/>
      <c r="P74" s="39"/>
      <c r="Q74" s="39"/>
      <c r="R74" s="39"/>
      <c r="S74" s="40"/>
    </row>
    <row r="75" spans="1:19" ht="299.25">
      <c r="A75" s="32" t="s">
        <v>995</v>
      </c>
      <c r="B75" s="252"/>
      <c r="C75" s="255"/>
      <c r="D75" s="269"/>
      <c r="E75" s="273"/>
      <c r="F75" s="42" t="s">
        <v>1006</v>
      </c>
      <c r="G75" s="36"/>
      <c r="H75" s="34"/>
      <c r="I75" s="35" t="s">
        <v>71</v>
      </c>
      <c r="J75" s="23" t="s">
        <v>59</v>
      </c>
      <c r="K75" s="34"/>
      <c r="L75" s="35" t="s">
        <v>1124</v>
      </c>
      <c r="M75" s="282" t="s">
        <v>799</v>
      </c>
      <c r="N75" s="39"/>
      <c r="O75" s="39"/>
      <c r="P75" s="39"/>
      <c r="Q75" s="39"/>
      <c r="R75" s="39"/>
      <c r="S75" s="40"/>
    </row>
    <row r="76" spans="1:19" ht="299.25">
      <c r="A76" s="32" t="s">
        <v>999</v>
      </c>
      <c r="B76" s="252"/>
      <c r="C76" s="255"/>
      <c r="D76" s="269"/>
      <c r="E76" s="273"/>
      <c r="F76" s="42" t="s">
        <v>1008</v>
      </c>
      <c r="G76" s="36"/>
      <c r="H76" s="34"/>
      <c r="I76" s="35" t="s">
        <v>1009</v>
      </c>
      <c r="J76" s="23" t="s">
        <v>59</v>
      </c>
      <c r="K76" s="34"/>
      <c r="L76" s="35" t="s">
        <v>1124</v>
      </c>
      <c r="M76" s="282" t="s">
        <v>799</v>
      </c>
      <c r="N76" s="39"/>
      <c r="O76" s="39"/>
      <c r="P76" s="39"/>
      <c r="Q76" s="39"/>
      <c r="R76" s="39"/>
      <c r="S76" s="40"/>
    </row>
    <row r="77" spans="1:19" ht="187.5" customHeight="1">
      <c r="A77" s="32" t="s">
        <v>1003</v>
      </c>
      <c r="B77" s="252"/>
      <c r="C77" s="255"/>
      <c r="D77" s="269"/>
      <c r="E77" s="273"/>
      <c r="F77" s="42" t="s">
        <v>1011</v>
      </c>
      <c r="G77" s="36"/>
      <c r="H77" s="34"/>
      <c r="I77" s="35" t="s">
        <v>1012</v>
      </c>
      <c r="J77" s="23" t="s">
        <v>59</v>
      </c>
      <c r="K77" s="34"/>
      <c r="L77" s="35" t="s">
        <v>1124</v>
      </c>
      <c r="M77" s="282" t="s">
        <v>799</v>
      </c>
      <c r="N77" s="39"/>
      <c r="O77" s="39"/>
      <c r="P77" s="39"/>
      <c r="Q77" s="39"/>
      <c r="R77" s="39"/>
      <c r="S77" s="40"/>
    </row>
    <row r="78" spans="1:19" ht="299.25">
      <c r="A78" s="32" t="s">
        <v>1005</v>
      </c>
      <c r="B78" s="252"/>
      <c r="C78" s="258"/>
      <c r="D78" s="41" t="s">
        <v>1014</v>
      </c>
      <c r="E78" s="274"/>
      <c r="F78" s="42" t="s">
        <v>138</v>
      </c>
      <c r="G78" s="36"/>
      <c r="H78" s="34"/>
      <c r="I78" s="31" t="s">
        <v>139</v>
      </c>
      <c r="J78" s="23" t="s">
        <v>59</v>
      </c>
      <c r="K78" s="34"/>
      <c r="L78" s="35" t="s">
        <v>1124</v>
      </c>
      <c r="M78" s="282" t="s">
        <v>799</v>
      </c>
      <c r="N78" s="39"/>
      <c r="O78" s="39"/>
      <c r="P78" s="39"/>
      <c r="Q78" s="39"/>
      <c r="R78" s="39"/>
      <c r="S78" s="40"/>
    </row>
    <row r="79" spans="1:19" ht="299.25">
      <c r="A79" s="32" t="s">
        <v>1007</v>
      </c>
      <c r="B79" s="252"/>
      <c r="C79" s="258"/>
      <c r="D79" s="41"/>
      <c r="E79" s="274"/>
      <c r="F79" s="42" t="s">
        <v>1016</v>
      </c>
      <c r="G79" s="36"/>
      <c r="H79" s="34"/>
      <c r="I79" s="35" t="s">
        <v>1017</v>
      </c>
      <c r="J79" s="23" t="s">
        <v>59</v>
      </c>
      <c r="K79" s="34"/>
      <c r="L79" s="35" t="s">
        <v>1124</v>
      </c>
      <c r="M79" s="282" t="s">
        <v>799</v>
      </c>
      <c r="N79" s="39"/>
      <c r="O79" s="39"/>
      <c r="P79" s="39"/>
      <c r="Q79" s="39"/>
      <c r="R79" s="39"/>
      <c r="S79" s="40"/>
    </row>
    <row r="80" spans="1:19" ht="299.25">
      <c r="A80" s="32" t="s">
        <v>1010</v>
      </c>
      <c r="B80" s="252"/>
      <c r="C80" s="258"/>
      <c r="D80" s="41"/>
      <c r="E80" s="274"/>
      <c r="F80" s="42" t="s">
        <v>861</v>
      </c>
      <c r="G80" s="36"/>
      <c r="H80" s="34"/>
      <c r="I80" s="31" t="s">
        <v>1019</v>
      </c>
      <c r="J80" s="23" t="s">
        <v>59</v>
      </c>
      <c r="K80" s="34"/>
      <c r="L80" s="35" t="s">
        <v>1124</v>
      </c>
      <c r="M80" s="282" t="s">
        <v>799</v>
      </c>
      <c r="N80" s="39"/>
      <c r="O80" s="39"/>
      <c r="P80" s="39"/>
      <c r="Q80" s="39"/>
      <c r="R80" s="39"/>
      <c r="S80" s="40"/>
    </row>
    <row r="81" spans="1:19" ht="299.25">
      <c r="A81" s="32" t="s">
        <v>1013</v>
      </c>
      <c r="B81" s="252"/>
      <c r="C81" s="258"/>
      <c r="D81" s="41"/>
      <c r="E81" s="274"/>
      <c r="F81" s="42" t="s">
        <v>1021</v>
      </c>
      <c r="G81" s="36"/>
      <c r="H81" s="34"/>
      <c r="I81" s="31" t="s">
        <v>1022</v>
      </c>
      <c r="J81" s="23" t="s">
        <v>59</v>
      </c>
      <c r="K81" s="34"/>
      <c r="L81" s="35" t="s">
        <v>1124</v>
      </c>
      <c r="M81" s="282" t="s">
        <v>799</v>
      </c>
      <c r="N81" s="39"/>
      <c r="O81" s="39"/>
      <c r="P81" s="39"/>
      <c r="Q81" s="39"/>
      <c r="R81" s="39"/>
      <c r="S81" s="40"/>
    </row>
    <row r="82" spans="1:19" ht="299.25">
      <c r="A82" s="32" t="s">
        <v>1015</v>
      </c>
      <c r="B82" s="252"/>
      <c r="C82" s="258"/>
      <c r="D82" s="41"/>
      <c r="E82" s="274"/>
      <c r="F82" s="45" t="s">
        <v>1024</v>
      </c>
      <c r="G82" s="36"/>
      <c r="H82" s="34"/>
      <c r="I82" s="34" t="s">
        <v>1025</v>
      </c>
      <c r="J82" s="23" t="s">
        <v>59</v>
      </c>
      <c r="K82" s="34"/>
      <c r="L82" s="35" t="s">
        <v>1124</v>
      </c>
      <c r="M82" s="282" t="s">
        <v>799</v>
      </c>
      <c r="N82" s="39"/>
      <c r="O82" s="39"/>
      <c r="P82" s="39"/>
      <c r="Q82" s="39"/>
      <c r="R82" s="39"/>
      <c r="S82" s="40"/>
    </row>
    <row r="83" spans="1:19" ht="299.25">
      <c r="A83" s="32" t="s">
        <v>1018</v>
      </c>
      <c r="B83" s="252"/>
      <c r="C83" s="258"/>
      <c r="D83" s="41"/>
      <c r="E83" s="274"/>
      <c r="F83" s="45" t="s">
        <v>1027</v>
      </c>
      <c r="G83" s="36"/>
      <c r="H83" s="34"/>
      <c r="I83" s="34" t="s">
        <v>1126</v>
      </c>
      <c r="J83" s="23" t="s">
        <v>59</v>
      </c>
      <c r="K83" s="34"/>
      <c r="L83" s="35" t="s">
        <v>1124</v>
      </c>
      <c r="M83" s="282" t="s">
        <v>799</v>
      </c>
      <c r="N83" s="39"/>
      <c r="O83" s="39"/>
      <c r="P83" s="39"/>
      <c r="Q83" s="39"/>
      <c r="R83" s="39"/>
      <c r="S83" s="40"/>
    </row>
    <row r="84" spans="1:19" ht="299.25">
      <c r="A84" s="32" t="s">
        <v>1020</v>
      </c>
      <c r="B84" s="252"/>
      <c r="C84" s="258"/>
      <c r="D84" s="41"/>
      <c r="E84" s="274"/>
      <c r="F84" s="53" t="s">
        <v>1030</v>
      </c>
      <c r="G84" s="52"/>
      <c r="H84" s="33"/>
      <c r="I84" s="52" t="s">
        <v>1031</v>
      </c>
      <c r="J84" s="23" t="s">
        <v>59</v>
      </c>
      <c r="K84" s="34"/>
      <c r="L84" s="35" t="s">
        <v>1124</v>
      </c>
      <c r="M84" s="282" t="s">
        <v>799</v>
      </c>
      <c r="N84" s="39"/>
      <c r="O84" s="39"/>
      <c r="P84" s="39"/>
      <c r="Q84" s="39"/>
      <c r="R84" s="39"/>
      <c r="S84" s="40"/>
    </row>
    <row r="85" spans="1:19" ht="299.25">
      <c r="A85" s="32" t="s">
        <v>1023</v>
      </c>
      <c r="B85" s="252"/>
      <c r="C85" s="255"/>
      <c r="D85" s="265" t="s">
        <v>1033</v>
      </c>
      <c r="E85" s="273"/>
      <c r="F85" s="42" t="s">
        <v>1034</v>
      </c>
      <c r="G85" s="31" t="s">
        <v>1035</v>
      </c>
      <c r="H85" s="63"/>
      <c r="I85" s="69" t="s">
        <v>1036</v>
      </c>
      <c r="J85" s="23" t="s">
        <v>59</v>
      </c>
      <c r="K85" s="34"/>
      <c r="L85" s="35" t="s">
        <v>1124</v>
      </c>
      <c r="M85" s="282" t="s">
        <v>799</v>
      </c>
      <c r="N85" s="39"/>
      <c r="O85" s="39"/>
      <c r="P85" s="39"/>
      <c r="Q85" s="39"/>
      <c r="R85" s="39"/>
      <c r="S85" s="40"/>
    </row>
    <row r="86" spans="1:19" ht="299.25">
      <c r="A86" s="32" t="s">
        <v>1026</v>
      </c>
      <c r="B86" s="252"/>
      <c r="C86" s="255"/>
      <c r="D86" s="265"/>
      <c r="E86" s="273"/>
      <c r="F86" s="42" t="s">
        <v>1038</v>
      </c>
      <c r="G86" s="31" t="s">
        <v>1039</v>
      </c>
      <c r="H86" s="63"/>
      <c r="I86" s="69" t="s">
        <v>1040</v>
      </c>
      <c r="J86" s="23" t="s">
        <v>59</v>
      </c>
      <c r="K86" s="34"/>
      <c r="L86" s="35" t="s">
        <v>1124</v>
      </c>
      <c r="M86" s="282" t="s">
        <v>799</v>
      </c>
      <c r="N86" s="39"/>
      <c r="O86" s="39"/>
      <c r="P86" s="39"/>
      <c r="Q86" s="39"/>
      <c r="R86" s="39"/>
      <c r="S86" s="40"/>
    </row>
    <row r="87" spans="1:19" ht="299.25">
      <c r="A87" s="251" t="s">
        <v>1029</v>
      </c>
      <c r="B87" s="252"/>
      <c r="C87" s="255"/>
      <c r="D87" s="265"/>
      <c r="E87" s="273"/>
      <c r="F87" s="283" t="s">
        <v>1038</v>
      </c>
      <c r="G87" s="284" t="s">
        <v>1042</v>
      </c>
      <c r="H87" s="285"/>
      <c r="I87" s="286" t="s">
        <v>1040</v>
      </c>
      <c r="J87" s="23" t="s">
        <v>59</v>
      </c>
      <c r="K87" s="33"/>
      <c r="L87" s="287" t="s">
        <v>1124</v>
      </c>
      <c r="M87" s="254" t="s">
        <v>799</v>
      </c>
      <c r="N87" s="39"/>
      <c r="O87" s="39"/>
      <c r="P87" s="39"/>
      <c r="Q87" s="39"/>
      <c r="R87" s="39"/>
      <c r="S87" s="40"/>
    </row>
    <row r="88" spans="1:19" ht="15" customHeight="1">
      <c r="A88" s="390" t="s">
        <v>1043</v>
      </c>
      <c r="B88" s="390"/>
      <c r="C88" s="390"/>
      <c r="D88" s="390"/>
      <c r="E88" s="390"/>
      <c r="F88" s="390"/>
      <c r="G88" s="390"/>
      <c r="H88" s="390"/>
      <c r="I88" s="390"/>
      <c r="J88" s="390"/>
      <c r="K88" s="390"/>
      <c r="L88" s="390"/>
      <c r="M88" s="390"/>
      <c r="N88" s="17">
        <f>COUNTIF($J89:J103,"PASS")</f>
        <v>15</v>
      </c>
      <c r="O88" s="17">
        <f>COUNTIF($J89:J103,"FAIL")</f>
        <v>0</v>
      </c>
      <c r="P88" s="17">
        <f>COUNTBLANK(J89:J111)</f>
        <v>0</v>
      </c>
      <c r="Q88" s="17">
        <f>COUNTIF($J89:J103,"IN PROGRESS")</f>
        <v>0</v>
      </c>
      <c r="R88" s="17">
        <f>COUNTIF($J89:J103,"BLOCKED")</f>
        <v>0</v>
      </c>
      <c r="S88" s="40"/>
    </row>
    <row r="89" spans="1:19" ht="307.5" customHeight="1">
      <c r="A89" s="253" t="s">
        <v>1032</v>
      </c>
      <c r="B89" s="252" t="s">
        <v>1127</v>
      </c>
      <c r="C89" s="277" t="s">
        <v>54</v>
      </c>
      <c r="D89" s="266" t="s">
        <v>1046</v>
      </c>
      <c r="E89" s="275" t="s">
        <v>1128</v>
      </c>
      <c r="F89" s="267" t="s">
        <v>1047</v>
      </c>
      <c r="G89" s="288"/>
      <c r="H89" s="61"/>
      <c r="I89" s="280" t="s">
        <v>1048</v>
      </c>
      <c r="J89" s="279" t="s">
        <v>59</v>
      </c>
      <c r="K89" s="61"/>
      <c r="L89" s="62" t="s">
        <v>1124</v>
      </c>
      <c r="M89" s="256" t="s">
        <v>799</v>
      </c>
      <c r="N89" s="39"/>
      <c r="O89" s="39"/>
      <c r="P89" s="39"/>
      <c r="Q89" s="39"/>
      <c r="R89" s="39"/>
      <c r="S89" s="40"/>
    </row>
    <row r="90" spans="1:19" ht="299.25">
      <c r="A90" s="32" t="s">
        <v>1037</v>
      </c>
      <c r="B90" s="252"/>
      <c r="C90" s="277"/>
      <c r="D90" s="266"/>
      <c r="E90" s="275"/>
      <c r="F90" s="78" t="s">
        <v>982</v>
      </c>
      <c r="G90" s="77"/>
      <c r="H90" s="34"/>
      <c r="I90" s="51" t="s">
        <v>983</v>
      </c>
      <c r="J90" s="23" t="s">
        <v>59</v>
      </c>
      <c r="K90" s="34"/>
      <c r="L90" s="35" t="s">
        <v>1124</v>
      </c>
      <c r="M90" s="282" t="s">
        <v>799</v>
      </c>
      <c r="N90" s="39"/>
      <c r="O90" s="39"/>
      <c r="P90" s="39"/>
      <c r="Q90" s="39"/>
      <c r="R90" s="39"/>
      <c r="S90" s="40"/>
    </row>
    <row r="91" spans="1:19" ht="299.25">
      <c r="A91" s="32" t="s">
        <v>1041</v>
      </c>
      <c r="B91" s="252"/>
      <c r="C91" s="277"/>
      <c r="D91" s="266"/>
      <c r="E91" s="275"/>
      <c r="F91" s="78" t="s">
        <v>985</v>
      </c>
      <c r="G91" s="77"/>
      <c r="H91" s="34"/>
      <c r="I91" s="51" t="s">
        <v>986</v>
      </c>
      <c r="J91" s="23" t="s">
        <v>59</v>
      </c>
      <c r="K91" s="34"/>
      <c r="L91" s="35" t="s">
        <v>1124</v>
      </c>
      <c r="M91" s="282" t="s">
        <v>799</v>
      </c>
      <c r="N91" s="39"/>
      <c r="O91" s="39"/>
      <c r="P91" s="39"/>
      <c r="Q91" s="39"/>
      <c r="R91" s="39"/>
      <c r="S91" s="40"/>
    </row>
    <row r="92" spans="1:19" ht="299.25">
      <c r="A92" s="32" t="s">
        <v>1044</v>
      </c>
      <c r="B92" s="252"/>
      <c r="C92" s="277"/>
      <c r="D92" s="267"/>
      <c r="E92" s="275"/>
      <c r="F92" s="78" t="s">
        <v>988</v>
      </c>
      <c r="G92" s="77"/>
      <c r="H92" s="34"/>
      <c r="I92" s="51" t="s">
        <v>989</v>
      </c>
      <c r="J92" s="23" t="s">
        <v>59</v>
      </c>
      <c r="L92" s="35" t="s">
        <v>1124</v>
      </c>
      <c r="M92" s="282" t="s">
        <v>799</v>
      </c>
      <c r="N92" s="39"/>
      <c r="O92" s="39"/>
      <c r="P92" s="39"/>
      <c r="Q92" s="39"/>
      <c r="R92" s="39"/>
      <c r="S92" s="40"/>
    </row>
    <row r="93" spans="1:19" ht="299.25">
      <c r="A93" s="32" t="s">
        <v>1049</v>
      </c>
      <c r="B93" s="252"/>
      <c r="C93" s="277"/>
      <c r="D93" s="50" t="s">
        <v>1053</v>
      </c>
      <c r="E93" s="275"/>
      <c r="F93" s="50" t="s">
        <v>1055</v>
      </c>
      <c r="G93" s="45"/>
      <c r="H93" s="34"/>
      <c r="I93" s="35" t="s">
        <v>994</v>
      </c>
      <c r="J93" s="23" t="s">
        <v>59</v>
      </c>
      <c r="K93" s="34"/>
      <c r="L93" s="35" t="s">
        <v>1124</v>
      </c>
      <c r="M93" s="282" t="s">
        <v>799</v>
      </c>
      <c r="N93" s="39"/>
      <c r="O93" s="39"/>
      <c r="P93" s="39"/>
      <c r="Q93" s="39"/>
      <c r="R93" s="39"/>
      <c r="S93" s="40"/>
    </row>
    <row r="94" spans="1:19" ht="59.25" customHeight="1">
      <c r="A94" s="32" t="s">
        <v>1050</v>
      </c>
      <c r="B94" s="252"/>
      <c r="C94" s="277"/>
      <c r="D94" s="50" t="s">
        <v>1057</v>
      </c>
      <c r="E94" s="275"/>
      <c r="F94" s="50" t="s">
        <v>997</v>
      </c>
      <c r="G94" s="45"/>
      <c r="H94" s="34"/>
      <c r="I94" s="35" t="s">
        <v>998</v>
      </c>
      <c r="J94" s="23" t="s">
        <v>59</v>
      </c>
      <c r="K94" s="34"/>
      <c r="L94" s="35" t="s">
        <v>1124</v>
      </c>
      <c r="M94" s="282" t="s">
        <v>799</v>
      </c>
      <c r="N94" s="39"/>
      <c r="O94" s="39"/>
      <c r="P94" s="39"/>
      <c r="Q94" s="39"/>
      <c r="R94" s="39"/>
      <c r="S94" s="40"/>
    </row>
    <row r="95" spans="1:19" ht="299.25">
      <c r="A95" s="32" t="s">
        <v>1051</v>
      </c>
      <c r="B95" s="252"/>
      <c r="C95" s="277"/>
      <c r="D95" s="257" t="s">
        <v>1059</v>
      </c>
      <c r="E95" s="275"/>
      <c r="F95" s="58" t="s">
        <v>1001</v>
      </c>
      <c r="G95" s="45"/>
      <c r="H95" s="34"/>
      <c r="I95" s="35" t="s">
        <v>1002</v>
      </c>
      <c r="J95" s="23" t="s">
        <v>59</v>
      </c>
      <c r="K95" s="34"/>
      <c r="L95" s="35" t="s">
        <v>1124</v>
      </c>
      <c r="M95" s="282" t="s">
        <v>799</v>
      </c>
      <c r="N95" s="39"/>
      <c r="O95" s="39"/>
      <c r="P95" s="39"/>
      <c r="Q95" s="39"/>
      <c r="R95" s="39"/>
      <c r="S95" s="40"/>
    </row>
    <row r="96" spans="1:19" ht="299.25">
      <c r="A96" s="32" t="s">
        <v>1052</v>
      </c>
      <c r="B96" s="252"/>
      <c r="C96" s="277"/>
      <c r="D96" s="270"/>
      <c r="E96" s="275"/>
      <c r="F96" s="58" t="s">
        <v>1004</v>
      </c>
      <c r="G96" s="45"/>
      <c r="H96" s="34"/>
      <c r="I96" s="35" t="s">
        <v>71</v>
      </c>
      <c r="J96" s="23" t="s">
        <v>59</v>
      </c>
      <c r="K96" s="34"/>
      <c r="L96" s="35" t="s">
        <v>1124</v>
      </c>
      <c r="M96" s="282" t="s">
        <v>799</v>
      </c>
      <c r="N96" s="39"/>
      <c r="O96" s="39"/>
      <c r="P96" s="39"/>
      <c r="Q96" s="39"/>
      <c r="R96" s="39"/>
      <c r="S96" s="40"/>
    </row>
    <row r="97" spans="1:19" ht="299.25">
      <c r="A97" s="32" t="s">
        <v>1056</v>
      </c>
      <c r="B97" s="252"/>
      <c r="C97" s="277"/>
      <c r="D97" s="270"/>
      <c r="E97" s="275"/>
      <c r="F97" s="58" t="s">
        <v>1006</v>
      </c>
      <c r="G97" s="45"/>
      <c r="H97" s="34"/>
      <c r="I97" s="35" t="s">
        <v>71</v>
      </c>
      <c r="J97" s="23" t="s">
        <v>59</v>
      </c>
      <c r="K97" s="34"/>
      <c r="L97" s="35" t="s">
        <v>1124</v>
      </c>
      <c r="M97" s="282" t="s">
        <v>799</v>
      </c>
      <c r="N97" s="39"/>
      <c r="O97" s="39"/>
      <c r="P97" s="39"/>
      <c r="Q97" s="39"/>
      <c r="R97" s="39"/>
      <c r="S97" s="40"/>
    </row>
    <row r="98" spans="1:19" ht="299.25">
      <c r="A98" s="32" t="s">
        <v>1058</v>
      </c>
      <c r="B98" s="252"/>
      <c r="C98" s="277"/>
      <c r="D98" s="270"/>
      <c r="E98" s="275"/>
      <c r="F98" s="58" t="s">
        <v>1008</v>
      </c>
      <c r="G98" s="45"/>
      <c r="H98" s="34"/>
      <c r="I98" s="35" t="s">
        <v>1009</v>
      </c>
      <c r="J98" s="23" t="s">
        <v>59</v>
      </c>
      <c r="K98" s="34"/>
      <c r="L98" s="35" t="s">
        <v>1124</v>
      </c>
      <c r="M98" s="282" t="s">
        <v>799</v>
      </c>
      <c r="N98" s="39"/>
      <c r="O98" s="39"/>
      <c r="P98" s="39"/>
      <c r="Q98" s="39"/>
      <c r="R98" s="39"/>
      <c r="S98" s="40"/>
    </row>
    <row r="99" spans="1:19" ht="299.25">
      <c r="A99" s="32" t="s">
        <v>1060</v>
      </c>
      <c r="B99" s="252"/>
      <c r="C99" s="277"/>
      <c r="D99" s="271"/>
      <c r="E99" s="275"/>
      <c r="F99" s="58" t="s">
        <v>1011</v>
      </c>
      <c r="G99" s="45"/>
      <c r="H99" s="34"/>
      <c r="I99" s="35" t="s">
        <v>1064</v>
      </c>
      <c r="J99" s="23" t="s">
        <v>59</v>
      </c>
      <c r="K99" s="34"/>
      <c r="L99" s="35" t="s">
        <v>1124</v>
      </c>
      <c r="M99" s="282" t="s">
        <v>799</v>
      </c>
      <c r="N99" s="39"/>
      <c r="O99" s="39"/>
      <c r="P99" s="39"/>
      <c r="Q99" s="39"/>
      <c r="R99" s="39"/>
      <c r="S99" s="40"/>
    </row>
    <row r="100" spans="1:19" ht="299.25">
      <c r="A100" s="32" t="s">
        <v>1061</v>
      </c>
      <c r="B100" s="252"/>
      <c r="C100" s="277"/>
      <c r="D100" s="257" t="s">
        <v>1066</v>
      </c>
      <c r="E100" s="275"/>
      <c r="F100" s="58" t="s">
        <v>138</v>
      </c>
      <c r="G100" s="45"/>
      <c r="H100" s="34"/>
      <c r="I100" s="31" t="s">
        <v>139</v>
      </c>
      <c r="J100" s="23" t="s">
        <v>59</v>
      </c>
      <c r="K100" s="34"/>
      <c r="L100" s="35" t="s">
        <v>1124</v>
      </c>
      <c r="M100" s="282" t="s">
        <v>799</v>
      </c>
      <c r="N100" s="39"/>
      <c r="O100" s="39"/>
      <c r="P100" s="39"/>
      <c r="Q100" s="39"/>
      <c r="R100" s="39"/>
      <c r="S100" s="40"/>
    </row>
    <row r="101" spans="1:19" ht="299.25">
      <c r="A101" s="32" t="s">
        <v>1062</v>
      </c>
      <c r="B101" s="252"/>
      <c r="C101" s="277"/>
      <c r="D101" s="270"/>
      <c r="E101" s="275"/>
      <c r="F101" s="58" t="s">
        <v>1016</v>
      </c>
      <c r="G101" s="45"/>
      <c r="H101" s="34"/>
      <c r="I101" s="35" t="s">
        <v>1068</v>
      </c>
      <c r="J101" s="23" t="s">
        <v>59</v>
      </c>
      <c r="K101" s="34"/>
      <c r="L101" s="35" t="s">
        <v>1124</v>
      </c>
      <c r="M101" s="282" t="s">
        <v>799</v>
      </c>
      <c r="N101" s="39"/>
      <c r="O101" s="39"/>
      <c r="P101" s="39"/>
      <c r="Q101" s="39"/>
      <c r="R101" s="39"/>
      <c r="S101" s="40"/>
    </row>
    <row r="102" spans="1:19" ht="299.25">
      <c r="A102" s="32" t="s">
        <v>1063</v>
      </c>
      <c r="B102" s="252"/>
      <c r="C102" s="277"/>
      <c r="D102" s="270"/>
      <c r="E102" s="275"/>
      <c r="F102" s="58" t="s">
        <v>1070</v>
      </c>
      <c r="G102" s="45"/>
      <c r="H102" s="34"/>
      <c r="I102" s="31" t="s">
        <v>242</v>
      </c>
      <c r="J102" s="23" t="s">
        <v>59</v>
      </c>
      <c r="K102" s="34"/>
      <c r="L102" s="35" t="s">
        <v>1124</v>
      </c>
      <c r="M102" s="282" t="s">
        <v>799</v>
      </c>
      <c r="N102" s="39"/>
      <c r="O102" s="39"/>
      <c r="P102" s="39"/>
      <c r="Q102" s="39"/>
      <c r="R102" s="39"/>
      <c r="S102" s="40"/>
    </row>
    <row r="103" spans="1:19" ht="299.25">
      <c r="A103" s="32" t="s">
        <v>1065</v>
      </c>
      <c r="B103" s="252"/>
      <c r="C103" s="277"/>
      <c r="D103" s="270"/>
      <c r="E103" s="275"/>
      <c r="F103" s="58" t="s">
        <v>1072</v>
      </c>
      <c r="G103" s="45"/>
      <c r="H103" s="34"/>
      <c r="I103" s="31" t="s">
        <v>865</v>
      </c>
      <c r="J103" s="23" t="s">
        <v>59</v>
      </c>
      <c r="K103" s="34"/>
      <c r="L103" s="35" t="s">
        <v>1124</v>
      </c>
      <c r="M103" s="282" t="s">
        <v>799</v>
      </c>
      <c r="N103" s="39"/>
      <c r="O103" s="39"/>
      <c r="P103" s="39"/>
      <c r="Q103" s="39"/>
      <c r="R103" s="39"/>
      <c r="S103" s="40"/>
    </row>
    <row r="104" spans="1:19" ht="299.25">
      <c r="A104" s="32" t="s">
        <v>1067</v>
      </c>
      <c r="B104" s="252"/>
      <c r="C104" s="277"/>
      <c r="D104" s="270"/>
      <c r="E104" s="275"/>
      <c r="F104" s="50" t="s">
        <v>1074</v>
      </c>
      <c r="G104" s="45"/>
      <c r="H104" s="34"/>
      <c r="I104" s="34" t="s">
        <v>1075</v>
      </c>
      <c r="J104" s="23" t="s">
        <v>59</v>
      </c>
      <c r="K104" s="34"/>
      <c r="L104" s="35" t="s">
        <v>1124</v>
      </c>
      <c r="M104" s="282" t="s">
        <v>799</v>
      </c>
      <c r="N104" s="39"/>
      <c r="O104" s="39"/>
      <c r="P104" s="39"/>
      <c r="Q104" s="39"/>
      <c r="R104" s="39"/>
      <c r="S104" s="40"/>
    </row>
    <row r="105" spans="1:19" ht="299.25">
      <c r="A105" s="32" t="s">
        <v>1069</v>
      </c>
      <c r="B105" s="252"/>
      <c r="C105" s="277"/>
      <c r="D105" s="270"/>
      <c r="E105" s="275"/>
      <c r="F105" s="50" t="s">
        <v>1077</v>
      </c>
      <c r="G105" s="45"/>
      <c r="H105" s="34"/>
      <c r="I105" s="34" t="s">
        <v>1078</v>
      </c>
      <c r="J105" s="23" t="s">
        <v>59</v>
      </c>
      <c r="K105" s="34"/>
      <c r="L105" s="35" t="s">
        <v>1124</v>
      </c>
      <c r="M105" s="282" t="s">
        <v>799</v>
      </c>
      <c r="N105" s="39"/>
      <c r="O105" s="39"/>
      <c r="P105" s="39"/>
      <c r="Q105" s="39"/>
      <c r="R105" s="39"/>
      <c r="S105" s="40"/>
    </row>
    <row r="106" spans="1:19" ht="299.25">
      <c r="A106" s="32" t="s">
        <v>1071</v>
      </c>
      <c r="B106" s="252"/>
      <c r="C106" s="277"/>
      <c r="D106" s="271"/>
      <c r="E106" s="275"/>
      <c r="F106" s="56" t="s">
        <v>1030</v>
      </c>
      <c r="G106" s="45"/>
      <c r="H106" s="34"/>
      <c r="I106" s="64" t="s">
        <v>1031</v>
      </c>
      <c r="J106" s="68" t="s">
        <v>59</v>
      </c>
      <c r="K106" s="53"/>
      <c r="L106" s="35" t="s">
        <v>1124</v>
      </c>
      <c r="M106" s="282" t="s">
        <v>799</v>
      </c>
      <c r="N106" s="39"/>
      <c r="O106" s="39"/>
      <c r="P106" s="39"/>
      <c r="Q106" s="39"/>
      <c r="R106" s="39"/>
      <c r="S106" s="40"/>
    </row>
    <row r="107" spans="1:19" ht="299.25">
      <c r="A107" s="32" t="s">
        <v>1073</v>
      </c>
      <c r="B107" s="252"/>
      <c r="C107" s="277"/>
      <c r="D107" s="259" t="s">
        <v>1081</v>
      </c>
      <c r="E107" s="275"/>
      <c r="F107" s="76" t="s">
        <v>1082</v>
      </c>
      <c r="G107" s="104" t="s">
        <v>1129</v>
      </c>
      <c r="H107" s="63"/>
      <c r="I107" s="67" t="s">
        <v>1084</v>
      </c>
      <c r="J107" s="66" t="s">
        <v>59</v>
      </c>
      <c r="K107" s="56"/>
      <c r="L107" s="35" t="s">
        <v>1124</v>
      </c>
      <c r="M107" s="282" t="s">
        <v>799</v>
      </c>
      <c r="N107" s="39"/>
      <c r="O107" s="39"/>
      <c r="P107" s="39"/>
      <c r="Q107" s="39"/>
      <c r="R107" s="39"/>
      <c r="S107" s="40"/>
    </row>
    <row r="108" spans="1:19" ht="299.25">
      <c r="A108" s="32" t="s">
        <v>1076</v>
      </c>
      <c r="B108" s="252"/>
      <c r="C108" s="277"/>
      <c r="D108" s="260"/>
      <c r="E108" s="275"/>
      <c r="F108" s="76" t="s">
        <v>1086</v>
      </c>
      <c r="G108" s="104" t="s">
        <v>1130</v>
      </c>
      <c r="H108" s="63"/>
      <c r="I108" s="67" t="s">
        <v>1084</v>
      </c>
      <c r="J108" s="68" t="s">
        <v>59</v>
      </c>
      <c r="K108" s="75"/>
      <c r="L108" s="35" t="s">
        <v>1124</v>
      </c>
      <c r="M108" s="282" t="s">
        <v>799</v>
      </c>
      <c r="N108" s="39"/>
      <c r="O108" s="39"/>
      <c r="P108" s="39"/>
      <c r="Q108" s="39"/>
      <c r="R108" s="39"/>
      <c r="S108" s="40"/>
    </row>
    <row r="109" spans="1:19" ht="299.25">
      <c r="A109" s="32" t="s">
        <v>1079</v>
      </c>
      <c r="B109" s="252"/>
      <c r="C109" s="277"/>
      <c r="D109" s="259" t="s">
        <v>1033</v>
      </c>
      <c r="E109" s="275"/>
      <c r="F109" s="58" t="s">
        <v>1089</v>
      </c>
      <c r="G109" s="42" t="s">
        <v>1131</v>
      </c>
      <c r="H109" s="63"/>
      <c r="I109" s="73" t="s">
        <v>1132</v>
      </c>
      <c r="J109" s="68" t="s">
        <v>59</v>
      </c>
      <c r="K109" s="72"/>
      <c r="L109" s="35" t="s">
        <v>1124</v>
      </c>
      <c r="M109" s="282" t="s">
        <v>799</v>
      </c>
      <c r="N109" s="39"/>
      <c r="O109" s="39"/>
      <c r="P109" s="39"/>
      <c r="Q109" s="39"/>
      <c r="R109" s="39"/>
      <c r="S109" s="40"/>
    </row>
    <row r="110" spans="1:19" ht="299.25">
      <c r="A110" s="32" t="s">
        <v>1080</v>
      </c>
      <c r="B110" s="252"/>
      <c r="C110" s="277"/>
      <c r="D110" s="261"/>
      <c r="E110" s="275"/>
      <c r="F110" s="58" t="s">
        <v>1093</v>
      </c>
      <c r="G110" s="42" t="s">
        <v>1094</v>
      </c>
      <c r="H110" s="63"/>
      <c r="I110" s="74" t="s">
        <v>1095</v>
      </c>
      <c r="J110" s="68" t="s">
        <v>59</v>
      </c>
      <c r="K110" s="72"/>
      <c r="L110" s="35" t="s">
        <v>1124</v>
      </c>
      <c r="M110" s="282" t="s">
        <v>799</v>
      </c>
      <c r="N110" s="39"/>
      <c r="O110" s="39"/>
      <c r="P110" s="39"/>
      <c r="Q110" s="39"/>
      <c r="R110" s="39"/>
      <c r="S110" s="40"/>
    </row>
    <row r="111" spans="1:19" ht="299.25">
      <c r="A111" s="32" t="s">
        <v>1085</v>
      </c>
      <c r="B111" s="253"/>
      <c r="C111" s="278"/>
      <c r="D111" s="260"/>
      <c r="E111" s="276"/>
      <c r="F111" s="58" t="s">
        <v>1097</v>
      </c>
      <c r="G111" s="42" t="s">
        <v>1098</v>
      </c>
      <c r="H111" s="63"/>
      <c r="I111" s="74" t="s">
        <v>1095</v>
      </c>
      <c r="J111" s="66" t="s">
        <v>59</v>
      </c>
      <c r="K111" s="72"/>
      <c r="L111" s="35" t="s">
        <v>1124</v>
      </c>
      <c r="M111" s="282" t="s">
        <v>799</v>
      </c>
      <c r="N111" s="39"/>
      <c r="O111" s="39"/>
      <c r="P111" s="39"/>
      <c r="Q111" s="39"/>
      <c r="R111" s="39"/>
      <c r="S111" s="40"/>
    </row>
    <row r="112" spans="1:19">
      <c r="A112" s="435" t="s">
        <v>1133</v>
      </c>
      <c r="B112" s="435"/>
      <c r="C112" s="435"/>
      <c r="D112" s="553"/>
      <c r="E112" s="553"/>
      <c r="F112" s="553"/>
      <c r="G112" s="435"/>
      <c r="H112" s="435"/>
      <c r="I112" s="435"/>
      <c r="J112" s="553"/>
      <c r="K112" s="553"/>
      <c r="L112" s="553"/>
      <c r="M112" s="549"/>
      <c r="N112" s="17">
        <f>COUNTIF($J113:J124,"PASS")</f>
        <v>12</v>
      </c>
      <c r="O112" s="17">
        <f>COUNTIF($J113:J124,"FAIL")</f>
        <v>0</v>
      </c>
      <c r="P112" s="17">
        <f>COUNTBLANK(J113:J133)</f>
        <v>0</v>
      </c>
      <c r="Q112" s="17">
        <f>COUNTIF($J113:J124,"IN PROGRESS")</f>
        <v>0</v>
      </c>
      <c r="R112" s="17">
        <f>COUNTIF($J113:J124,"BLOCKED")</f>
        <v>0</v>
      </c>
    </row>
    <row r="113" spans="1:19" ht="177.75" customHeight="1">
      <c r="A113" s="32" t="s">
        <v>1088</v>
      </c>
      <c r="B113" s="439" t="s">
        <v>1134</v>
      </c>
      <c r="C113" s="442" t="s">
        <v>54</v>
      </c>
      <c r="D113" s="428" t="s">
        <v>55</v>
      </c>
      <c r="E113" s="430" t="s">
        <v>1135</v>
      </c>
      <c r="F113" s="20" t="s">
        <v>57</v>
      </c>
      <c r="G113" s="12"/>
      <c r="H113" s="21"/>
      <c r="I113" s="22" t="s">
        <v>58</v>
      </c>
      <c r="J113" s="205" t="s">
        <v>59</v>
      </c>
      <c r="K113" s="162"/>
      <c r="L113" s="89" t="s">
        <v>1136</v>
      </c>
      <c r="M113" s="282" t="s">
        <v>799</v>
      </c>
      <c r="N113" s="15"/>
      <c r="O113" s="15"/>
      <c r="P113" s="15"/>
      <c r="Q113" s="24"/>
      <c r="R113" s="24"/>
      <c r="S113" s="24"/>
    </row>
    <row r="114" spans="1:19" ht="165.75" customHeight="1">
      <c r="A114" s="32" t="s">
        <v>1092</v>
      </c>
      <c r="B114" s="440"/>
      <c r="C114" s="440"/>
      <c r="D114" s="429"/>
      <c r="E114" s="431"/>
      <c r="F114" s="20" t="s">
        <v>63</v>
      </c>
      <c r="G114" s="19"/>
      <c r="H114" s="21"/>
      <c r="I114" s="91" t="s">
        <v>64</v>
      </c>
      <c r="J114" s="23" t="s">
        <v>59</v>
      </c>
      <c r="K114" s="19" t="s">
        <v>1137</v>
      </c>
      <c r="L114" s="163" t="s">
        <v>1138</v>
      </c>
      <c r="M114" s="282" t="s">
        <v>799</v>
      </c>
      <c r="N114" s="15"/>
      <c r="O114" s="15"/>
      <c r="P114" s="15"/>
      <c r="Q114" s="24"/>
      <c r="R114" s="24"/>
      <c r="S114" s="24"/>
    </row>
    <row r="115" spans="1:19" ht="181.5" customHeight="1">
      <c r="A115" s="32" t="s">
        <v>1096</v>
      </c>
      <c r="B115" s="440"/>
      <c r="C115" s="440"/>
      <c r="D115" s="429"/>
      <c r="E115" s="431"/>
      <c r="F115" s="20" t="s">
        <v>66</v>
      </c>
      <c r="G115" s="19"/>
      <c r="H115" s="21"/>
      <c r="I115" s="22" t="s">
        <v>67</v>
      </c>
      <c r="J115" s="23" t="s">
        <v>59</v>
      </c>
      <c r="K115" s="19"/>
      <c r="L115" s="89" t="s">
        <v>1139</v>
      </c>
      <c r="M115" s="282" t="s">
        <v>799</v>
      </c>
      <c r="N115" s="15"/>
      <c r="O115" s="15"/>
      <c r="P115" s="15"/>
      <c r="Q115" s="24"/>
      <c r="R115" s="24"/>
      <c r="S115" s="24"/>
    </row>
    <row r="116" spans="1:19" ht="184.5" customHeight="1">
      <c r="A116" s="32" t="s">
        <v>1140</v>
      </c>
      <c r="B116" s="440"/>
      <c r="C116" s="440"/>
      <c r="D116" s="429"/>
      <c r="E116" s="431"/>
      <c r="F116" s="25" t="s">
        <v>69</v>
      </c>
      <c r="G116" s="19" t="s">
        <v>70</v>
      </c>
      <c r="H116" s="21"/>
      <c r="I116" s="12" t="s">
        <v>71</v>
      </c>
      <c r="J116" s="23" t="s">
        <v>59</v>
      </c>
      <c r="K116" s="19"/>
      <c r="L116" s="89" t="s">
        <v>1139</v>
      </c>
      <c r="M116" s="282" t="s">
        <v>799</v>
      </c>
      <c r="N116" s="15"/>
      <c r="O116" s="15"/>
      <c r="P116" s="15"/>
      <c r="Q116" s="24"/>
      <c r="R116" s="24"/>
      <c r="S116" s="24"/>
    </row>
    <row r="117" spans="1:19" ht="162" customHeight="1">
      <c r="A117" s="32" t="s">
        <v>1141</v>
      </c>
      <c r="B117" s="440"/>
      <c r="C117" s="440"/>
      <c r="D117" s="429"/>
      <c r="E117" s="431"/>
      <c r="F117" s="25" t="s">
        <v>73</v>
      </c>
      <c r="G117" s="12" t="s">
        <v>74</v>
      </c>
      <c r="H117" s="21"/>
      <c r="I117" s="12" t="s">
        <v>71</v>
      </c>
      <c r="J117" s="23" t="s">
        <v>59</v>
      </c>
      <c r="K117" s="19"/>
      <c r="L117" s="89" t="s">
        <v>1139</v>
      </c>
      <c r="M117" s="282" t="s">
        <v>799</v>
      </c>
      <c r="N117" s="15"/>
      <c r="O117" s="15"/>
      <c r="P117" s="15"/>
      <c r="Q117" s="24"/>
      <c r="R117" s="24"/>
      <c r="S117" s="24"/>
    </row>
    <row r="118" spans="1:19" ht="148.5" customHeight="1">
      <c r="A118" s="32" t="s">
        <v>1142</v>
      </c>
      <c r="B118" s="440"/>
      <c r="C118" s="440"/>
      <c r="D118" s="433" t="s">
        <v>76</v>
      </c>
      <c r="E118" s="431"/>
      <c r="F118" s="27" t="s">
        <v>77</v>
      </c>
      <c r="G118" s="12"/>
      <c r="H118" s="19"/>
      <c r="I118" s="12" t="s">
        <v>1143</v>
      </c>
      <c r="J118" s="23" t="s">
        <v>59</v>
      </c>
      <c r="K118" s="19"/>
      <c r="L118" s="89" t="s">
        <v>1139</v>
      </c>
      <c r="M118" s="282" t="s">
        <v>799</v>
      </c>
      <c r="N118" s="15"/>
      <c r="O118" s="15"/>
      <c r="P118" s="15"/>
      <c r="Q118" s="24"/>
      <c r="R118" s="24"/>
      <c r="S118" s="24"/>
    </row>
    <row r="119" spans="1:19" ht="181.5" customHeight="1">
      <c r="A119" s="32" t="s">
        <v>1144</v>
      </c>
      <c r="B119" s="440"/>
      <c r="C119" s="440"/>
      <c r="D119" s="429"/>
      <c r="E119" s="431"/>
      <c r="F119" s="27" t="s">
        <v>80</v>
      </c>
      <c r="G119" s="28"/>
      <c r="H119" s="21"/>
      <c r="I119" s="29" t="s">
        <v>81</v>
      </c>
      <c r="J119" s="23" t="s">
        <v>59</v>
      </c>
      <c r="K119" s="19"/>
      <c r="L119" s="89" t="s">
        <v>1139</v>
      </c>
      <c r="M119" s="282" t="s">
        <v>799</v>
      </c>
      <c r="N119" s="15"/>
      <c r="O119" s="15"/>
      <c r="P119" s="15"/>
      <c r="Q119" s="24"/>
      <c r="R119" s="24"/>
      <c r="S119" s="24"/>
    </row>
    <row r="120" spans="1:19" ht="178.5" customHeight="1">
      <c r="A120" s="32" t="s">
        <v>1145</v>
      </c>
      <c r="B120" s="440"/>
      <c r="C120" s="440"/>
      <c r="D120" s="429"/>
      <c r="E120" s="431"/>
      <c r="F120" s="27" t="s">
        <v>83</v>
      </c>
      <c r="G120" s="12"/>
      <c r="H120" s="19"/>
      <c r="I120" s="12" t="s">
        <v>84</v>
      </c>
      <c r="J120" s="23" t="s">
        <v>59</v>
      </c>
      <c r="K120" s="19"/>
      <c r="L120" s="89" t="s">
        <v>1139</v>
      </c>
      <c r="M120" s="282" t="s">
        <v>799</v>
      </c>
      <c r="N120" s="15"/>
      <c r="O120" s="15"/>
      <c r="P120" s="15"/>
      <c r="Q120" s="24"/>
      <c r="R120" s="24"/>
      <c r="S120" s="24"/>
    </row>
    <row r="121" spans="1:19" ht="182.25" customHeight="1">
      <c r="A121" s="32" t="s">
        <v>1146</v>
      </c>
      <c r="B121" s="440"/>
      <c r="C121" s="440"/>
      <c r="D121" s="429"/>
      <c r="E121" s="431"/>
      <c r="F121" s="27" t="s">
        <v>86</v>
      </c>
      <c r="G121" s="28"/>
      <c r="H121" s="19"/>
      <c r="I121" s="12" t="s">
        <v>1147</v>
      </c>
      <c r="J121" s="23" t="s">
        <v>59</v>
      </c>
      <c r="K121" s="18"/>
      <c r="L121" s="89" t="s">
        <v>1139</v>
      </c>
      <c r="M121" s="282" t="s">
        <v>799</v>
      </c>
      <c r="N121" s="15"/>
      <c r="O121" s="15"/>
      <c r="P121" s="15"/>
      <c r="Q121" s="24"/>
      <c r="R121" s="24"/>
      <c r="S121" s="24"/>
    </row>
    <row r="122" spans="1:19" ht="186.75" customHeight="1">
      <c r="A122" s="32" t="s">
        <v>1148</v>
      </c>
      <c r="B122" s="440"/>
      <c r="C122" s="440"/>
      <c r="D122" s="429"/>
      <c r="E122" s="431"/>
      <c r="F122" s="27" t="s">
        <v>89</v>
      </c>
      <c r="G122" s="12"/>
      <c r="H122" s="19"/>
      <c r="I122" s="12" t="s">
        <v>90</v>
      </c>
      <c r="J122" s="23" t="s">
        <v>59</v>
      </c>
      <c r="K122" s="18"/>
      <c r="L122" s="89" t="s">
        <v>1139</v>
      </c>
      <c r="M122" s="282" t="s">
        <v>799</v>
      </c>
      <c r="N122" s="15"/>
      <c r="O122" s="15"/>
      <c r="P122" s="15"/>
      <c r="Q122" s="24"/>
      <c r="R122" s="24"/>
      <c r="S122" s="24"/>
    </row>
    <row r="123" spans="1:19" ht="159.75" customHeight="1">
      <c r="A123" s="32" t="s">
        <v>1149</v>
      </c>
      <c r="B123" s="440"/>
      <c r="C123" s="440"/>
      <c r="D123" s="429"/>
      <c r="E123" s="431"/>
      <c r="F123" s="86" t="s">
        <v>92</v>
      </c>
      <c r="G123" s="86" t="s">
        <v>93</v>
      </c>
      <c r="H123" s="87"/>
      <c r="I123" s="86" t="s">
        <v>94</v>
      </c>
      <c r="J123" s="23" t="s">
        <v>59</v>
      </c>
      <c r="K123" s="87"/>
      <c r="L123" s="89" t="s">
        <v>1139</v>
      </c>
      <c r="M123" s="282" t="s">
        <v>799</v>
      </c>
      <c r="N123" s="15"/>
      <c r="O123" s="15"/>
      <c r="P123" s="15"/>
      <c r="Q123" s="24"/>
      <c r="R123" s="24"/>
      <c r="S123" s="24"/>
    </row>
    <row r="124" spans="1:19" ht="157.5" customHeight="1">
      <c r="A124" s="32" t="s">
        <v>1150</v>
      </c>
      <c r="B124" s="426" t="s">
        <v>1151</v>
      </c>
      <c r="C124" s="426" t="s">
        <v>54</v>
      </c>
      <c r="D124" s="437" t="s">
        <v>1152</v>
      </c>
      <c r="E124" s="79"/>
      <c r="F124" s="80" t="s">
        <v>57</v>
      </c>
      <c r="G124" s="81"/>
      <c r="H124" s="82"/>
      <c r="I124" s="22" t="s">
        <v>58</v>
      </c>
      <c r="J124" s="66" t="s">
        <v>59</v>
      </c>
      <c r="K124" s="83" t="s">
        <v>1153</v>
      </c>
      <c r="L124" s="163" t="s">
        <v>1138</v>
      </c>
      <c r="M124" s="282" t="s">
        <v>799</v>
      </c>
      <c r="N124" s="15"/>
      <c r="O124" s="15"/>
      <c r="P124" s="15"/>
      <c r="Q124" s="24"/>
      <c r="R124" s="24"/>
      <c r="S124" s="24"/>
    </row>
    <row r="125" spans="1:19" ht="174" customHeight="1">
      <c r="A125" s="32" t="s">
        <v>1154</v>
      </c>
      <c r="B125" s="426"/>
      <c r="C125" s="426"/>
      <c r="D125" s="437"/>
      <c r="E125" s="79"/>
      <c r="F125" s="88" t="s">
        <v>138</v>
      </c>
      <c r="G125" s="88"/>
      <c r="H125" s="89"/>
      <c r="I125" s="88" t="s">
        <v>139</v>
      </c>
      <c r="J125" s="66" t="s">
        <v>59</v>
      </c>
      <c r="K125" s="83"/>
      <c r="L125" s="89" t="s">
        <v>1139</v>
      </c>
      <c r="M125" s="282" t="s">
        <v>799</v>
      </c>
      <c r="N125" s="15"/>
      <c r="O125" s="15"/>
      <c r="P125" s="15"/>
      <c r="Q125" s="24"/>
      <c r="R125" s="24"/>
      <c r="S125" s="24"/>
    </row>
    <row r="126" spans="1:19" ht="188.25" customHeight="1">
      <c r="A126" s="32" t="s">
        <v>1155</v>
      </c>
      <c r="B126" s="426"/>
      <c r="C126" s="426"/>
      <c r="D126" s="437"/>
      <c r="E126" s="79"/>
      <c r="F126" s="88" t="s">
        <v>1016</v>
      </c>
      <c r="G126" s="88"/>
      <c r="H126" s="89"/>
      <c r="I126" s="164" t="s">
        <v>1156</v>
      </c>
      <c r="J126" s="66" t="s">
        <v>59</v>
      </c>
      <c r="K126" s="83"/>
      <c r="L126" s="89" t="s">
        <v>1139</v>
      </c>
      <c r="M126" s="282" t="s">
        <v>799</v>
      </c>
      <c r="N126" s="15"/>
      <c r="O126" s="15"/>
      <c r="P126" s="15"/>
      <c r="Q126" s="24"/>
      <c r="R126" s="24"/>
      <c r="S126" s="24"/>
    </row>
    <row r="127" spans="1:19" ht="180.75" customHeight="1">
      <c r="A127" s="32" t="s">
        <v>1157</v>
      </c>
      <c r="B127" s="426"/>
      <c r="C127" s="426"/>
      <c r="D127" s="437"/>
      <c r="E127" s="79"/>
      <c r="F127" s="88" t="s">
        <v>1158</v>
      </c>
      <c r="G127" s="88"/>
      <c r="H127" s="89"/>
      <c r="I127" s="88" t="s">
        <v>1159</v>
      </c>
      <c r="J127" s="66" t="s">
        <v>59</v>
      </c>
      <c r="K127" s="83"/>
      <c r="L127" s="89" t="s">
        <v>1139</v>
      </c>
      <c r="M127" s="282" t="s">
        <v>799</v>
      </c>
      <c r="N127" s="15"/>
      <c r="O127" s="15"/>
      <c r="P127" s="15"/>
      <c r="Q127" s="24"/>
      <c r="R127" s="24"/>
      <c r="S127" s="24"/>
    </row>
    <row r="128" spans="1:19" ht="182.25" customHeight="1">
      <c r="A128" s="32" t="s">
        <v>1160</v>
      </c>
      <c r="B128" s="426"/>
      <c r="C128" s="426"/>
      <c r="D128" s="437"/>
      <c r="E128" s="79"/>
      <c r="F128" s="88" t="s">
        <v>1161</v>
      </c>
      <c r="G128" s="88"/>
      <c r="H128" s="89"/>
      <c r="I128" s="88" t="s">
        <v>1162</v>
      </c>
      <c r="J128" s="66" t="s">
        <v>59</v>
      </c>
      <c r="K128" s="83"/>
      <c r="L128" s="89" t="s">
        <v>1139</v>
      </c>
      <c r="M128" s="282" t="s">
        <v>799</v>
      </c>
      <c r="N128" s="15"/>
      <c r="O128" s="15"/>
      <c r="P128" s="15"/>
      <c r="Q128" s="24"/>
      <c r="R128" s="24"/>
      <c r="S128" s="24"/>
    </row>
    <row r="129" spans="1:19" ht="186" customHeight="1">
      <c r="A129" s="32" t="s">
        <v>1163</v>
      </c>
      <c r="B129" s="426"/>
      <c r="C129" s="426"/>
      <c r="D129" s="437"/>
      <c r="E129" s="79"/>
      <c r="F129" s="88" t="s">
        <v>1164</v>
      </c>
      <c r="G129" s="88"/>
      <c r="H129" s="89"/>
      <c r="I129" s="88" t="s">
        <v>1165</v>
      </c>
      <c r="J129" s="66" t="s">
        <v>59</v>
      </c>
      <c r="K129" s="83"/>
      <c r="L129" s="89" t="s">
        <v>1139</v>
      </c>
      <c r="M129" s="282" t="s">
        <v>799</v>
      </c>
      <c r="N129" s="15"/>
      <c r="O129" s="15"/>
      <c r="P129" s="15"/>
      <c r="Q129" s="24"/>
      <c r="R129" s="24"/>
      <c r="S129" s="24"/>
    </row>
    <row r="130" spans="1:19" ht="162.75" customHeight="1">
      <c r="A130" s="32" t="s">
        <v>1166</v>
      </c>
      <c r="B130" s="426"/>
      <c r="C130" s="426"/>
      <c r="D130" s="437"/>
      <c r="E130" s="79"/>
      <c r="F130" s="95" t="s">
        <v>1167</v>
      </c>
      <c r="G130" s="95"/>
      <c r="H130" s="96"/>
      <c r="I130" s="95" t="s">
        <v>919</v>
      </c>
      <c r="J130" s="68" t="s">
        <v>59</v>
      </c>
      <c r="K130" s="83"/>
      <c r="L130" s="89" t="s">
        <v>1139</v>
      </c>
      <c r="M130" s="282" t="s">
        <v>799</v>
      </c>
      <c r="N130" s="15"/>
      <c r="O130" s="15"/>
      <c r="P130" s="15"/>
      <c r="Q130" s="24"/>
      <c r="R130" s="24"/>
      <c r="S130" s="24"/>
    </row>
    <row r="131" spans="1:19" ht="159.75" customHeight="1">
      <c r="A131" s="32" t="s">
        <v>1168</v>
      </c>
      <c r="B131" s="426"/>
      <c r="C131" s="426"/>
      <c r="D131" s="437"/>
      <c r="E131" s="97"/>
      <c r="F131" s="88" t="s">
        <v>1169</v>
      </c>
      <c r="G131" s="99"/>
      <c r="H131" s="72"/>
      <c r="I131" s="88" t="s">
        <v>1170</v>
      </c>
      <c r="J131" s="66" t="s">
        <v>59</v>
      </c>
      <c r="K131" s="94"/>
      <c r="L131" s="89" t="s">
        <v>1139</v>
      </c>
      <c r="M131" s="282" t="s">
        <v>799</v>
      </c>
      <c r="N131" s="15"/>
      <c r="O131" s="15"/>
      <c r="P131" s="15"/>
      <c r="Q131" s="24"/>
      <c r="R131" s="24"/>
      <c r="S131" s="24"/>
    </row>
    <row r="132" spans="1:19" ht="180" customHeight="1">
      <c r="A132" s="32" t="s">
        <v>1171</v>
      </c>
      <c r="B132" s="550" t="s">
        <v>1172</v>
      </c>
      <c r="C132" s="550" t="s">
        <v>54</v>
      </c>
      <c r="D132" s="551" t="s">
        <v>1173</v>
      </c>
      <c r="E132" s="98"/>
      <c r="F132" s="80" t="s">
        <v>57</v>
      </c>
      <c r="G132" s="100"/>
      <c r="H132" s="90"/>
      <c r="I132" s="91" t="s">
        <v>58</v>
      </c>
      <c r="J132" s="92" t="s">
        <v>59</v>
      </c>
      <c r="K132" s="93"/>
      <c r="L132" s="89" t="s">
        <v>1139</v>
      </c>
      <c r="M132" s="282" t="s">
        <v>799</v>
      </c>
      <c r="N132" s="15"/>
      <c r="O132" s="15"/>
      <c r="P132" s="15"/>
      <c r="Q132" s="24"/>
      <c r="R132" s="24"/>
      <c r="S132" s="24"/>
    </row>
    <row r="133" spans="1:19" ht="156.75" customHeight="1">
      <c r="A133" s="32" t="s">
        <v>1174</v>
      </c>
      <c r="B133" s="550"/>
      <c r="C133" s="550"/>
      <c r="D133" s="552"/>
      <c r="E133" s="79"/>
      <c r="F133" s="101" t="s">
        <v>77</v>
      </c>
      <c r="G133" s="81"/>
      <c r="H133" s="83"/>
      <c r="I133" s="81" t="s">
        <v>1143</v>
      </c>
      <c r="J133" s="66" t="s">
        <v>59</v>
      </c>
      <c r="K133" s="83"/>
      <c r="L133" s="89" t="s">
        <v>1139</v>
      </c>
      <c r="M133" s="282" t="s">
        <v>799</v>
      </c>
      <c r="N133" s="15"/>
      <c r="O133" s="15"/>
      <c r="P133" s="15"/>
      <c r="Q133" s="24"/>
      <c r="R133" s="24"/>
      <c r="S133" s="24"/>
    </row>
    <row r="134" spans="1:19">
      <c r="A134" s="427" t="s">
        <v>1108</v>
      </c>
      <c r="B134" s="427"/>
      <c r="C134" s="427"/>
      <c r="D134" s="427"/>
      <c r="E134" s="427"/>
      <c r="F134" s="427"/>
      <c r="G134" s="427"/>
      <c r="H134" s="427"/>
      <c r="I134" s="427"/>
      <c r="J134" s="427"/>
      <c r="K134" s="427"/>
      <c r="L134" s="427"/>
      <c r="M134" s="427"/>
      <c r="N134" s="17">
        <f>COUNTIF($J135:J149,"PASS")</f>
        <v>2</v>
      </c>
      <c r="O134" s="17">
        <f>COUNTIF($J135:J149,"FAIL")</f>
        <v>0</v>
      </c>
      <c r="P134" s="17">
        <f>COUNTBLANK(J135:J136)</f>
        <v>0</v>
      </c>
      <c r="Q134" s="17">
        <f>COUNTIF($J135:J149,"IN PROGRESS")</f>
        <v>0</v>
      </c>
      <c r="R134" s="17">
        <f>COUNTIF($J135:J149,"BLOCKED")</f>
        <v>0</v>
      </c>
      <c r="S134" s="40"/>
    </row>
    <row r="135" spans="1:19" ht="31.5">
      <c r="A135" s="32" t="s">
        <v>1175</v>
      </c>
      <c r="B135" s="547" t="s">
        <v>1107</v>
      </c>
      <c r="C135" s="548" t="s">
        <v>54</v>
      </c>
      <c r="D135" s="528" t="s">
        <v>1108</v>
      </c>
      <c r="E135" s="41"/>
      <c r="F135" s="45" t="s">
        <v>1109</v>
      </c>
      <c r="G135" s="36"/>
      <c r="H135" s="34"/>
      <c r="I135" s="35"/>
      <c r="J135" s="23" t="s">
        <v>59</v>
      </c>
      <c r="K135" s="34"/>
      <c r="L135" s="35"/>
      <c r="M135" s="282" t="s">
        <v>799</v>
      </c>
      <c r="N135" s="39"/>
      <c r="O135" s="39"/>
      <c r="P135" s="39"/>
      <c r="Q135" s="39"/>
      <c r="R135" s="39"/>
      <c r="S135" s="40"/>
    </row>
    <row r="136" spans="1:19" ht="31.5">
      <c r="A136" s="32" t="s">
        <v>1176</v>
      </c>
      <c r="B136" s="547"/>
      <c r="C136" s="548"/>
      <c r="D136" s="528"/>
      <c r="E136" s="41"/>
      <c r="F136" s="45" t="s">
        <v>1112</v>
      </c>
      <c r="G136" s="36"/>
      <c r="H136" s="34"/>
      <c r="I136" s="103"/>
      <c r="J136" s="66" t="s">
        <v>59</v>
      </c>
      <c r="K136" s="49"/>
      <c r="L136" s="35"/>
      <c r="M136" s="282" t="s">
        <v>799</v>
      </c>
      <c r="N136" s="17"/>
      <c r="O136" s="17"/>
      <c r="P136" s="17"/>
      <c r="Q136" s="17"/>
      <c r="R136" s="17"/>
      <c r="S136" s="40"/>
    </row>
    <row r="137" spans="1:19" ht="15.75">
      <c r="N137" s="44"/>
      <c r="O137" s="44"/>
      <c r="P137" s="39"/>
      <c r="Q137" s="39"/>
      <c r="R137" s="39"/>
    </row>
    <row r="138" spans="1:19" ht="15.75">
      <c r="N138" s="44"/>
      <c r="O138" s="44"/>
      <c r="P138" s="39"/>
      <c r="Q138" s="39"/>
      <c r="R138" s="39"/>
    </row>
  </sheetData>
  <mergeCells count="39">
    <mergeCell ref="A2:M2"/>
    <mergeCell ref="D4:D7"/>
    <mergeCell ref="E4:E64"/>
    <mergeCell ref="D8:D11"/>
    <mergeCell ref="D12:D15"/>
    <mergeCell ref="D16:D19"/>
    <mergeCell ref="D20:D22"/>
    <mergeCell ref="D23:D26"/>
    <mergeCell ref="D61:D64"/>
    <mergeCell ref="D36:D37"/>
    <mergeCell ref="D48:D49"/>
    <mergeCell ref="D50:D54"/>
    <mergeCell ref="D55:D56"/>
    <mergeCell ref="D58:D60"/>
    <mergeCell ref="D124:D131"/>
    <mergeCell ref="A88:M88"/>
    <mergeCell ref="D28:D29"/>
    <mergeCell ref="D30:D31"/>
    <mergeCell ref="D32:D35"/>
    <mergeCell ref="D38:D41"/>
    <mergeCell ref="D42:D47"/>
    <mergeCell ref="C3:C65"/>
    <mergeCell ref="B3:B65"/>
    <mergeCell ref="B135:B136"/>
    <mergeCell ref="C135:C136"/>
    <mergeCell ref="D135:D136"/>
    <mergeCell ref="A66:M66"/>
    <mergeCell ref="D118:D123"/>
    <mergeCell ref="B124:B131"/>
    <mergeCell ref="C124:C131"/>
    <mergeCell ref="A134:M134"/>
    <mergeCell ref="B132:B133"/>
    <mergeCell ref="C132:C133"/>
    <mergeCell ref="D132:D133"/>
    <mergeCell ref="A112:M112"/>
    <mergeCell ref="B113:B123"/>
    <mergeCell ref="C113:C123"/>
    <mergeCell ref="D113:D117"/>
    <mergeCell ref="E113:E123"/>
  </mergeCells>
  <conditionalFormatting sqref="J1:J2">
    <cfRule type="containsText" dxfId="43" priority="15" operator="containsText" text="FAIL">
      <formula>NOT(ISERROR(SEARCH("FAIL",J1)))</formula>
    </cfRule>
    <cfRule type="containsText" dxfId="42" priority="16" operator="containsText" text="PASS">
      <formula>NOT(ISERROR(SEARCH("PASS",J1)))</formula>
    </cfRule>
  </conditionalFormatting>
  <conditionalFormatting sqref="J3:J87 J89:J111 H109:H111 J113:J133 J135:J136">
    <cfRule type="containsText" dxfId="41" priority="11" operator="containsText" text="BLOCKED">
      <formula>NOT(ISERROR(SEARCH("BLOCKED",H3)))</formula>
    </cfRule>
    <cfRule type="containsText" dxfId="40" priority="12" stopIfTrue="1" operator="containsText" text="IN PROGRESS">
      <formula>NOT(ISERROR(SEARCH("IN PROGRESS",H3)))</formula>
    </cfRule>
    <cfRule type="containsText" dxfId="39" priority="13" stopIfTrue="1" operator="containsText" text="PASS">
      <formula>NOT(ISERROR(SEARCH("PASS",H3)))</formula>
    </cfRule>
    <cfRule type="containsText" dxfId="38" priority="14" stopIfTrue="1" operator="containsText" text="FAIL">
      <formula>NOT(ISERROR(SEARCH("FAIL",H3)))</formula>
    </cfRule>
  </conditionalFormatting>
  <conditionalFormatting sqref="J66">
    <cfRule type="containsText" dxfId="37" priority="7" operator="containsText" text="FAIL">
      <formula>NOT(ISERROR(SEARCH("FAIL",J66)))</formula>
    </cfRule>
    <cfRule type="containsText" dxfId="36" priority="8" operator="containsText" text="PASS">
      <formula>NOT(ISERROR(SEARCH("PASS",J66)))</formula>
    </cfRule>
  </conditionalFormatting>
  <conditionalFormatting sqref="J112">
    <cfRule type="containsText" dxfId="35" priority="1" operator="containsText" text="FAIL">
      <formula>NOT(ISERROR(SEARCH("FAIL",J112)))</formula>
    </cfRule>
    <cfRule type="containsText" dxfId="34" priority="2" operator="containsText" text="PASS">
      <formula>NOT(ISERROR(SEARCH("PASS",J112)))</formula>
    </cfRule>
  </conditionalFormatting>
  <conditionalFormatting sqref="J134">
    <cfRule type="containsText" dxfId="33" priority="9" operator="containsText" text="FAIL">
      <formula>NOT(ISERROR(SEARCH("FAIL",J134)))</formula>
    </cfRule>
    <cfRule type="containsText" dxfId="32" priority="10" operator="containsText" text="PASS">
      <formula>NOT(ISERROR(SEARCH("PASS",J134)))</formula>
    </cfRule>
  </conditionalFormatting>
  <dataValidations count="1">
    <dataValidation type="list" allowBlank="1" showInputMessage="1" showErrorMessage="1" sqref="H109:H111 J135:J136 J113:J133 J3:J87 J89:J111" xr:uid="{7531AC17-EBC9-4527-8F57-C74424CA36A7}">
      <formula1>"PASS, FAIL, IN PROGRESS, BLOCKED,"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EAC05-4622-48C6-AAC5-24F801B221D5}">
  <dimension ref="A1:S74"/>
  <sheetViews>
    <sheetView zoomScale="125" workbookViewId="0">
      <selection activeCell="I11" sqref="I11"/>
    </sheetView>
  </sheetViews>
  <sheetFormatPr defaultColWidth="8.85546875" defaultRowHeight="15"/>
  <cols>
    <col min="1" max="1" width="15.85546875" customWidth="1"/>
    <col min="2" max="2" width="10.85546875" customWidth="1"/>
    <col min="3" max="3" width="11.42578125" customWidth="1"/>
    <col min="4" max="4" width="20" customWidth="1"/>
    <col min="5" max="5" width="26.85546875" customWidth="1"/>
    <col min="6" max="6" width="35.42578125" customWidth="1"/>
    <col min="7" max="7" width="30.42578125" customWidth="1"/>
    <col min="9" max="9" width="48.7109375" customWidth="1"/>
    <col min="10" max="10" width="12.42578125" style="311" customWidth="1"/>
    <col min="11" max="11" width="8.85546875" style="183"/>
    <col min="12" max="12" width="25.85546875" customWidth="1"/>
  </cols>
  <sheetData>
    <row r="1" spans="1:19" ht="29.25" customHeight="1">
      <c r="A1" s="13" t="s">
        <v>38</v>
      </c>
      <c r="B1" s="13" t="s">
        <v>39</v>
      </c>
      <c r="C1" s="13" t="s">
        <v>40</v>
      </c>
      <c r="D1" s="13" t="s">
        <v>41</v>
      </c>
      <c r="E1" s="13" t="s">
        <v>42</v>
      </c>
      <c r="F1" s="13" t="s">
        <v>43</v>
      </c>
      <c r="G1" s="13" t="s">
        <v>44</v>
      </c>
      <c r="H1" s="13" t="s">
        <v>45</v>
      </c>
      <c r="I1" s="13" t="s">
        <v>46</v>
      </c>
      <c r="J1" s="13" t="s">
        <v>47</v>
      </c>
      <c r="K1" s="13" t="s">
        <v>48</v>
      </c>
      <c r="L1" s="14" t="s">
        <v>49</v>
      </c>
      <c r="M1" s="13" t="s">
        <v>50</v>
      </c>
      <c r="N1" s="15">
        <f>SUM(N2:N144)</f>
        <v>37</v>
      </c>
      <c r="O1" s="15">
        <f>SUM(O2:O144)</f>
        <v>19</v>
      </c>
      <c r="P1" s="15">
        <f>SUM(P2:P144)</f>
        <v>10</v>
      </c>
      <c r="Q1" s="15">
        <f>SUM(Q3:Q144)</f>
        <v>1</v>
      </c>
      <c r="R1" s="15">
        <f>SUM(R2:R144)</f>
        <v>0</v>
      </c>
      <c r="S1" s="24"/>
    </row>
    <row r="2" spans="1:19" ht="22.5" customHeight="1">
      <c r="A2" s="427" t="s">
        <v>1177</v>
      </c>
      <c r="B2" s="427"/>
      <c r="C2" s="427"/>
      <c r="D2" s="435"/>
      <c r="E2" s="553"/>
      <c r="F2" s="435"/>
      <c r="G2" s="427"/>
      <c r="H2" s="427"/>
      <c r="I2" s="427"/>
      <c r="J2" s="427"/>
      <c r="K2" s="427"/>
      <c r="L2" s="427"/>
      <c r="M2" s="427"/>
      <c r="N2" s="17">
        <f>COUNTIF($J3:J17,"PASS")</f>
        <v>8</v>
      </c>
      <c r="O2" s="17">
        <f>COUNTIF($J3:J17,"FAIL")</f>
        <v>6</v>
      </c>
      <c r="P2" s="17">
        <f>COUNTBLANK(J3:J17)</f>
        <v>0</v>
      </c>
      <c r="Q2" s="17">
        <f>COUNTIF($J3:J17,"IN PROGRESS")</f>
        <v>1</v>
      </c>
      <c r="R2" s="17">
        <f>COUNTIF($J3:J17,"BLOCKED")</f>
        <v>0</v>
      </c>
      <c r="S2" s="24"/>
    </row>
    <row r="3" spans="1:19" ht="90">
      <c r="A3" s="32" t="s">
        <v>1178</v>
      </c>
      <c r="B3" s="564" t="s">
        <v>1179</v>
      </c>
      <c r="C3" s="442" t="s">
        <v>54</v>
      </c>
      <c r="D3" s="560" t="s">
        <v>55</v>
      </c>
      <c r="E3" s="425" t="s">
        <v>1180</v>
      </c>
      <c r="F3" s="116" t="s">
        <v>57</v>
      </c>
      <c r="G3" s="12"/>
      <c r="H3" s="21"/>
      <c r="I3" s="22" t="s">
        <v>58</v>
      </c>
      <c r="J3" s="351" t="s">
        <v>1181</v>
      </c>
      <c r="K3" s="296" t="s">
        <v>1182</v>
      </c>
      <c r="L3" s="18" t="s">
        <v>1183</v>
      </c>
      <c r="M3" s="293" t="s">
        <v>368</v>
      </c>
      <c r="N3" s="15"/>
      <c r="O3" s="15"/>
      <c r="P3" s="15"/>
      <c r="Q3" s="24"/>
      <c r="R3" s="24"/>
      <c r="S3" s="24"/>
    </row>
    <row r="4" spans="1:19" ht="15.75">
      <c r="A4" s="32" t="s">
        <v>1184</v>
      </c>
      <c r="B4" s="565"/>
      <c r="C4" s="440"/>
      <c r="D4" s="561"/>
      <c r="E4" s="425"/>
      <c r="F4" s="116" t="s">
        <v>63</v>
      </c>
      <c r="G4" s="19"/>
      <c r="H4" s="21"/>
      <c r="I4" s="22" t="s">
        <v>64</v>
      </c>
      <c r="J4" s="351" t="s">
        <v>59</v>
      </c>
      <c r="K4" s="296" t="s">
        <v>1185</v>
      </c>
      <c r="L4" s="19"/>
      <c r="M4" s="293" t="s">
        <v>368</v>
      </c>
      <c r="N4" s="15"/>
      <c r="O4" s="15"/>
      <c r="P4" s="15"/>
      <c r="Q4" s="24"/>
      <c r="R4" s="24"/>
      <c r="S4" s="24"/>
    </row>
    <row r="5" spans="1:19" ht="15.75">
      <c r="A5" s="32" t="s">
        <v>1186</v>
      </c>
      <c r="B5" s="565"/>
      <c r="C5" s="440"/>
      <c r="D5" s="561"/>
      <c r="E5" s="425"/>
      <c r="F5" s="116" t="s">
        <v>66</v>
      </c>
      <c r="G5" s="19"/>
      <c r="H5" s="21"/>
      <c r="I5" s="22" t="s">
        <v>67</v>
      </c>
      <c r="J5" s="351" t="s">
        <v>59</v>
      </c>
      <c r="K5" s="293" t="s">
        <v>1187</v>
      </c>
      <c r="L5" s="19"/>
      <c r="M5" s="293" t="s">
        <v>368</v>
      </c>
      <c r="N5" s="15"/>
      <c r="O5" s="15"/>
      <c r="P5" s="15"/>
      <c r="Q5" s="24"/>
      <c r="R5" s="24"/>
      <c r="S5" s="24"/>
    </row>
    <row r="6" spans="1:19" ht="30">
      <c r="A6" s="32" t="s">
        <v>1188</v>
      </c>
      <c r="B6" s="565"/>
      <c r="C6" s="440"/>
      <c r="D6" s="561"/>
      <c r="E6" s="425"/>
      <c r="F6" s="117" t="s">
        <v>69</v>
      </c>
      <c r="G6" s="19" t="s">
        <v>70</v>
      </c>
      <c r="H6" s="21"/>
      <c r="I6" s="12" t="s">
        <v>71</v>
      </c>
      <c r="J6" s="351" t="s">
        <v>1181</v>
      </c>
      <c r="K6" s="293" t="s">
        <v>1189</v>
      </c>
      <c r="L6" s="18" t="s">
        <v>1190</v>
      </c>
      <c r="M6" s="293" t="s">
        <v>368</v>
      </c>
      <c r="N6" s="15"/>
      <c r="O6" s="15"/>
      <c r="P6" s="15"/>
      <c r="Q6" s="24"/>
      <c r="R6" s="24"/>
      <c r="S6" s="24"/>
    </row>
    <row r="7" spans="1:19" ht="30">
      <c r="A7" s="32" t="s">
        <v>1191</v>
      </c>
      <c r="B7" s="565"/>
      <c r="C7" s="440"/>
      <c r="D7" s="561"/>
      <c r="E7" s="425"/>
      <c r="F7" s="117" t="s">
        <v>73</v>
      </c>
      <c r="G7" s="12" t="s">
        <v>74</v>
      </c>
      <c r="H7" s="21"/>
      <c r="I7" s="12" t="s">
        <v>71</v>
      </c>
      <c r="J7" s="351" t="s">
        <v>59</v>
      </c>
      <c r="K7" s="293"/>
      <c r="L7" s="19"/>
      <c r="M7" s="293" t="s">
        <v>368</v>
      </c>
      <c r="N7" s="15"/>
      <c r="O7" s="15"/>
      <c r="P7" s="15"/>
      <c r="Q7" s="24"/>
      <c r="R7" s="24"/>
      <c r="S7" s="24"/>
    </row>
    <row r="8" spans="1:19" ht="15.75">
      <c r="A8" s="32" t="s">
        <v>1192</v>
      </c>
      <c r="B8" s="565"/>
      <c r="C8" s="440"/>
      <c r="D8" s="561"/>
      <c r="E8" s="425"/>
      <c r="F8" s="116" t="s">
        <v>119</v>
      </c>
      <c r="G8" s="12"/>
      <c r="H8" s="21"/>
      <c r="I8" s="26" t="s">
        <v>120</v>
      </c>
      <c r="J8" s="351" t="s">
        <v>1181</v>
      </c>
      <c r="K8" s="183" t="s">
        <v>1193</v>
      </c>
      <c r="L8" s="19"/>
      <c r="M8" s="293" t="s">
        <v>368</v>
      </c>
      <c r="N8" s="15"/>
      <c r="O8" s="15"/>
      <c r="P8" s="15"/>
      <c r="Q8" s="24"/>
      <c r="R8" s="24"/>
      <c r="S8" s="24"/>
    </row>
    <row r="9" spans="1:19" ht="15.75">
      <c r="A9" s="32" t="s">
        <v>1194</v>
      </c>
      <c r="B9" s="565"/>
      <c r="C9" s="440"/>
      <c r="D9" s="561"/>
      <c r="E9" s="425"/>
      <c r="F9" s="118" t="s">
        <v>122</v>
      </c>
      <c r="G9" s="12"/>
      <c r="H9" s="21"/>
      <c r="I9" s="26" t="s">
        <v>123</v>
      </c>
      <c r="J9" s="351" t="s">
        <v>59</v>
      </c>
      <c r="K9" s="293"/>
      <c r="L9" s="19"/>
      <c r="M9" s="293" t="s">
        <v>368</v>
      </c>
      <c r="N9" s="15"/>
      <c r="O9" s="15"/>
      <c r="P9" s="15"/>
      <c r="Q9" s="24"/>
      <c r="R9" s="24"/>
      <c r="S9" s="24"/>
    </row>
    <row r="10" spans="1:19" ht="15.75">
      <c r="A10" s="32" t="s">
        <v>1195</v>
      </c>
      <c r="B10" s="565"/>
      <c r="C10" s="440"/>
      <c r="D10" s="562"/>
      <c r="E10" s="425"/>
      <c r="F10" s="118" t="s">
        <v>125</v>
      </c>
      <c r="G10" s="12"/>
      <c r="H10" s="21"/>
      <c r="I10" s="26" t="s">
        <v>123</v>
      </c>
      <c r="J10" s="351" t="s">
        <v>1181</v>
      </c>
      <c r="K10" s="183" t="s">
        <v>1193</v>
      </c>
      <c r="L10" s="19"/>
      <c r="M10" s="293" t="s">
        <v>368</v>
      </c>
      <c r="N10" s="15"/>
      <c r="O10" s="15"/>
      <c r="P10" s="15"/>
      <c r="Q10" s="24"/>
      <c r="R10" s="24"/>
      <c r="S10" s="24"/>
    </row>
    <row r="11" spans="1:19" ht="75">
      <c r="A11" s="32" t="s">
        <v>1196</v>
      </c>
      <c r="B11" s="565"/>
      <c r="C11" s="440"/>
      <c r="D11" s="563" t="s">
        <v>76</v>
      </c>
      <c r="E11" s="425"/>
      <c r="F11" s="119" t="s">
        <v>77</v>
      </c>
      <c r="G11" s="12"/>
      <c r="H11" s="19"/>
      <c r="I11" s="12" t="s">
        <v>78</v>
      </c>
      <c r="J11" s="351" t="s">
        <v>59</v>
      </c>
      <c r="K11" s="297" t="s">
        <v>1197</v>
      </c>
      <c r="L11" s="19"/>
      <c r="M11" s="293" t="s">
        <v>368</v>
      </c>
      <c r="N11" s="15"/>
      <c r="O11" s="15"/>
      <c r="P11" s="15"/>
      <c r="Q11" s="24"/>
      <c r="R11" s="24"/>
      <c r="S11" s="24"/>
    </row>
    <row r="12" spans="1:19" ht="30">
      <c r="A12" s="32" t="s">
        <v>1198</v>
      </c>
      <c r="B12" s="565"/>
      <c r="C12" s="440"/>
      <c r="D12" s="561"/>
      <c r="E12" s="425"/>
      <c r="F12" s="119" t="s">
        <v>80</v>
      </c>
      <c r="G12" s="28"/>
      <c r="H12" s="21"/>
      <c r="I12" s="29" t="s">
        <v>81</v>
      </c>
      <c r="J12" s="351" t="s">
        <v>1181</v>
      </c>
      <c r="K12" s="293" t="s">
        <v>1189</v>
      </c>
      <c r="L12" s="19"/>
      <c r="M12" s="293" t="s">
        <v>368</v>
      </c>
      <c r="N12" s="15"/>
      <c r="O12" s="15"/>
      <c r="P12" s="15"/>
      <c r="Q12" s="24"/>
      <c r="R12" s="24"/>
      <c r="S12" s="24"/>
    </row>
    <row r="13" spans="1:19" ht="15.75">
      <c r="A13" s="32" t="s">
        <v>1199</v>
      </c>
      <c r="B13" s="565"/>
      <c r="C13" s="440"/>
      <c r="D13" s="561"/>
      <c r="E13" s="425"/>
      <c r="F13" s="119" t="s">
        <v>83</v>
      </c>
      <c r="G13" s="12"/>
      <c r="H13" s="19"/>
      <c r="I13" s="12" t="s">
        <v>84</v>
      </c>
      <c r="J13" s="351" t="s">
        <v>59</v>
      </c>
      <c r="K13" s="297"/>
      <c r="L13" s="19"/>
      <c r="M13" s="293" t="s">
        <v>368</v>
      </c>
      <c r="N13" s="15"/>
      <c r="O13" s="15"/>
      <c r="P13" s="15"/>
      <c r="Q13" s="24"/>
      <c r="R13" s="24"/>
      <c r="S13" s="24"/>
    </row>
    <row r="14" spans="1:19" ht="30">
      <c r="A14" s="32" t="s">
        <v>1200</v>
      </c>
      <c r="B14" s="565"/>
      <c r="C14" s="440"/>
      <c r="D14" s="561"/>
      <c r="E14" s="425"/>
      <c r="F14" s="119" t="s">
        <v>86</v>
      </c>
      <c r="G14" s="28"/>
      <c r="H14" s="19"/>
      <c r="I14" s="12" t="s">
        <v>87</v>
      </c>
      <c r="J14" s="351" t="s">
        <v>1181</v>
      </c>
      <c r="K14" s="296" t="s">
        <v>1201</v>
      </c>
      <c r="L14" s="305" t="s">
        <v>1202</v>
      </c>
      <c r="M14" s="293" t="s">
        <v>368</v>
      </c>
      <c r="N14" s="15"/>
      <c r="O14" s="15"/>
      <c r="P14" s="15"/>
      <c r="Q14" s="24"/>
      <c r="R14" s="24"/>
      <c r="S14" s="24"/>
    </row>
    <row r="15" spans="1:19" ht="48" customHeight="1">
      <c r="A15" s="32" t="s">
        <v>1203</v>
      </c>
      <c r="B15" s="565"/>
      <c r="C15" s="440"/>
      <c r="D15" s="561"/>
      <c r="E15" s="425"/>
      <c r="F15" s="119" t="s">
        <v>89</v>
      </c>
      <c r="G15" s="12"/>
      <c r="H15" s="19"/>
      <c r="I15" s="12" t="s">
        <v>90</v>
      </c>
      <c r="J15" s="351" t="s">
        <v>1204</v>
      </c>
      <c r="K15" s="296"/>
      <c r="L15" s="18" t="s">
        <v>1205</v>
      </c>
      <c r="M15" s="293" t="s">
        <v>368</v>
      </c>
      <c r="N15" s="15"/>
      <c r="O15" s="15"/>
      <c r="P15" s="15"/>
      <c r="Q15" s="24"/>
      <c r="R15" s="24"/>
      <c r="S15" s="24"/>
    </row>
    <row r="16" spans="1:19" ht="30">
      <c r="A16" s="295" t="s">
        <v>1206</v>
      </c>
      <c r="B16" s="565"/>
      <c r="C16" s="440"/>
      <c r="D16" s="561"/>
      <c r="E16" s="425"/>
      <c r="F16" s="120" t="s">
        <v>92</v>
      </c>
      <c r="G16" s="12" t="s">
        <v>93</v>
      </c>
      <c r="H16" s="19"/>
      <c r="I16" s="12" t="s">
        <v>94</v>
      </c>
      <c r="J16" s="351" t="s">
        <v>59</v>
      </c>
      <c r="K16" s="293"/>
      <c r="L16" s="19"/>
      <c r="M16" s="293" t="s">
        <v>368</v>
      </c>
      <c r="N16" s="15"/>
      <c r="O16" s="15"/>
      <c r="P16" s="15"/>
      <c r="Q16" s="24"/>
      <c r="R16" s="24"/>
      <c r="S16" s="24"/>
    </row>
    <row r="17" spans="1:19" ht="30">
      <c r="A17" s="32" t="s">
        <v>1207</v>
      </c>
      <c r="B17" s="566"/>
      <c r="C17" s="441"/>
      <c r="D17" s="562"/>
      <c r="E17" s="425"/>
      <c r="F17" s="121" t="s">
        <v>1208</v>
      </c>
      <c r="G17" s="12" t="s">
        <v>1209</v>
      </c>
      <c r="H17" s="19"/>
      <c r="I17" s="12" t="s">
        <v>1210</v>
      </c>
      <c r="J17" s="351" t="s">
        <v>59</v>
      </c>
      <c r="K17" s="293"/>
      <c r="L17" s="19"/>
      <c r="M17" s="293" t="s">
        <v>368</v>
      </c>
      <c r="N17" s="15"/>
      <c r="O17" s="15"/>
      <c r="P17" s="15"/>
      <c r="Q17" s="24"/>
      <c r="R17" s="24"/>
      <c r="S17" s="24"/>
    </row>
    <row r="18" spans="1:19">
      <c r="A18" s="553" t="s">
        <v>1211</v>
      </c>
      <c r="B18" s="435"/>
      <c r="C18" s="435"/>
      <c r="D18" s="435"/>
      <c r="E18" s="553"/>
      <c r="F18" s="435"/>
      <c r="G18" s="427"/>
      <c r="H18" s="427"/>
      <c r="I18" s="427"/>
      <c r="J18" s="427"/>
      <c r="K18" s="427"/>
      <c r="L18" s="427"/>
      <c r="M18" s="427"/>
      <c r="N18" s="17">
        <f>COUNTIF($J19:J33,"PASS")</f>
        <v>11</v>
      </c>
      <c r="O18" s="17">
        <f>COUNTIF($J19:J33,"FAIL")</f>
        <v>3</v>
      </c>
      <c r="P18" s="17">
        <f>COUNTBLANK(J19:J33)</f>
        <v>0</v>
      </c>
      <c r="Q18" s="17">
        <f>COUNTIF($J19:J33,"IN PROGRESS")</f>
        <v>1</v>
      </c>
      <c r="R18" s="17">
        <f>COUNTIF($J19:J33,"BLOCKED")</f>
        <v>0</v>
      </c>
      <c r="S18" s="24"/>
    </row>
    <row r="19" spans="1:19" ht="75">
      <c r="A19" s="32" t="s">
        <v>1212</v>
      </c>
      <c r="B19" s="425" t="s">
        <v>1179</v>
      </c>
      <c r="C19" s="426" t="s">
        <v>54</v>
      </c>
      <c r="D19" s="557" t="s">
        <v>55</v>
      </c>
      <c r="E19" s="430"/>
      <c r="F19" s="20" t="s">
        <v>57</v>
      </c>
      <c r="G19" s="12"/>
      <c r="H19" s="21"/>
      <c r="I19" s="22" t="s">
        <v>58</v>
      </c>
      <c r="J19" s="351" t="s">
        <v>1181</v>
      </c>
      <c r="K19" s="296" t="s">
        <v>1182</v>
      </c>
      <c r="L19" s="18" t="s">
        <v>1213</v>
      </c>
      <c r="M19" s="293" t="s">
        <v>368</v>
      </c>
      <c r="N19" s="15"/>
      <c r="O19" s="15"/>
      <c r="P19" s="15"/>
      <c r="Q19" s="24"/>
      <c r="R19" s="24"/>
      <c r="S19" s="24"/>
    </row>
    <row r="20" spans="1:19" ht="15.75">
      <c r="A20" s="32" t="s">
        <v>1214</v>
      </c>
      <c r="B20" s="425"/>
      <c r="C20" s="426"/>
      <c r="D20" s="558"/>
      <c r="E20" s="431"/>
      <c r="F20" s="20" t="s">
        <v>63</v>
      </c>
      <c r="G20" s="19"/>
      <c r="H20" s="21"/>
      <c r="I20" s="22" t="s">
        <v>64</v>
      </c>
      <c r="J20" s="351" t="s">
        <v>59</v>
      </c>
      <c r="K20" s="293"/>
      <c r="L20" s="19"/>
      <c r="M20" s="293" t="s">
        <v>368</v>
      </c>
      <c r="N20" s="15"/>
      <c r="O20" s="15"/>
      <c r="P20" s="15"/>
      <c r="Q20" s="24"/>
      <c r="R20" s="24"/>
      <c r="S20" s="24"/>
    </row>
    <row r="21" spans="1:19" ht="29.25" customHeight="1">
      <c r="A21" s="32" t="s">
        <v>1215</v>
      </c>
      <c r="B21" s="425"/>
      <c r="C21" s="426"/>
      <c r="D21" s="558"/>
      <c r="E21" s="431"/>
      <c r="F21" s="350" t="s">
        <v>66</v>
      </c>
      <c r="G21" s="28"/>
      <c r="H21" s="21"/>
      <c r="I21" s="81" t="s">
        <v>67</v>
      </c>
      <c r="J21" s="351" t="s">
        <v>59</v>
      </c>
      <c r="K21" s="293" t="s">
        <v>1187</v>
      </c>
      <c r="L21" s="19"/>
      <c r="M21" s="293" t="s">
        <v>368</v>
      </c>
      <c r="N21" s="15"/>
      <c r="O21" s="15"/>
      <c r="P21" s="15"/>
      <c r="Q21" s="24"/>
      <c r="R21" s="24"/>
      <c r="S21" s="24"/>
    </row>
    <row r="22" spans="1:19" ht="15.75">
      <c r="A22" s="32" t="s">
        <v>1216</v>
      </c>
      <c r="B22" s="425"/>
      <c r="C22" s="426"/>
      <c r="D22" s="558"/>
      <c r="E22" s="431"/>
      <c r="F22" s="25" t="s">
        <v>69</v>
      </c>
      <c r="G22" s="19" t="s">
        <v>70</v>
      </c>
      <c r="H22" s="21"/>
      <c r="I22" s="12" t="s">
        <v>71</v>
      </c>
      <c r="J22" s="351" t="s">
        <v>59</v>
      </c>
      <c r="K22" s="293"/>
      <c r="L22" s="19"/>
      <c r="M22" s="293" t="s">
        <v>368</v>
      </c>
      <c r="N22" s="15"/>
      <c r="O22" s="15"/>
      <c r="P22" s="15"/>
      <c r="Q22" s="24"/>
      <c r="R22" s="24"/>
      <c r="S22" s="24"/>
    </row>
    <row r="23" spans="1:19" ht="30">
      <c r="A23" s="32" t="s">
        <v>1217</v>
      </c>
      <c r="B23" s="425"/>
      <c r="C23" s="426"/>
      <c r="D23" s="558"/>
      <c r="E23" s="431"/>
      <c r="F23" s="25" t="s">
        <v>73</v>
      </c>
      <c r="G23" s="12" t="s">
        <v>74</v>
      </c>
      <c r="H23" s="21"/>
      <c r="I23" s="12" t="s">
        <v>71</v>
      </c>
      <c r="J23" s="351" t="s">
        <v>59</v>
      </c>
      <c r="K23" s="293"/>
      <c r="L23" s="19"/>
      <c r="M23" s="293" t="s">
        <v>368</v>
      </c>
      <c r="N23" s="15"/>
      <c r="O23" s="15"/>
      <c r="P23" s="15"/>
      <c r="Q23" s="24"/>
      <c r="R23" s="24"/>
      <c r="S23" s="24"/>
    </row>
    <row r="24" spans="1:19" ht="29.25" customHeight="1">
      <c r="A24" s="32" t="s">
        <v>1218</v>
      </c>
      <c r="B24" s="425"/>
      <c r="C24" s="426"/>
      <c r="D24" s="558"/>
      <c r="E24" s="431"/>
      <c r="F24" s="20" t="s">
        <v>119</v>
      </c>
      <c r="G24" s="12"/>
      <c r="H24" s="21"/>
      <c r="I24" s="26" t="s">
        <v>120</v>
      </c>
      <c r="J24" s="351" t="s">
        <v>1181</v>
      </c>
      <c r="K24" s="355">
        <v>37788</v>
      </c>
      <c r="L24" s="19" t="s">
        <v>1219</v>
      </c>
      <c r="M24" s="293" t="s">
        <v>368</v>
      </c>
      <c r="N24" s="15"/>
      <c r="O24" s="15"/>
      <c r="P24" s="15"/>
      <c r="Q24" s="24"/>
      <c r="R24" s="24"/>
      <c r="S24" s="24"/>
    </row>
    <row r="25" spans="1:19" ht="15.75">
      <c r="A25" s="32" t="s">
        <v>1220</v>
      </c>
      <c r="B25" s="425"/>
      <c r="C25" s="426"/>
      <c r="D25" s="558"/>
      <c r="E25" s="431"/>
      <c r="F25" s="26" t="s">
        <v>122</v>
      </c>
      <c r="G25" s="12"/>
      <c r="H25" s="21"/>
      <c r="I25" s="26" t="s">
        <v>123</v>
      </c>
      <c r="J25" s="351" t="s">
        <v>59</v>
      </c>
      <c r="K25" s="293"/>
      <c r="L25" s="19"/>
      <c r="M25" s="293" t="s">
        <v>368</v>
      </c>
      <c r="N25" s="15"/>
      <c r="O25" s="15"/>
      <c r="P25" s="15"/>
      <c r="Q25" s="24"/>
      <c r="R25" s="24"/>
      <c r="S25" s="24"/>
    </row>
    <row r="26" spans="1:19" ht="15.75">
      <c r="A26" s="32" t="s">
        <v>1221</v>
      </c>
      <c r="B26" s="425"/>
      <c r="C26" s="426"/>
      <c r="D26" s="559"/>
      <c r="E26" s="431"/>
      <c r="F26" s="26" t="s">
        <v>125</v>
      </c>
      <c r="G26" s="12"/>
      <c r="H26" s="21"/>
      <c r="I26" s="26" t="s">
        <v>123</v>
      </c>
      <c r="J26" s="351" t="s">
        <v>1181</v>
      </c>
      <c r="K26" s="355">
        <v>37788</v>
      </c>
      <c r="L26" s="19" t="s">
        <v>1219</v>
      </c>
      <c r="M26" s="293" t="s">
        <v>368</v>
      </c>
      <c r="N26" s="15"/>
      <c r="O26" s="15"/>
      <c r="P26" s="15"/>
      <c r="Q26" s="24"/>
      <c r="R26" s="24"/>
      <c r="S26" s="24"/>
    </row>
    <row r="27" spans="1:19" ht="75">
      <c r="A27" s="32" t="s">
        <v>1222</v>
      </c>
      <c r="B27" s="425"/>
      <c r="C27" s="426"/>
      <c r="D27" s="567" t="s">
        <v>76</v>
      </c>
      <c r="E27" s="431"/>
      <c r="F27" s="27" t="s">
        <v>77</v>
      </c>
      <c r="G27" s="12"/>
      <c r="H27" s="19"/>
      <c r="I27" s="12" t="s">
        <v>78</v>
      </c>
      <c r="J27" s="351" t="s">
        <v>59</v>
      </c>
      <c r="K27" s="293"/>
      <c r="L27" s="19"/>
      <c r="M27" s="293" t="s">
        <v>368</v>
      </c>
      <c r="N27" s="15"/>
      <c r="O27" s="15"/>
      <c r="P27" s="15"/>
      <c r="Q27" s="24"/>
      <c r="R27" s="24"/>
      <c r="S27" s="24"/>
    </row>
    <row r="28" spans="1:19" ht="49.5" customHeight="1">
      <c r="A28" s="32" t="s">
        <v>1223</v>
      </c>
      <c r="B28" s="425"/>
      <c r="C28" s="426"/>
      <c r="D28" s="558"/>
      <c r="E28" s="431"/>
      <c r="F28" s="27" t="s">
        <v>80</v>
      </c>
      <c r="G28" s="28"/>
      <c r="H28" s="21"/>
      <c r="I28" s="29" t="s">
        <v>81</v>
      </c>
      <c r="J28" s="351" t="s">
        <v>1204</v>
      </c>
      <c r="K28" s="293"/>
      <c r="L28" s="18" t="s">
        <v>1224</v>
      </c>
      <c r="M28" s="293" t="s">
        <v>368</v>
      </c>
      <c r="N28" s="15"/>
      <c r="O28" s="15"/>
      <c r="P28" s="15"/>
      <c r="Q28" s="24"/>
      <c r="R28" s="24"/>
      <c r="S28" s="24"/>
    </row>
    <row r="29" spans="1:19" ht="15.75">
      <c r="A29" s="32" t="s">
        <v>1225</v>
      </c>
      <c r="B29" s="425"/>
      <c r="C29" s="426"/>
      <c r="D29" s="558"/>
      <c r="E29" s="431"/>
      <c r="F29" s="27" t="s">
        <v>83</v>
      </c>
      <c r="G29" s="12"/>
      <c r="H29" s="19"/>
      <c r="I29" s="12" t="s">
        <v>84</v>
      </c>
      <c r="J29" s="351" t="s">
        <v>59</v>
      </c>
      <c r="K29" s="293"/>
      <c r="L29" s="19"/>
      <c r="M29" s="293" t="s">
        <v>368</v>
      </c>
      <c r="N29" s="15"/>
      <c r="O29" s="15"/>
      <c r="P29" s="15"/>
      <c r="Q29" s="24"/>
      <c r="R29" s="24"/>
      <c r="S29" s="24"/>
    </row>
    <row r="30" spans="1:19" ht="30">
      <c r="A30" s="32" t="s">
        <v>1226</v>
      </c>
      <c r="B30" s="425"/>
      <c r="C30" s="426"/>
      <c r="D30" s="558"/>
      <c r="E30" s="431"/>
      <c r="F30" s="27" t="s">
        <v>86</v>
      </c>
      <c r="G30" s="28"/>
      <c r="H30" s="19"/>
      <c r="I30" s="12" t="s">
        <v>87</v>
      </c>
      <c r="J30" s="351" t="s">
        <v>59</v>
      </c>
      <c r="K30" s="296" t="s">
        <v>1201</v>
      </c>
      <c r="L30" s="19"/>
      <c r="M30" s="293" t="s">
        <v>368</v>
      </c>
      <c r="N30" s="15"/>
      <c r="O30" s="15"/>
      <c r="P30" s="15"/>
      <c r="Q30" s="24"/>
      <c r="R30" s="24"/>
      <c r="S30" s="24"/>
    </row>
    <row r="31" spans="1:19" ht="30">
      <c r="A31" s="32" t="s">
        <v>1227</v>
      </c>
      <c r="B31" s="425"/>
      <c r="C31" s="426"/>
      <c r="D31" s="558"/>
      <c r="E31" s="431"/>
      <c r="F31" s="27" t="s">
        <v>89</v>
      </c>
      <c r="G31" s="12"/>
      <c r="H31" s="19"/>
      <c r="I31" s="12" t="s">
        <v>90</v>
      </c>
      <c r="J31" s="351" t="s">
        <v>59</v>
      </c>
      <c r="K31" s="296"/>
      <c r="L31" s="18"/>
      <c r="M31" s="293" t="s">
        <v>368</v>
      </c>
      <c r="N31" s="15"/>
      <c r="O31" s="15"/>
      <c r="P31" s="15"/>
      <c r="Q31" s="24"/>
      <c r="R31" s="24"/>
      <c r="S31" s="24"/>
    </row>
    <row r="32" spans="1:19" ht="30">
      <c r="A32" s="32" t="s">
        <v>1228</v>
      </c>
      <c r="B32" s="425"/>
      <c r="C32" s="426"/>
      <c r="D32" s="558"/>
      <c r="E32" s="432"/>
      <c r="F32" s="12" t="s">
        <v>92</v>
      </c>
      <c r="G32" s="12" t="s">
        <v>93</v>
      </c>
      <c r="H32" s="19"/>
      <c r="I32" s="12" t="s">
        <v>94</v>
      </c>
      <c r="J32" s="351" t="s">
        <v>59</v>
      </c>
      <c r="K32" s="293"/>
      <c r="L32" s="19"/>
      <c r="M32" s="293" t="s">
        <v>368</v>
      </c>
      <c r="N32" s="15"/>
      <c r="O32" s="15"/>
      <c r="P32" s="15"/>
      <c r="Q32" s="24"/>
      <c r="R32" s="24"/>
      <c r="S32" s="24"/>
    </row>
    <row r="33" spans="1:19" ht="35.25" customHeight="1">
      <c r="A33" s="32" t="s">
        <v>1229</v>
      </c>
      <c r="B33" s="425"/>
      <c r="C33" s="426"/>
      <c r="D33" s="559"/>
      <c r="E33" s="115"/>
      <c r="F33" s="86" t="s">
        <v>1230</v>
      </c>
      <c r="G33" s="12" t="s">
        <v>1231</v>
      </c>
      <c r="H33" s="19"/>
      <c r="I33" s="12" t="s">
        <v>1232</v>
      </c>
      <c r="J33" s="351" t="s">
        <v>59</v>
      </c>
      <c r="K33" s="293"/>
      <c r="L33" s="19"/>
      <c r="M33" s="293" t="s">
        <v>368</v>
      </c>
      <c r="N33" s="15"/>
      <c r="O33" s="15"/>
      <c r="P33" s="15"/>
      <c r="Q33" s="24"/>
      <c r="R33" s="24"/>
      <c r="S33" s="24"/>
    </row>
    <row r="34" spans="1:19">
      <c r="A34" s="549" t="s">
        <v>1233</v>
      </c>
      <c r="B34" s="549"/>
      <c r="C34" s="549"/>
      <c r="D34" s="435"/>
      <c r="E34" s="553"/>
      <c r="F34" s="435"/>
      <c r="G34" s="427"/>
      <c r="H34" s="427"/>
      <c r="I34" s="427"/>
      <c r="J34" s="427"/>
      <c r="K34" s="427"/>
      <c r="L34" s="427"/>
      <c r="M34" s="427"/>
      <c r="N34" s="17">
        <f>COUNTIF($J35:J48,"PASS")</f>
        <v>10</v>
      </c>
      <c r="O34" s="17">
        <f>COUNTIF($J35:J48,"FAIL")</f>
        <v>4</v>
      </c>
      <c r="P34" s="17">
        <f>COUNTBLANK(J35:J48)</f>
        <v>0</v>
      </c>
      <c r="Q34" s="17">
        <f>COUNTIF($J35:J48,"IN PROGRESS")</f>
        <v>0</v>
      </c>
      <c r="R34" s="17">
        <f>COUNTIF($J35:J48,"BLOCKED")</f>
        <v>0</v>
      </c>
      <c r="S34" s="24"/>
    </row>
    <row r="35" spans="1:19" ht="75">
      <c r="A35" s="32" t="s">
        <v>1234</v>
      </c>
      <c r="B35" s="439" t="s">
        <v>1179</v>
      </c>
      <c r="C35" s="442" t="s">
        <v>54</v>
      </c>
      <c r="D35" s="428" t="s">
        <v>55</v>
      </c>
      <c r="E35" s="430"/>
      <c r="F35" s="20" t="s">
        <v>57</v>
      </c>
      <c r="G35" s="12"/>
      <c r="H35" s="21"/>
      <c r="I35" s="22" t="s">
        <v>58</v>
      </c>
      <c r="J35" s="351" t="s">
        <v>59</v>
      </c>
      <c r="K35" s="296" t="s">
        <v>1235</v>
      </c>
      <c r="L35" s="18"/>
      <c r="M35" s="293" t="s">
        <v>368</v>
      </c>
      <c r="N35" s="15"/>
      <c r="O35" s="15"/>
      <c r="P35" s="15"/>
      <c r="Q35" s="24"/>
      <c r="R35" s="24"/>
      <c r="S35" s="24"/>
    </row>
    <row r="36" spans="1:19" ht="15.75">
      <c r="A36" s="32" t="s">
        <v>1236</v>
      </c>
      <c r="B36" s="440"/>
      <c r="C36" s="440"/>
      <c r="D36" s="429"/>
      <c r="E36" s="431"/>
      <c r="F36" s="20" t="s">
        <v>63</v>
      </c>
      <c r="G36" s="19"/>
      <c r="H36" s="21"/>
      <c r="I36" s="22" t="s">
        <v>64</v>
      </c>
      <c r="J36" s="351" t="s">
        <v>59</v>
      </c>
      <c r="K36" s="293"/>
      <c r="L36" s="19"/>
      <c r="M36" s="293" t="s">
        <v>368</v>
      </c>
      <c r="N36" s="15"/>
      <c r="O36" s="15"/>
      <c r="P36" s="15"/>
      <c r="Q36" s="24"/>
      <c r="R36" s="24"/>
      <c r="S36" s="24"/>
    </row>
    <row r="37" spans="1:19" ht="15.75">
      <c r="A37" s="32" t="s">
        <v>1237</v>
      </c>
      <c r="B37" s="440"/>
      <c r="C37" s="440"/>
      <c r="D37" s="429"/>
      <c r="E37" s="431"/>
      <c r="F37" s="20" t="s">
        <v>66</v>
      </c>
      <c r="G37" s="19"/>
      <c r="H37" s="21"/>
      <c r="I37" s="22" t="s">
        <v>67</v>
      </c>
      <c r="J37" s="351" t="s">
        <v>1181</v>
      </c>
      <c r="K37" s="293" t="s">
        <v>1238</v>
      </c>
      <c r="L37" s="19"/>
      <c r="M37" s="293" t="s">
        <v>368</v>
      </c>
      <c r="N37" s="15"/>
      <c r="O37" s="15"/>
      <c r="P37" s="15"/>
      <c r="Q37" s="24"/>
      <c r="R37" s="24"/>
      <c r="S37" s="24"/>
    </row>
    <row r="38" spans="1:19" ht="15.75">
      <c r="A38" s="32" t="s">
        <v>1239</v>
      </c>
      <c r="B38" s="440"/>
      <c r="C38" s="440"/>
      <c r="D38" s="429"/>
      <c r="E38" s="431"/>
      <c r="F38" s="25" t="s">
        <v>69</v>
      </c>
      <c r="G38" s="19" t="s">
        <v>70</v>
      </c>
      <c r="H38" s="21"/>
      <c r="I38" s="12" t="s">
        <v>71</v>
      </c>
      <c r="J38" s="351" t="s">
        <v>59</v>
      </c>
      <c r="K38" s="293" t="s">
        <v>1240</v>
      </c>
      <c r="L38" s="19" t="s">
        <v>1241</v>
      </c>
      <c r="M38" s="293" t="s">
        <v>368</v>
      </c>
      <c r="N38" s="15"/>
      <c r="O38" s="15"/>
      <c r="P38" s="15"/>
      <c r="Q38" s="24"/>
      <c r="R38" s="24"/>
      <c r="S38" s="24"/>
    </row>
    <row r="39" spans="1:19" ht="30">
      <c r="A39" s="32" t="s">
        <v>1242</v>
      </c>
      <c r="B39" s="440"/>
      <c r="C39" s="440"/>
      <c r="D39" s="429"/>
      <c r="E39" s="431"/>
      <c r="F39" s="25" t="s">
        <v>73</v>
      </c>
      <c r="G39" s="12" t="s">
        <v>74</v>
      </c>
      <c r="H39" s="21"/>
      <c r="I39" s="12" t="s">
        <v>71</v>
      </c>
      <c r="J39" s="351" t="s">
        <v>1181</v>
      </c>
      <c r="K39" s="293" t="s">
        <v>1193</v>
      </c>
      <c r="L39" s="19" t="s">
        <v>1219</v>
      </c>
      <c r="M39" s="293" t="s">
        <v>368</v>
      </c>
      <c r="N39" s="15"/>
      <c r="O39" s="15"/>
      <c r="P39" s="15"/>
      <c r="Q39" s="24"/>
      <c r="R39" s="24"/>
      <c r="S39" s="24"/>
    </row>
    <row r="40" spans="1:19" ht="15.75">
      <c r="A40" s="32" t="s">
        <v>1243</v>
      </c>
      <c r="B40" s="440"/>
      <c r="C40" s="440"/>
      <c r="D40" s="429"/>
      <c r="E40" s="431"/>
      <c r="F40" s="20" t="s">
        <v>119</v>
      </c>
      <c r="G40" s="12"/>
      <c r="H40" s="21"/>
      <c r="I40" s="26" t="s">
        <v>120</v>
      </c>
      <c r="J40" s="351" t="s">
        <v>59</v>
      </c>
      <c r="K40" s="293" t="s">
        <v>1244</v>
      </c>
      <c r="L40" s="19"/>
      <c r="M40" s="293" t="s">
        <v>368</v>
      </c>
      <c r="N40" s="15"/>
      <c r="O40" s="15"/>
      <c r="P40" s="15"/>
      <c r="Q40" s="24"/>
      <c r="R40" s="24"/>
      <c r="S40" s="24"/>
    </row>
    <row r="41" spans="1:19" ht="15.75">
      <c r="A41" s="32" t="s">
        <v>1245</v>
      </c>
      <c r="B41" s="440"/>
      <c r="C41" s="440"/>
      <c r="D41" s="429"/>
      <c r="E41" s="431"/>
      <c r="F41" s="26" t="s">
        <v>122</v>
      </c>
      <c r="G41" s="12"/>
      <c r="H41" s="21"/>
      <c r="I41" s="26" t="s">
        <v>123</v>
      </c>
      <c r="J41" s="351" t="s">
        <v>59</v>
      </c>
      <c r="K41" s="293"/>
      <c r="L41" s="19"/>
      <c r="M41" s="293" t="s">
        <v>368</v>
      </c>
      <c r="N41" s="15"/>
      <c r="O41" s="15"/>
      <c r="P41" s="15"/>
      <c r="Q41" s="24"/>
      <c r="R41" s="24"/>
      <c r="S41" s="24"/>
    </row>
    <row r="42" spans="1:19" ht="15.75">
      <c r="A42" s="32" t="s">
        <v>1246</v>
      </c>
      <c r="B42" s="440"/>
      <c r="C42" s="440"/>
      <c r="D42" s="434"/>
      <c r="E42" s="431"/>
      <c r="F42" s="26" t="s">
        <v>125</v>
      </c>
      <c r="G42" s="12"/>
      <c r="H42" s="21"/>
      <c r="I42" s="26" t="s">
        <v>123</v>
      </c>
      <c r="J42" s="351" t="s">
        <v>1181</v>
      </c>
      <c r="K42" s="293" t="s">
        <v>1247</v>
      </c>
      <c r="L42" s="19" t="s">
        <v>1248</v>
      </c>
      <c r="M42" s="293" t="s">
        <v>368</v>
      </c>
      <c r="N42" s="15"/>
      <c r="O42" s="15"/>
      <c r="P42" s="15"/>
      <c r="Q42" s="24"/>
      <c r="R42" s="24"/>
      <c r="S42" s="24"/>
    </row>
    <row r="43" spans="1:19" ht="75">
      <c r="A43" s="32" t="s">
        <v>1249</v>
      </c>
      <c r="B43" s="440"/>
      <c r="C43" s="440"/>
      <c r="D43" s="433" t="s">
        <v>76</v>
      </c>
      <c r="E43" s="431"/>
      <c r="F43" s="27" t="s">
        <v>77</v>
      </c>
      <c r="G43" s="12"/>
      <c r="H43" s="19"/>
      <c r="I43" s="12" t="s">
        <v>78</v>
      </c>
      <c r="J43" s="351" t="s">
        <v>59</v>
      </c>
      <c r="K43" s="293"/>
      <c r="L43" s="18" t="s">
        <v>1250</v>
      </c>
      <c r="M43" s="293" t="s">
        <v>368</v>
      </c>
      <c r="N43" s="15"/>
      <c r="O43" s="15"/>
      <c r="P43" s="15"/>
      <c r="Q43" s="24"/>
      <c r="R43" s="24"/>
      <c r="S43" s="24"/>
    </row>
    <row r="44" spans="1:19" ht="30">
      <c r="A44" s="32" t="s">
        <v>1251</v>
      </c>
      <c r="B44" s="440"/>
      <c r="C44" s="440"/>
      <c r="D44" s="429"/>
      <c r="E44" s="431"/>
      <c r="F44" s="27" t="s">
        <v>80</v>
      </c>
      <c r="G44" s="28"/>
      <c r="H44" s="21"/>
      <c r="I44" s="29" t="s">
        <v>81</v>
      </c>
      <c r="J44" s="351" t="s">
        <v>1181</v>
      </c>
      <c r="K44" s="293"/>
      <c r="L44" s="19" t="s">
        <v>1252</v>
      </c>
      <c r="M44" s="293" t="s">
        <v>368</v>
      </c>
      <c r="N44" s="15"/>
      <c r="O44" s="15"/>
      <c r="P44" s="15"/>
      <c r="Q44" s="24"/>
      <c r="R44" s="24"/>
      <c r="S44" s="24"/>
    </row>
    <row r="45" spans="1:19" ht="15.75">
      <c r="A45" s="32" t="s">
        <v>1253</v>
      </c>
      <c r="B45" s="440"/>
      <c r="C45" s="440"/>
      <c r="D45" s="429"/>
      <c r="E45" s="431"/>
      <c r="F45" s="27" t="s">
        <v>83</v>
      </c>
      <c r="G45" s="12"/>
      <c r="H45" s="19"/>
      <c r="I45" s="12" t="s">
        <v>84</v>
      </c>
      <c r="J45" s="351" t="s">
        <v>59</v>
      </c>
      <c r="K45" s="293"/>
      <c r="L45" s="19"/>
      <c r="M45" s="293" t="s">
        <v>368</v>
      </c>
      <c r="N45" s="15"/>
      <c r="O45" s="15"/>
      <c r="P45" s="15"/>
      <c r="Q45" s="24"/>
      <c r="R45" s="24"/>
      <c r="S45" s="24"/>
    </row>
    <row r="46" spans="1:19" ht="30">
      <c r="A46" s="32" t="s">
        <v>1254</v>
      </c>
      <c r="B46" s="440"/>
      <c r="C46" s="440"/>
      <c r="D46" s="429"/>
      <c r="E46" s="431"/>
      <c r="F46" s="27" t="s">
        <v>86</v>
      </c>
      <c r="G46" s="28"/>
      <c r="H46" s="19"/>
      <c r="I46" s="12" t="s">
        <v>87</v>
      </c>
      <c r="J46" s="351" t="s">
        <v>59</v>
      </c>
      <c r="K46" s="296"/>
      <c r="L46" s="19"/>
      <c r="M46" s="293" t="s">
        <v>368</v>
      </c>
      <c r="N46" s="15"/>
      <c r="O46" s="15"/>
      <c r="P46" s="15"/>
      <c r="Q46" s="24"/>
      <c r="R46" s="24"/>
      <c r="S46" s="24"/>
    </row>
    <row r="47" spans="1:19" ht="30">
      <c r="A47" s="32" t="s">
        <v>1255</v>
      </c>
      <c r="B47" s="440"/>
      <c r="C47" s="440"/>
      <c r="D47" s="429"/>
      <c r="E47" s="431"/>
      <c r="F47" s="27" t="s">
        <v>89</v>
      </c>
      <c r="G47" s="12"/>
      <c r="H47" s="19"/>
      <c r="I47" s="12" t="s">
        <v>90</v>
      </c>
      <c r="J47" s="351" t="s">
        <v>59</v>
      </c>
      <c r="K47" s="296" t="s">
        <v>1256</v>
      </c>
      <c r="L47" s="19"/>
      <c r="M47" s="293" t="s">
        <v>368</v>
      </c>
      <c r="N47" s="15"/>
      <c r="O47" s="15"/>
      <c r="P47" s="15"/>
      <c r="Q47" s="24"/>
      <c r="R47" s="24"/>
      <c r="S47" s="24"/>
    </row>
    <row r="48" spans="1:19" ht="30">
      <c r="A48" s="32" t="s">
        <v>1257</v>
      </c>
      <c r="B48" s="556"/>
      <c r="C48" s="441"/>
      <c r="D48" s="434"/>
      <c r="E48" s="432"/>
      <c r="F48" s="12" t="s">
        <v>92</v>
      </c>
      <c r="G48" s="12" t="s">
        <v>93</v>
      </c>
      <c r="H48" s="19"/>
      <c r="I48" s="12" t="s">
        <v>94</v>
      </c>
      <c r="J48" s="351" t="s">
        <v>59</v>
      </c>
      <c r="K48" s="293"/>
      <c r="L48" s="19"/>
      <c r="M48" s="293" t="s">
        <v>368</v>
      </c>
      <c r="N48" s="15"/>
      <c r="O48" s="15"/>
      <c r="P48" s="15"/>
      <c r="Q48" s="24"/>
      <c r="R48" s="24"/>
      <c r="S48" s="24"/>
    </row>
    <row r="49" spans="1:18">
      <c r="A49" s="553" t="s">
        <v>389</v>
      </c>
      <c r="B49" s="553"/>
      <c r="C49" s="553"/>
      <c r="D49" s="435"/>
      <c r="E49" s="553"/>
      <c r="F49" s="435"/>
      <c r="G49" s="435"/>
      <c r="H49" s="435"/>
      <c r="I49" s="435"/>
      <c r="J49" s="435"/>
      <c r="K49" s="435"/>
      <c r="L49" s="435"/>
      <c r="M49" s="435"/>
      <c r="N49" s="17">
        <f>COUNTIF($J50:J72,"PASS")</f>
        <v>8</v>
      </c>
      <c r="O49" s="17">
        <f>COUNTIF($J50:J72,"FAIL")</f>
        <v>6</v>
      </c>
      <c r="P49" s="17">
        <f>COUNTBLANK(J50:J72)</f>
        <v>9</v>
      </c>
      <c r="Q49" s="17">
        <f>COUNTIF($J50:J72,"IN PROGRESS")</f>
        <v>0</v>
      </c>
      <c r="R49" s="17">
        <f>COUNTIF($J50:J72,"BLOCKED")</f>
        <v>0</v>
      </c>
    </row>
    <row r="50" spans="1:18" ht="75">
      <c r="A50" s="32" t="s">
        <v>1258</v>
      </c>
      <c r="B50" s="450" t="s">
        <v>1259</v>
      </c>
      <c r="C50" s="450" t="s">
        <v>54</v>
      </c>
      <c r="D50" s="475" t="s">
        <v>1260</v>
      </c>
      <c r="E50" s="125"/>
      <c r="F50" s="80" t="s">
        <v>57</v>
      </c>
      <c r="G50" s="81"/>
      <c r="H50" s="82"/>
      <c r="I50" s="22" t="s">
        <v>58</v>
      </c>
      <c r="J50" s="351" t="s">
        <v>1181</v>
      </c>
      <c r="K50" s="176" t="s">
        <v>1261</v>
      </c>
      <c r="L50" s="122" t="s">
        <v>1262</v>
      </c>
      <c r="M50" s="293" t="s">
        <v>368</v>
      </c>
    </row>
    <row r="51" spans="1:18" ht="15.75">
      <c r="A51" s="32" t="s">
        <v>1263</v>
      </c>
      <c r="B51" s="477"/>
      <c r="C51" s="477"/>
      <c r="D51" s="475"/>
      <c r="E51" s="125"/>
      <c r="F51" s="80" t="s">
        <v>63</v>
      </c>
      <c r="G51" s="83"/>
      <c r="H51" s="82"/>
      <c r="I51" s="22" t="s">
        <v>64</v>
      </c>
      <c r="J51" s="351" t="s">
        <v>59</v>
      </c>
      <c r="K51" s="176"/>
      <c r="L51" s="122"/>
      <c r="M51" s="293" t="s">
        <v>368</v>
      </c>
    </row>
    <row r="52" spans="1:18" ht="15.75">
      <c r="A52" s="32" t="s">
        <v>1264</v>
      </c>
      <c r="B52" s="477"/>
      <c r="C52" s="477"/>
      <c r="D52" s="475"/>
      <c r="E52" s="125"/>
      <c r="F52" s="80" t="s">
        <v>66</v>
      </c>
      <c r="G52" s="83"/>
      <c r="H52" s="82"/>
      <c r="I52" s="22" t="s">
        <v>67</v>
      </c>
      <c r="J52" s="351" t="s">
        <v>59</v>
      </c>
      <c r="K52" s="176" t="s">
        <v>1265</v>
      </c>
      <c r="L52" s="122"/>
      <c r="M52" s="293" t="s">
        <v>368</v>
      </c>
    </row>
    <row r="53" spans="1:18" ht="15.75">
      <c r="A53" s="32" t="s">
        <v>1266</v>
      </c>
      <c r="B53" s="477"/>
      <c r="C53" s="477"/>
      <c r="D53" s="475"/>
      <c r="E53" s="125"/>
      <c r="F53" s="122" t="s">
        <v>1267</v>
      </c>
      <c r="G53" s="122"/>
      <c r="H53" s="122"/>
      <c r="I53" s="122" t="s">
        <v>1268</v>
      </c>
      <c r="J53" s="351" t="s">
        <v>59</v>
      </c>
      <c r="K53" s="176"/>
      <c r="L53" s="122"/>
      <c r="M53" s="293" t="s">
        <v>368</v>
      </c>
    </row>
    <row r="54" spans="1:18" ht="15.75">
      <c r="A54" s="32" t="s">
        <v>1269</v>
      </c>
      <c r="B54" s="477"/>
      <c r="C54" s="477"/>
      <c r="D54" s="475"/>
      <c r="E54" s="126"/>
      <c r="F54" s="123" t="s">
        <v>1270</v>
      </c>
      <c r="G54" s="123"/>
      <c r="H54" s="123"/>
      <c r="I54" s="123" t="s">
        <v>1271</v>
      </c>
      <c r="J54" s="351" t="s">
        <v>59</v>
      </c>
      <c r="K54" s="249"/>
      <c r="L54" s="123"/>
      <c r="M54" s="293" t="s">
        <v>368</v>
      </c>
    </row>
    <row r="55" spans="1:18" ht="15.75">
      <c r="A55" s="32" t="s">
        <v>1272</v>
      </c>
      <c r="B55" s="477"/>
      <c r="C55" s="477"/>
      <c r="D55" s="475"/>
      <c r="E55" s="134"/>
      <c r="F55" s="124" t="s">
        <v>1273</v>
      </c>
      <c r="G55" s="122"/>
      <c r="H55" s="122"/>
      <c r="I55" s="122" t="s">
        <v>1274</v>
      </c>
      <c r="J55" s="351" t="s">
        <v>59</v>
      </c>
      <c r="K55" s="249"/>
      <c r="L55" s="123"/>
      <c r="M55" s="293" t="s">
        <v>368</v>
      </c>
    </row>
    <row r="56" spans="1:18" ht="30">
      <c r="A56" s="32" t="s">
        <v>1275</v>
      </c>
      <c r="B56" s="477"/>
      <c r="C56" s="477"/>
      <c r="D56" s="475"/>
      <c r="E56" s="134"/>
      <c r="F56" s="124" t="s">
        <v>1276</v>
      </c>
      <c r="G56" s="122"/>
      <c r="H56" s="122"/>
      <c r="I56" s="72" t="s">
        <v>1277</v>
      </c>
      <c r="J56" s="351"/>
      <c r="K56" s="249"/>
      <c r="L56" s="123"/>
      <c r="M56" s="293" t="s">
        <v>368</v>
      </c>
    </row>
    <row r="57" spans="1:18" ht="30">
      <c r="A57" s="32" t="s">
        <v>1278</v>
      </c>
      <c r="B57" s="478"/>
      <c r="C57" s="478"/>
      <c r="D57" s="475"/>
      <c r="E57" s="134"/>
      <c r="F57" s="124" t="s">
        <v>1279</v>
      </c>
      <c r="G57" s="122"/>
      <c r="H57" s="122"/>
      <c r="I57" s="72" t="s">
        <v>1277</v>
      </c>
      <c r="J57" s="351"/>
      <c r="K57" s="249"/>
      <c r="L57" s="123"/>
      <c r="M57" s="293" t="s">
        <v>368</v>
      </c>
    </row>
    <row r="58" spans="1:18" ht="75">
      <c r="A58" s="32" t="s">
        <v>1280</v>
      </c>
      <c r="B58" s="456" t="s">
        <v>1281</v>
      </c>
      <c r="C58" s="456" t="s">
        <v>54</v>
      </c>
      <c r="D58" s="449" t="s">
        <v>1282</v>
      </c>
      <c r="E58" s="127"/>
      <c r="F58" s="135" t="s">
        <v>57</v>
      </c>
      <c r="G58" s="136"/>
      <c r="H58" s="90"/>
      <c r="I58" s="91" t="s">
        <v>58</v>
      </c>
      <c r="J58" s="351" t="s">
        <v>1181</v>
      </c>
      <c r="K58" s="184" t="s">
        <v>1283</v>
      </c>
      <c r="L58" s="124"/>
      <c r="M58" s="293" t="s">
        <v>368</v>
      </c>
    </row>
    <row r="59" spans="1:18" ht="30">
      <c r="A59" s="32" t="s">
        <v>1284</v>
      </c>
      <c r="B59" s="446"/>
      <c r="C59" s="446"/>
      <c r="D59" s="444"/>
      <c r="E59" s="124"/>
      <c r="F59" s="88" t="s">
        <v>138</v>
      </c>
      <c r="G59" s="88"/>
      <c r="H59" s="88"/>
      <c r="I59" s="88" t="s">
        <v>139</v>
      </c>
      <c r="J59" s="351"/>
      <c r="K59" s="184"/>
      <c r="L59" s="124"/>
      <c r="M59" s="293" t="s">
        <v>368</v>
      </c>
    </row>
    <row r="60" spans="1:18" ht="75">
      <c r="A60" s="32" t="s">
        <v>1285</v>
      </c>
      <c r="B60" s="456" t="s">
        <v>1286</v>
      </c>
      <c r="C60" s="456" t="s">
        <v>54</v>
      </c>
      <c r="D60" s="449" t="s">
        <v>1287</v>
      </c>
      <c r="E60" s="127"/>
      <c r="F60" s="80" t="s">
        <v>57</v>
      </c>
      <c r="G60" s="81"/>
      <c r="H60" s="82"/>
      <c r="I60" s="22" t="s">
        <v>58</v>
      </c>
      <c r="J60" s="351" t="s">
        <v>1181</v>
      </c>
      <c r="K60" s="184" t="s">
        <v>1288</v>
      </c>
      <c r="L60" s="124"/>
      <c r="M60" s="293" t="s">
        <v>368</v>
      </c>
    </row>
    <row r="61" spans="1:18" ht="30">
      <c r="A61" s="32" t="s">
        <v>1289</v>
      </c>
      <c r="B61" s="446"/>
      <c r="C61" s="446"/>
      <c r="D61" s="443"/>
      <c r="E61" s="128"/>
      <c r="F61" s="95" t="s">
        <v>138</v>
      </c>
      <c r="G61" s="95"/>
      <c r="H61" s="95"/>
      <c r="I61" s="95" t="s">
        <v>139</v>
      </c>
      <c r="J61" s="351"/>
      <c r="K61" s="352"/>
      <c r="L61" s="128"/>
      <c r="M61" s="293" t="s">
        <v>368</v>
      </c>
    </row>
    <row r="62" spans="1:18" ht="75">
      <c r="A62" s="32" t="s">
        <v>1290</v>
      </c>
      <c r="B62" s="456" t="s">
        <v>1291</v>
      </c>
      <c r="C62" s="456" t="s">
        <v>54</v>
      </c>
      <c r="D62" s="395" t="s">
        <v>1292</v>
      </c>
      <c r="E62" s="124"/>
      <c r="F62" s="80" t="s">
        <v>57</v>
      </c>
      <c r="G62" s="81"/>
      <c r="H62" s="82"/>
      <c r="I62" s="22" t="s">
        <v>58</v>
      </c>
      <c r="J62" s="351" t="s">
        <v>59</v>
      </c>
      <c r="K62" s="184" t="s">
        <v>1293</v>
      </c>
      <c r="L62" s="124"/>
      <c r="M62" s="293" t="s">
        <v>368</v>
      </c>
    </row>
    <row r="63" spans="1:18" ht="30">
      <c r="A63" s="32" t="s">
        <v>1294</v>
      </c>
      <c r="B63" s="445"/>
      <c r="C63" s="445"/>
      <c r="D63" s="395"/>
      <c r="E63" s="124"/>
      <c r="F63" s="88" t="s">
        <v>138</v>
      </c>
      <c r="G63" s="88"/>
      <c r="H63" s="88"/>
      <c r="I63" s="88" t="s">
        <v>139</v>
      </c>
      <c r="J63" s="351"/>
      <c r="K63" s="184"/>
      <c r="L63" s="124"/>
      <c r="M63" s="293" t="s">
        <v>368</v>
      </c>
    </row>
    <row r="64" spans="1:18" ht="15.75">
      <c r="A64" s="32" t="s">
        <v>1295</v>
      </c>
      <c r="B64" s="445"/>
      <c r="C64" s="445"/>
      <c r="D64" s="395"/>
      <c r="E64" s="122"/>
      <c r="F64" s="122" t="s">
        <v>1296</v>
      </c>
      <c r="G64" s="122"/>
      <c r="H64" s="122"/>
      <c r="I64" s="122" t="s">
        <v>1297</v>
      </c>
      <c r="J64" s="351" t="s">
        <v>59</v>
      </c>
      <c r="K64" s="176"/>
      <c r="L64" s="122"/>
      <c r="M64" s="293" t="s">
        <v>368</v>
      </c>
    </row>
    <row r="65" spans="1:18" ht="15.75">
      <c r="A65" s="32" t="s">
        <v>1298</v>
      </c>
      <c r="B65" s="445"/>
      <c r="C65" s="445"/>
      <c r="D65" s="395"/>
      <c r="E65" s="122"/>
      <c r="F65" s="122" t="s">
        <v>1299</v>
      </c>
      <c r="G65" s="122"/>
      <c r="H65" s="122"/>
      <c r="I65" s="122" t="s">
        <v>1299</v>
      </c>
      <c r="J65" s="351" t="s">
        <v>1181</v>
      </c>
      <c r="K65" s="176" t="s">
        <v>1300</v>
      </c>
      <c r="L65" s="122"/>
      <c r="M65" s="293" t="s">
        <v>368</v>
      </c>
    </row>
    <row r="66" spans="1:18" ht="15.75">
      <c r="A66" s="32" t="s">
        <v>1301</v>
      </c>
      <c r="B66" s="446"/>
      <c r="C66" s="446"/>
      <c r="D66" s="449"/>
      <c r="E66" s="123"/>
      <c r="F66" s="123" t="s">
        <v>1302</v>
      </c>
      <c r="G66" s="123"/>
      <c r="H66" s="123"/>
      <c r="I66" s="123" t="s">
        <v>1303</v>
      </c>
      <c r="J66" s="351"/>
      <c r="K66" s="249"/>
      <c r="L66" s="123"/>
      <c r="M66" s="293" t="s">
        <v>368</v>
      </c>
    </row>
    <row r="67" spans="1:18" ht="75">
      <c r="A67" s="32" t="s">
        <v>1304</v>
      </c>
      <c r="B67" s="456" t="s">
        <v>1305</v>
      </c>
      <c r="C67" s="456" t="s">
        <v>54</v>
      </c>
      <c r="D67" s="395" t="s">
        <v>1306</v>
      </c>
      <c r="E67" s="124"/>
      <c r="F67" s="80" t="s">
        <v>57</v>
      </c>
      <c r="G67" s="81"/>
      <c r="H67" s="82"/>
      <c r="I67" s="22" t="s">
        <v>58</v>
      </c>
      <c r="J67" s="351" t="s">
        <v>1181</v>
      </c>
      <c r="K67" s="184" t="s">
        <v>1307</v>
      </c>
      <c r="L67" s="124"/>
      <c r="M67" s="293" t="s">
        <v>368</v>
      </c>
    </row>
    <row r="68" spans="1:18" ht="30">
      <c r="A68" s="32" t="s">
        <v>1308</v>
      </c>
      <c r="B68" s="445"/>
      <c r="C68" s="445"/>
      <c r="D68" s="395"/>
      <c r="E68" s="124"/>
      <c r="F68" s="88" t="s">
        <v>138</v>
      </c>
      <c r="G68" s="88"/>
      <c r="H68" s="88"/>
      <c r="I68" s="88" t="s">
        <v>139</v>
      </c>
      <c r="J68" s="351"/>
      <c r="K68" s="184"/>
      <c r="L68" s="124"/>
      <c r="M68" s="293" t="s">
        <v>368</v>
      </c>
    </row>
    <row r="69" spans="1:18" ht="30">
      <c r="A69" s="32" t="s">
        <v>1309</v>
      </c>
      <c r="B69" s="445"/>
      <c r="C69" s="445"/>
      <c r="D69" s="395"/>
      <c r="E69" s="122"/>
      <c r="F69" s="130" t="s">
        <v>1310</v>
      </c>
      <c r="G69" s="131"/>
      <c r="H69" s="131"/>
      <c r="I69" s="132" t="s">
        <v>1311</v>
      </c>
      <c r="J69" s="351"/>
      <c r="K69" s="176"/>
      <c r="L69" s="122"/>
      <c r="M69" s="293" t="s">
        <v>368</v>
      </c>
    </row>
    <row r="70" spans="1:18" ht="30">
      <c r="A70" s="32" t="s">
        <v>1312</v>
      </c>
      <c r="B70" s="445"/>
      <c r="C70" s="445"/>
      <c r="D70" s="395"/>
      <c r="E70" s="122"/>
      <c r="F70" s="130" t="s">
        <v>1313</v>
      </c>
      <c r="G70" s="131"/>
      <c r="H70" s="131"/>
      <c r="I70" s="132" t="s">
        <v>146</v>
      </c>
      <c r="J70" s="351" t="s">
        <v>1181</v>
      </c>
      <c r="K70" s="176" t="s">
        <v>1314</v>
      </c>
      <c r="L70" s="122"/>
      <c r="M70" s="293" t="s">
        <v>368</v>
      </c>
    </row>
    <row r="71" spans="1:18" ht="30">
      <c r="A71" s="32" t="s">
        <v>1315</v>
      </c>
      <c r="B71" s="445"/>
      <c r="C71" s="445"/>
      <c r="D71" s="395"/>
      <c r="E71" s="122"/>
      <c r="F71" s="88" t="s">
        <v>149</v>
      </c>
      <c r="G71" s="122"/>
      <c r="H71" s="122"/>
      <c r="I71" s="88" t="s">
        <v>150</v>
      </c>
      <c r="J71" s="351" t="s">
        <v>59</v>
      </c>
      <c r="K71" s="176" t="s">
        <v>1316</v>
      </c>
      <c r="L71" s="122"/>
      <c r="M71" s="293" t="s">
        <v>368</v>
      </c>
    </row>
    <row r="72" spans="1:18" ht="35.25" customHeight="1">
      <c r="A72" s="32" t="s">
        <v>1317</v>
      </c>
      <c r="B72" s="446"/>
      <c r="C72" s="446"/>
      <c r="D72" s="395"/>
      <c r="E72" s="122"/>
      <c r="F72" s="133" t="s">
        <v>155</v>
      </c>
      <c r="G72" s="133" t="s">
        <v>155</v>
      </c>
      <c r="H72" s="122"/>
      <c r="I72" s="137" t="s">
        <v>156</v>
      </c>
      <c r="J72" s="351"/>
      <c r="K72" s="356"/>
      <c r="L72" s="122"/>
      <c r="M72" s="293" t="s">
        <v>368</v>
      </c>
    </row>
    <row r="73" spans="1:18">
      <c r="A73" s="448" t="s">
        <v>1318</v>
      </c>
      <c r="B73" s="448"/>
      <c r="C73" s="448"/>
      <c r="D73" s="448"/>
      <c r="E73" s="448"/>
      <c r="F73" s="448"/>
      <c r="G73" s="448"/>
      <c r="H73" s="448"/>
      <c r="I73" s="448"/>
      <c r="J73" s="448"/>
      <c r="K73" s="448"/>
      <c r="L73" s="448"/>
      <c r="M73" s="448"/>
      <c r="N73" s="313">
        <f>COUNTIF($J74:J74,"PASS")</f>
        <v>0</v>
      </c>
      <c r="O73" s="313">
        <f>COUNTIF($J74:J74,"FAIL")</f>
        <v>0</v>
      </c>
      <c r="P73" s="313">
        <f>COUNTBLANK(J74:J74)</f>
        <v>1</v>
      </c>
      <c r="Q73" s="313">
        <f>COUNTIF($J74:J74,"IN PROGRESS")</f>
        <v>0</v>
      </c>
      <c r="R73" s="313">
        <f>COUNTIF($J74:J74,"BLOCKED")</f>
        <v>0</v>
      </c>
    </row>
    <row r="74" spans="1:18" ht="153.75" customHeight="1">
      <c r="A74" s="32" t="s">
        <v>1319</v>
      </c>
      <c r="B74" s="314" t="s">
        <v>1320</v>
      </c>
      <c r="C74" s="249" t="s">
        <v>54</v>
      </c>
      <c r="D74" s="207" t="s">
        <v>1321</v>
      </c>
      <c r="E74" s="315" t="s">
        <v>1322</v>
      </c>
      <c r="F74" s="173" t="s">
        <v>1323</v>
      </c>
      <c r="G74" s="122"/>
      <c r="H74" s="122"/>
      <c r="I74" s="173" t="s">
        <v>488</v>
      </c>
      <c r="J74" s="349"/>
      <c r="K74" s="176"/>
      <c r="L74" s="122"/>
      <c r="M74" s="122"/>
    </row>
  </sheetData>
  <mergeCells count="35">
    <mergeCell ref="A2:M2"/>
    <mergeCell ref="A18:M18"/>
    <mergeCell ref="D19:D26"/>
    <mergeCell ref="E19:E32"/>
    <mergeCell ref="D3:D10"/>
    <mergeCell ref="E3:E17"/>
    <mergeCell ref="D11:D17"/>
    <mergeCell ref="C3:C17"/>
    <mergeCell ref="B3:B17"/>
    <mergeCell ref="C19:C33"/>
    <mergeCell ref="B19:B33"/>
    <mergeCell ref="D27:D33"/>
    <mergeCell ref="A49:M49"/>
    <mergeCell ref="D50:D57"/>
    <mergeCell ref="B50:B57"/>
    <mergeCell ref="C50:C57"/>
    <mergeCell ref="A34:M34"/>
    <mergeCell ref="B35:B48"/>
    <mergeCell ref="C35:C48"/>
    <mergeCell ref="D35:D42"/>
    <mergeCell ref="E35:E48"/>
    <mergeCell ref="D43:D48"/>
    <mergeCell ref="A73:M73"/>
    <mergeCell ref="C67:C72"/>
    <mergeCell ref="B58:B59"/>
    <mergeCell ref="C58:C59"/>
    <mergeCell ref="B60:B61"/>
    <mergeCell ref="C60:C61"/>
    <mergeCell ref="B62:B66"/>
    <mergeCell ref="C62:C66"/>
    <mergeCell ref="D58:D59"/>
    <mergeCell ref="D60:D61"/>
    <mergeCell ref="D62:D66"/>
    <mergeCell ref="D67:D72"/>
    <mergeCell ref="B67:B72"/>
  </mergeCells>
  <conditionalFormatting sqref="J1:J2">
    <cfRule type="containsText" dxfId="31" priority="25" operator="containsText" text="FAIL">
      <formula>NOT(ISERROR(SEARCH("FAIL",J1)))</formula>
    </cfRule>
    <cfRule type="containsText" dxfId="30" priority="26" operator="containsText" text="PASS">
      <formula>NOT(ISERROR(SEARCH("PASS",J1)))</formula>
    </cfRule>
  </conditionalFormatting>
  <conditionalFormatting sqref="J3:J17 J19:J33 J35:J48">
    <cfRule type="containsText" dxfId="29" priority="27" operator="containsText" text="BLOCKED">
      <formula>NOT(ISERROR(SEARCH("BLOCKED",J3)))</formula>
    </cfRule>
    <cfRule type="containsText" dxfId="28" priority="28" stopIfTrue="1" operator="containsText" text="IN PROGRESS">
      <formula>NOT(ISERROR(SEARCH("IN PROGRESS",J3)))</formula>
    </cfRule>
    <cfRule type="containsText" dxfId="27" priority="29" stopIfTrue="1" operator="containsText" text="PASS">
      <formula>NOT(ISERROR(SEARCH("PASS",J3)))</formula>
    </cfRule>
    <cfRule type="containsText" dxfId="26" priority="30" stopIfTrue="1" operator="containsText" text="FAIL">
      <formula>NOT(ISERROR(SEARCH("FAIL",J3)))</formula>
    </cfRule>
  </conditionalFormatting>
  <conditionalFormatting sqref="J18">
    <cfRule type="containsText" dxfId="25" priority="19" operator="containsText" text="FAIL">
      <formula>NOT(ISERROR(SEARCH("FAIL",J18)))</formula>
    </cfRule>
    <cfRule type="containsText" dxfId="24" priority="20" operator="containsText" text="PASS">
      <formula>NOT(ISERROR(SEARCH("PASS",J18)))</formula>
    </cfRule>
  </conditionalFormatting>
  <conditionalFormatting sqref="J34">
    <cfRule type="containsText" dxfId="23" priority="13" operator="containsText" text="FAIL">
      <formula>NOT(ISERROR(SEARCH("FAIL",J34)))</formula>
    </cfRule>
    <cfRule type="containsText" dxfId="22" priority="14" operator="containsText" text="PASS">
      <formula>NOT(ISERROR(SEARCH("PASS",J34)))</formula>
    </cfRule>
  </conditionalFormatting>
  <conditionalFormatting sqref="J49">
    <cfRule type="containsText" dxfId="21" priority="11" operator="containsText" text="FAIL">
      <formula>NOT(ISERROR(SEARCH("FAIL",J49)))</formula>
    </cfRule>
    <cfRule type="containsText" dxfId="20" priority="12" operator="containsText" text="PASS">
      <formula>NOT(ISERROR(SEARCH("PASS",J49)))</formula>
    </cfRule>
  </conditionalFormatting>
  <conditionalFormatting sqref="J50:J72">
    <cfRule type="containsText" dxfId="19" priority="7" operator="containsText" text="BLOCKED">
      <formula>NOT(ISERROR(SEARCH("BLOCKED",J50)))</formula>
    </cfRule>
    <cfRule type="containsText" dxfId="18" priority="8" stopIfTrue="1" operator="containsText" text="IN PROGRESS">
      <formula>NOT(ISERROR(SEARCH("IN PROGRESS",J50)))</formula>
    </cfRule>
    <cfRule type="containsText" dxfId="17" priority="9" stopIfTrue="1" operator="containsText" text="PASS">
      <formula>NOT(ISERROR(SEARCH("PASS",J50)))</formula>
    </cfRule>
    <cfRule type="containsText" dxfId="16" priority="10" stopIfTrue="1" operator="containsText" text="FAIL">
      <formula>NOT(ISERROR(SEARCH("FAIL",J50)))</formula>
    </cfRule>
  </conditionalFormatting>
  <conditionalFormatting sqref="J73">
    <cfRule type="containsText" dxfId="15" priority="1" operator="containsText" text="FAIL">
      <formula>NOT(ISERROR(SEARCH("FAIL",J73)))</formula>
    </cfRule>
    <cfRule type="containsText" dxfId="14" priority="2" operator="containsText" text="PASS">
      <formula>NOT(ISERROR(SEARCH("PASS",J73)))</formula>
    </cfRule>
  </conditionalFormatting>
  <conditionalFormatting sqref="J74">
    <cfRule type="containsText" dxfId="13" priority="3" operator="containsText" text="BLOCKED">
      <formula>NOT(ISERROR(SEARCH("BLOCKED",J74)))</formula>
    </cfRule>
    <cfRule type="containsText" dxfId="12" priority="4" stopIfTrue="1" operator="containsText" text="IN PROGRESS">
      <formula>NOT(ISERROR(SEARCH("IN PROGRESS",J74)))</formula>
    </cfRule>
    <cfRule type="containsText" dxfId="11" priority="5" stopIfTrue="1" operator="containsText" text="PASS">
      <formula>NOT(ISERROR(SEARCH("PASS",J74)))</formula>
    </cfRule>
    <cfRule type="containsText" dxfId="10" priority="6" stopIfTrue="1" operator="containsText" text="FAIL">
      <formula>NOT(ISERROR(SEARCH("FAIL",J74)))</formula>
    </cfRule>
  </conditionalFormatting>
  <dataValidations count="1">
    <dataValidation type="list" allowBlank="1" showInputMessage="1" showErrorMessage="1" sqref="J3:J17 J74 J19:J33 J50:J72 J35:J48" xr:uid="{1F77D9CF-BBCF-43FE-A3FF-1A4F1A96DEFA}">
      <formula1>"PASS, FAIL, IN PROGRESS, BLOCKED,"</formula1>
    </dataValidation>
  </dataValidations>
  <hyperlinks>
    <hyperlink ref="K24" r:id="rId1" display="37788" xr:uid="{C05E80C9-E681-4E33-9120-B5DF5B26BDEB}"/>
    <hyperlink ref="K26" r:id="rId2" display="37788" xr:uid="{E88AE5B4-1475-4441-9362-DB25B75EFE8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1919C-81EB-41BB-8DB6-1E6F094CBDBE}">
  <dimension ref="A1:V322"/>
  <sheetViews>
    <sheetView workbookViewId="0">
      <pane ySplit="2" topLeftCell="A236" activePane="bottomLeft" state="frozen"/>
      <selection pane="bottomLeft" activeCell="H244" sqref="H244"/>
    </sheetView>
  </sheetViews>
  <sheetFormatPr defaultColWidth="8.85546875" defaultRowHeight="15"/>
  <cols>
    <col min="1" max="1" width="17.42578125" customWidth="1"/>
    <col min="2" max="4" width="14" customWidth="1"/>
    <col min="5" max="5" width="20.28515625" customWidth="1"/>
    <col min="6" max="6" width="17.140625" customWidth="1"/>
    <col min="7" max="7" width="27.42578125" customWidth="1"/>
    <col min="8" max="8" width="31.85546875" customWidth="1"/>
    <col min="9" max="9" width="14" customWidth="1"/>
    <col min="10" max="10" width="31.42578125" customWidth="1"/>
    <col min="11" max="16" width="14" customWidth="1"/>
  </cols>
  <sheetData>
    <row r="1" spans="1:22" ht="43.5" customHeight="1">
      <c r="A1" s="405" t="s">
        <v>38</v>
      </c>
      <c r="B1" s="405" t="s">
        <v>39</v>
      </c>
      <c r="C1" s="405" t="s">
        <v>40</v>
      </c>
      <c r="D1" s="407" t="s">
        <v>1324</v>
      </c>
      <c r="E1" s="405" t="s">
        <v>41</v>
      </c>
      <c r="F1" s="405" t="s">
        <v>42</v>
      </c>
      <c r="G1" s="405" t="s">
        <v>43</v>
      </c>
      <c r="H1" s="405" t="s">
        <v>44</v>
      </c>
      <c r="I1" s="405" t="s">
        <v>45</v>
      </c>
      <c r="J1" s="405" t="s">
        <v>46</v>
      </c>
      <c r="K1" s="404" t="s">
        <v>1325</v>
      </c>
      <c r="L1" s="405"/>
      <c r="M1" s="405"/>
      <c r="N1" s="405" t="s">
        <v>48</v>
      </c>
      <c r="O1" s="405" t="s">
        <v>49</v>
      </c>
      <c r="P1" s="405" t="s">
        <v>50</v>
      </c>
      <c r="V1" s="24"/>
    </row>
    <row r="2" spans="1:22">
      <c r="A2" s="406"/>
      <c r="B2" s="406"/>
      <c r="C2" s="406"/>
      <c r="D2" s="408"/>
      <c r="E2" s="406"/>
      <c r="F2" s="406"/>
      <c r="G2" s="406"/>
      <c r="H2" s="406"/>
      <c r="I2" s="406"/>
      <c r="J2" s="406"/>
      <c r="K2" s="215" t="s">
        <v>1326</v>
      </c>
      <c r="L2" s="215" t="s">
        <v>1327</v>
      </c>
      <c r="M2" s="215" t="s">
        <v>1328</v>
      </c>
      <c r="N2" s="406"/>
      <c r="O2" s="406"/>
      <c r="P2" s="406"/>
      <c r="V2" s="24"/>
    </row>
    <row r="3" spans="1:22">
      <c r="A3" s="390" t="s">
        <v>1329</v>
      </c>
      <c r="B3" s="391"/>
      <c r="C3" s="391"/>
      <c r="D3" s="391"/>
      <c r="E3" s="391"/>
      <c r="F3" s="391"/>
      <c r="G3" s="391"/>
      <c r="H3" s="391"/>
      <c r="I3" s="391"/>
      <c r="J3" s="391"/>
      <c r="K3" s="391"/>
      <c r="L3" s="391"/>
      <c r="M3" s="391"/>
      <c r="N3" s="390"/>
      <c r="O3" s="390"/>
      <c r="P3" s="390"/>
    </row>
    <row r="4" spans="1:22" ht="75">
      <c r="A4" s="142" t="s">
        <v>1330</v>
      </c>
      <c r="B4" s="401"/>
      <c r="C4" s="403"/>
      <c r="D4" s="397" t="s">
        <v>1331</v>
      </c>
      <c r="E4" s="397" t="s">
        <v>1332</v>
      </c>
      <c r="F4" s="395" t="s">
        <v>1333</v>
      </c>
      <c r="G4" s="212" t="s">
        <v>1334</v>
      </c>
      <c r="H4" s="81" t="s">
        <v>1335</v>
      </c>
      <c r="I4" s="82"/>
      <c r="J4" s="22" t="s">
        <v>58</v>
      </c>
      <c r="K4" s="140"/>
      <c r="L4" s="140"/>
      <c r="M4" s="216" t="s">
        <v>1336</v>
      </c>
      <c r="N4" s="143"/>
      <c r="O4" s="18"/>
      <c r="P4" s="19"/>
      <c r="V4" s="24"/>
    </row>
    <row r="5" spans="1:22" ht="30">
      <c r="A5" s="142" t="s">
        <v>1337</v>
      </c>
      <c r="B5" s="402"/>
      <c r="C5" s="403"/>
      <c r="D5" s="397"/>
      <c r="E5" s="397"/>
      <c r="F5" s="395"/>
      <c r="G5" s="212" t="s">
        <v>1338</v>
      </c>
      <c r="H5" s="83" t="s">
        <v>1339</v>
      </c>
      <c r="I5" s="82"/>
      <c r="J5" s="22" t="s">
        <v>64</v>
      </c>
      <c r="K5" s="140"/>
      <c r="L5" s="140"/>
      <c r="M5" s="216" t="s">
        <v>1336</v>
      </c>
      <c r="N5" s="140"/>
      <c r="O5" s="19"/>
      <c r="P5" s="19"/>
      <c r="Q5" s="15"/>
      <c r="R5" s="15"/>
      <c r="S5" s="15"/>
      <c r="T5" s="24"/>
      <c r="U5" s="24"/>
      <c r="V5" s="24"/>
    </row>
    <row r="6" spans="1:22" ht="45">
      <c r="A6" s="142" t="s">
        <v>1340</v>
      </c>
      <c r="B6" s="402"/>
      <c r="C6" s="149"/>
      <c r="D6" s="397"/>
      <c r="E6" s="397"/>
      <c r="F6" s="173" t="s">
        <v>1341</v>
      </c>
      <c r="G6" s="213" t="s">
        <v>1342</v>
      </c>
      <c r="H6" s="96" t="s">
        <v>1343</v>
      </c>
      <c r="I6" s="210"/>
      <c r="J6" s="211" t="s">
        <v>1344</v>
      </c>
      <c r="K6" s="140"/>
      <c r="L6" s="140"/>
      <c r="M6" s="216" t="s">
        <v>1336</v>
      </c>
      <c r="N6" s="140"/>
      <c r="O6" s="19"/>
      <c r="P6" s="19"/>
      <c r="Q6" s="15"/>
      <c r="R6" s="15"/>
      <c r="S6" s="15"/>
      <c r="T6" s="24"/>
      <c r="U6" s="24"/>
      <c r="V6" s="24"/>
    </row>
    <row r="7" spans="1:22" ht="45">
      <c r="A7" s="142" t="s">
        <v>1345</v>
      </c>
      <c r="B7" s="402"/>
      <c r="C7" s="149"/>
      <c r="D7" s="397"/>
      <c r="E7" s="397"/>
      <c r="F7" s="173" t="s">
        <v>1346</v>
      </c>
      <c r="G7" s="213" t="s">
        <v>1347</v>
      </c>
      <c r="H7" s="96" t="s">
        <v>1348</v>
      </c>
      <c r="I7" s="210"/>
      <c r="J7" s="211" t="s">
        <v>1349</v>
      </c>
      <c r="K7" s="140"/>
      <c r="L7" s="140"/>
      <c r="M7" s="216" t="s">
        <v>1336</v>
      </c>
      <c r="N7" s="140"/>
      <c r="O7" s="19"/>
      <c r="P7" s="19"/>
      <c r="Q7" s="15"/>
      <c r="R7" s="15"/>
      <c r="S7" s="15"/>
      <c r="T7" s="24"/>
      <c r="U7" s="24"/>
      <c r="V7" s="24"/>
    </row>
    <row r="8" spans="1:22" ht="30">
      <c r="A8" s="142" t="s">
        <v>1350</v>
      </c>
      <c r="B8" s="402"/>
      <c r="C8" s="149"/>
      <c r="D8" s="397"/>
      <c r="E8" s="397"/>
      <c r="F8" s="173" t="s">
        <v>1351</v>
      </c>
      <c r="G8" s="213" t="s">
        <v>1352</v>
      </c>
      <c r="H8" s="96" t="s">
        <v>1353</v>
      </c>
      <c r="I8" s="210"/>
      <c r="J8" s="211" t="s">
        <v>1354</v>
      </c>
      <c r="K8" s="140"/>
      <c r="L8" s="140"/>
      <c r="M8" s="216" t="s">
        <v>1336</v>
      </c>
      <c r="N8" s="140"/>
      <c r="O8" s="19"/>
      <c r="P8" s="19"/>
      <c r="Q8" s="15"/>
      <c r="R8" s="15"/>
      <c r="S8" s="15"/>
      <c r="T8" s="24"/>
      <c r="U8" s="24"/>
      <c r="V8" s="24"/>
    </row>
    <row r="9" spans="1:22" ht="45">
      <c r="A9" s="151" t="s">
        <v>1355</v>
      </c>
      <c r="B9" s="402"/>
      <c r="C9" s="149"/>
      <c r="D9" s="398"/>
      <c r="E9" s="398"/>
      <c r="F9" s="209" t="s">
        <v>1356</v>
      </c>
      <c r="G9" s="213" t="s">
        <v>1357</v>
      </c>
      <c r="H9" s="96" t="s">
        <v>1358</v>
      </c>
      <c r="I9" s="214"/>
      <c r="J9" s="211" t="s">
        <v>1359</v>
      </c>
      <c r="K9" s="328"/>
      <c r="L9" s="328"/>
      <c r="M9" s="321" t="s">
        <v>1336</v>
      </c>
      <c r="N9" s="328"/>
      <c r="O9" s="87"/>
      <c r="P9" s="87"/>
      <c r="Q9" s="15"/>
      <c r="R9" s="15"/>
      <c r="S9" s="15"/>
      <c r="T9" s="24"/>
      <c r="U9" s="24"/>
      <c r="V9" s="24"/>
    </row>
    <row r="10" spans="1:22" ht="42.75" customHeight="1">
      <c r="A10" s="151" t="s">
        <v>1360</v>
      </c>
      <c r="B10" s="122"/>
      <c r="C10" s="122"/>
      <c r="D10" s="381" t="s">
        <v>1361</v>
      </c>
      <c r="E10" s="380" t="s">
        <v>1362</v>
      </c>
      <c r="F10" s="173"/>
      <c r="G10" s="173" t="s">
        <v>1363</v>
      </c>
      <c r="H10" s="122"/>
      <c r="I10" s="122"/>
      <c r="J10" s="122" t="s">
        <v>1364</v>
      </c>
      <c r="K10" s="122"/>
      <c r="L10" s="122"/>
      <c r="M10" s="321" t="s">
        <v>1336</v>
      </c>
      <c r="N10" s="122"/>
      <c r="O10" s="122"/>
      <c r="P10" s="122"/>
    </row>
    <row r="11" spans="1:22" ht="30">
      <c r="A11" s="151" t="s">
        <v>1365</v>
      </c>
      <c r="B11" s="122"/>
      <c r="C11" s="122"/>
      <c r="D11" s="387"/>
      <c r="E11" s="380"/>
      <c r="F11" s="173"/>
      <c r="G11" s="152" t="s">
        <v>1366</v>
      </c>
      <c r="H11" s="122"/>
      <c r="I11" s="122"/>
      <c r="J11" s="122" t="s">
        <v>1367</v>
      </c>
      <c r="K11" s="122"/>
      <c r="L11" s="122"/>
      <c r="M11" s="321" t="s">
        <v>1336</v>
      </c>
      <c r="N11" s="122"/>
      <c r="O11" s="122"/>
      <c r="P11" s="122"/>
    </row>
    <row r="12" spans="1:22" ht="30">
      <c r="A12" s="151" t="s">
        <v>1368</v>
      </c>
      <c r="B12" s="122"/>
      <c r="C12" s="122"/>
      <c r="D12" s="387"/>
      <c r="E12" s="380"/>
      <c r="F12" s="122"/>
      <c r="G12" s="152" t="s">
        <v>1369</v>
      </c>
      <c r="H12" s="122"/>
      <c r="I12" s="122"/>
      <c r="J12" s="122" t="s">
        <v>1370</v>
      </c>
      <c r="K12" s="122"/>
      <c r="L12" s="122"/>
      <c r="M12" s="321" t="s">
        <v>1336</v>
      </c>
      <c r="N12" s="122"/>
      <c r="O12" s="122"/>
      <c r="P12" s="122"/>
    </row>
    <row r="13" spans="1:22" ht="43.5" customHeight="1">
      <c r="A13" s="151" t="s">
        <v>1371</v>
      </c>
      <c r="B13" s="122"/>
      <c r="C13" s="122"/>
      <c r="D13" s="387"/>
      <c r="E13" s="389" t="s">
        <v>1372</v>
      </c>
      <c r="F13" s="122"/>
      <c r="G13" s="173" t="s">
        <v>1363</v>
      </c>
      <c r="H13" s="122"/>
      <c r="I13" s="122"/>
      <c r="J13" s="122" t="s">
        <v>1364</v>
      </c>
      <c r="K13" s="122"/>
      <c r="L13" s="122"/>
      <c r="M13" s="321" t="s">
        <v>1336</v>
      </c>
      <c r="N13" s="122"/>
      <c r="O13" s="122"/>
      <c r="P13" s="122"/>
    </row>
    <row r="14" spans="1:22" ht="30">
      <c r="A14" s="151" t="s">
        <v>1373</v>
      </c>
      <c r="B14" s="122"/>
      <c r="C14" s="122"/>
      <c r="D14" s="387"/>
      <c r="E14" s="389"/>
      <c r="F14" s="122"/>
      <c r="G14" s="152" t="s">
        <v>1366</v>
      </c>
      <c r="H14" s="122"/>
      <c r="I14" s="122"/>
      <c r="J14" s="122" t="s">
        <v>1367</v>
      </c>
      <c r="K14" s="122"/>
      <c r="L14" s="122"/>
      <c r="M14" s="321" t="s">
        <v>1336</v>
      </c>
      <c r="N14" s="122"/>
      <c r="O14" s="122"/>
      <c r="P14" s="122"/>
    </row>
    <row r="15" spans="1:22" ht="30">
      <c r="A15" s="151" t="s">
        <v>1374</v>
      </c>
      <c r="B15" s="122"/>
      <c r="C15" s="122"/>
      <c r="D15" s="388"/>
      <c r="E15" s="389"/>
      <c r="F15" s="122"/>
      <c r="G15" s="152" t="s">
        <v>1369</v>
      </c>
      <c r="H15" s="122"/>
      <c r="I15" s="122"/>
      <c r="J15" s="122" t="s">
        <v>1370</v>
      </c>
      <c r="K15" s="122"/>
      <c r="L15" s="122"/>
      <c r="M15" s="321" t="s">
        <v>1336</v>
      </c>
      <c r="N15" s="122"/>
      <c r="O15" s="122"/>
      <c r="P15" s="122"/>
    </row>
    <row r="16" spans="1:22" ht="57.75" customHeight="1">
      <c r="A16" s="142" t="s">
        <v>1375</v>
      </c>
      <c r="B16" s="224"/>
      <c r="C16" s="66"/>
      <c r="D16" s="397" t="s">
        <v>1376</v>
      </c>
      <c r="E16" s="397" t="s">
        <v>1377</v>
      </c>
      <c r="F16" s="221"/>
      <c r="G16" s="173" t="s">
        <v>1378</v>
      </c>
      <c r="H16" s="214"/>
      <c r="I16" s="214"/>
      <c r="J16" s="12" t="s">
        <v>71</v>
      </c>
      <c r="K16" s="140"/>
      <c r="L16" s="140"/>
      <c r="M16" s="216" t="s">
        <v>1336</v>
      </c>
      <c r="N16" s="140"/>
      <c r="O16" s="19"/>
      <c r="P16" s="19"/>
      <c r="Q16" s="15"/>
      <c r="R16" s="15"/>
      <c r="S16" s="15"/>
      <c r="T16" s="24"/>
      <c r="U16" s="24"/>
      <c r="V16" s="24"/>
    </row>
    <row r="17" spans="1:22" ht="45">
      <c r="A17" s="142" t="s">
        <v>1379</v>
      </c>
      <c r="B17" s="224"/>
      <c r="C17" s="66"/>
      <c r="D17" s="397"/>
      <c r="E17" s="397"/>
      <c r="F17" s="222"/>
      <c r="G17" s="223" t="s">
        <v>1380</v>
      </c>
      <c r="H17" s="214"/>
      <c r="I17" s="214"/>
      <c r="J17" s="29" t="s">
        <v>81</v>
      </c>
      <c r="K17" s="140"/>
      <c r="L17" s="140"/>
      <c r="M17" s="216" t="s">
        <v>1336</v>
      </c>
      <c r="N17" s="140"/>
      <c r="O17" s="19"/>
      <c r="P17" s="19"/>
      <c r="Q17" s="15"/>
      <c r="R17" s="15"/>
      <c r="S17" s="15"/>
      <c r="T17" s="24"/>
      <c r="U17" s="24"/>
      <c r="V17" s="24"/>
    </row>
    <row r="18" spans="1:22" ht="15.75">
      <c r="A18" s="142" t="s">
        <v>1381</v>
      </c>
      <c r="B18" s="224"/>
      <c r="C18" s="66"/>
      <c r="D18" s="397"/>
      <c r="E18" s="397"/>
      <c r="F18" s="120"/>
      <c r="G18" s="81" t="s">
        <v>92</v>
      </c>
      <c r="H18" s="214"/>
      <c r="I18" s="214"/>
      <c r="J18" s="12" t="s">
        <v>94</v>
      </c>
      <c r="K18" s="140"/>
      <c r="L18" s="140"/>
      <c r="M18" s="216" t="s">
        <v>1336</v>
      </c>
      <c r="N18" s="140"/>
      <c r="O18" s="19"/>
      <c r="P18" s="19"/>
      <c r="Q18" s="15"/>
      <c r="R18" s="15"/>
      <c r="S18" s="15"/>
      <c r="T18" s="24"/>
      <c r="U18" s="24"/>
      <c r="V18" s="24"/>
    </row>
    <row r="19" spans="1:22" ht="15.75">
      <c r="A19" s="142" t="s">
        <v>1382</v>
      </c>
      <c r="B19" s="224"/>
      <c r="C19" s="66"/>
      <c r="D19" s="397"/>
      <c r="E19" s="397"/>
      <c r="F19" s="221"/>
      <c r="G19" s="173" t="s">
        <v>1383</v>
      </c>
      <c r="H19" s="214"/>
      <c r="I19" s="214"/>
      <c r="J19" s="12" t="s">
        <v>94</v>
      </c>
      <c r="K19" s="140"/>
      <c r="L19" s="140"/>
      <c r="M19" s="216" t="s">
        <v>1336</v>
      </c>
      <c r="N19" s="140"/>
      <c r="O19" s="19"/>
      <c r="P19" s="19"/>
      <c r="Q19" s="15"/>
      <c r="R19" s="15"/>
      <c r="S19" s="15"/>
      <c r="T19" s="24"/>
      <c r="U19" s="24"/>
      <c r="V19" s="24"/>
    </row>
    <row r="20" spans="1:22" ht="15.75">
      <c r="A20" s="142" t="s">
        <v>1384</v>
      </c>
      <c r="B20" s="224"/>
      <c r="C20" s="66"/>
      <c r="D20" s="397"/>
      <c r="E20" s="397"/>
      <c r="F20" s="221"/>
      <c r="G20" s="218" t="s">
        <v>1385</v>
      </c>
      <c r="H20" s="214"/>
      <c r="I20" s="214"/>
      <c r="J20" s="22" t="s">
        <v>1386</v>
      </c>
      <c r="K20" s="140"/>
      <c r="L20" s="140"/>
      <c r="M20" s="216" t="s">
        <v>1336</v>
      </c>
      <c r="N20" s="140"/>
      <c r="O20" s="19"/>
      <c r="P20" s="19"/>
      <c r="Q20" s="15"/>
      <c r="R20" s="15"/>
      <c r="S20" s="15"/>
      <c r="T20" s="24"/>
      <c r="U20" s="24"/>
      <c r="V20" s="24"/>
    </row>
    <row r="21" spans="1:22" ht="30">
      <c r="A21" s="142" t="s">
        <v>1387</v>
      </c>
      <c r="B21" s="224"/>
      <c r="C21" s="66"/>
      <c r="D21" s="397"/>
      <c r="E21" s="397"/>
      <c r="F21" s="221"/>
      <c r="G21" s="218" t="s">
        <v>1388</v>
      </c>
      <c r="H21" s="214"/>
      <c r="I21" s="214"/>
      <c r="J21" s="22" t="s">
        <v>1389</v>
      </c>
      <c r="K21" s="140"/>
      <c r="L21" s="140"/>
      <c r="M21" s="216" t="s">
        <v>1336</v>
      </c>
      <c r="N21" s="140"/>
      <c r="O21" s="19"/>
      <c r="P21" s="19"/>
      <c r="Q21" s="15"/>
      <c r="R21" s="15"/>
      <c r="S21" s="15"/>
      <c r="T21" s="24"/>
      <c r="U21" s="24"/>
      <c r="V21" s="24"/>
    </row>
    <row r="22" spans="1:22" ht="45">
      <c r="A22" s="142" t="s">
        <v>1390</v>
      </c>
      <c r="B22" s="220"/>
      <c r="C22" s="219"/>
      <c r="D22" s="397" t="s">
        <v>1391</v>
      </c>
      <c r="E22" s="397" t="s">
        <v>1392</v>
      </c>
      <c r="F22" s="209"/>
      <c r="G22" s="223" t="s">
        <v>1380</v>
      </c>
      <c r="H22" s="214"/>
      <c r="I22" s="214"/>
      <c r="J22" s="29" t="s">
        <v>81</v>
      </c>
      <c r="K22" s="140"/>
      <c r="L22" s="140"/>
      <c r="M22" s="216" t="s">
        <v>1336</v>
      </c>
      <c r="N22" s="140"/>
      <c r="O22" s="19"/>
      <c r="P22" s="19"/>
      <c r="Q22" s="15"/>
      <c r="R22" s="15"/>
      <c r="S22" s="15"/>
      <c r="T22" s="24"/>
      <c r="U22" s="24"/>
      <c r="V22" s="24"/>
    </row>
    <row r="23" spans="1:22" ht="30">
      <c r="A23" s="142" t="s">
        <v>1393</v>
      </c>
      <c r="B23" s="220"/>
      <c r="C23" s="219"/>
      <c r="D23" s="397"/>
      <c r="E23" s="397"/>
      <c r="F23" s="209"/>
      <c r="G23" s="173" t="s">
        <v>1378</v>
      </c>
      <c r="H23" s="214"/>
      <c r="I23" s="214"/>
      <c r="J23" s="12" t="s">
        <v>71</v>
      </c>
      <c r="K23" s="140"/>
      <c r="L23" s="140"/>
      <c r="M23" s="216" t="s">
        <v>1336</v>
      </c>
      <c r="N23" s="140"/>
      <c r="O23" s="19"/>
      <c r="P23" s="19"/>
      <c r="Q23" s="15"/>
      <c r="R23" s="15"/>
      <c r="S23" s="15"/>
      <c r="T23" s="24"/>
      <c r="U23" s="24"/>
      <c r="V23" s="24"/>
    </row>
    <row r="24" spans="1:22" ht="15.75">
      <c r="A24" s="142" t="s">
        <v>1394</v>
      </c>
      <c r="B24" s="220"/>
      <c r="C24" s="68"/>
      <c r="D24" s="397"/>
      <c r="E24" s="397"/>
      <c r="F24" s="209"/>
      <c r="G24" t="s">
        <v>1385</v>
      </c>
      <c r="H24" s="214"/>
      <c r="I24" s="214"/>
      <c r="J24" s="22" t="s">
        <v>1386</v>
      </c>
      <c r="K24" s="140"/>
      <c r="L24" s="140"/>
      <c r="M24" s="216" t="s">
        <v>1336</v>
      </c>
      <c r="N24" s="140"/>
      <c r="O24" s="19"/>
      <c r="P24" s="19"/>
      <c r="Q24" s="15"/>
      <c r="R24" s="15"/>
      <c r="S24" s="15"/>
      <c r="T24" s="24"/>
      <c r="U24" s="24"/>
      <c r="V24" s="24"/>
    </row>
    <row r="25" spans="1:22" ht="15.75">
      <c r="A25" s="142" t="s">
        <v>1395</v>
      </c>
      <c r="B25" s="220"/>
      <c r="C25" s="68"/>
      <c r="D25" s="397"/>
      <c r="E25" s="397"/>
      <c r="F25" s="209"/>
      <c r="G25" s="96" t="s">
        <v>1396</v>
      </c>
      <c r="H25" s="214"/>
      <c r="I25" s="214"/>
      <c r="J25" s="22" t="s">
        <v>1397</v>
      </c>
      <c r="K25" s="140"/>
      <c r="L25" s="140"/>
      <c r="M25" s="216" t="s">
        <v>1336</v>
      </c>
      <c r="N25" s="140"/>
      <c r="O25" s="19"/>
      <c r="P25" s="19"/>
      <c r="Q25" s="15"/>
      <c r="R25" s="15"/>
      <c r="S25" s="15"/>
      <c r="T25" s="24"/>
      <c r="U25" s="24"/>
      <c r="V25" s="24"/>
    </row>
    <row r="26" spans="1:22" ht="30">
      <c r="A26" s="142" t="s">
        <v>1398</v>
      </c>
      <c r="B26" s="220"/>
      <c r="C26" s="68"/>
      <c r="D26" s="397"/>
      <c r="E26" s="397"/>
      <c r="F26" s="209"/>
      <c r="G26" s="228" t="s">
        <v>1388</v>
      </c>
      <c r="H26" s="82"/>
      <c r="I26" s="225"/>
      <c r="J26" s="22" t="s">
        <v>1389</v>
      </c>
      <c r="K26" s="140"/>
      <c r="L26" s="140"/>
      <c r="M26" s="216" t="s">
        <v>1336</v>
      </c>
      <c r="N26" s="140"/>
      <c r="O26" s="19"/>
      <c r="P26" s="19"/>
      <c r="Q26" s="15"/>
      <c r="R26" s="15"/>
      <c r="S26" s="15"/>
      <c r="T26" s="24"/>
      <c r="U26" s="24"/>
      <c r="V26" s="24"/>
    </row>
    <row r="27" spans="1:22" ht="45">
      <c r="A27" s="142" t="s">
        <v>1399</v>
      </c>
      <c r="B27" s="220"/>
      <c r="C27" s="68"/>
      <c r="D27" s="397" t="s">
        <v>192</v>
      </c>
      <c r="E27" s="397" t="s">
        <v>1400</v>
      </c>
      <c r="F27" s="209"/>
      <c r="G27" s="229" t="s">
        <v>1380</v>
      </c>
      <c r="H27" s="82"/>
      <c r="I27" s="225"/>
      <c r="J27" s="29" t="s">
        <v>81</v>
      </c>
      <c r="K27" s="140"/>
      <c r="L27" s="140"/>
      <c r="M27" s="216" t="s">
        <v>1336</v>
      </c>
      <c r="N27" s="140"/>
      <c r="O27" s="19"/>
      <c r="P27" s="19"/>
      <c r="Q27" s="15"/>
      <c r="R27" s="15"/>
      <c r="S27" s="15"/>
      <c r="T27" s="24"/>
      <c r="U27" s="24"/>
      <c r="V27" s="24"/>
    </row>
    <row r="28" spans="1:22" ht="30">
      <c r="A28" s="142" t="s">
        <v>1401</v>
      </c>
      <c r="B28" s="220"/>
      <c r="C28" s="68"/>
      <c r="D28" s="397"/>
      <c r="E28" s="397"/>
      <c r="F28" s="209"/>
      <c r="G28" s="173" t="s">
        <v>1378</v>
      </c>
      <c r="H28" s="214"/>
      <c r="I28" s="214"/>
      <c r="J28" s="12" t="s">
        <v>71</v>
      </c>
      <c r="K28" s="140"/>
      <c r="L28" s="140"/>
      <c r="M28" s="216" t="s">
        <v>1336</v>
      </c>
      <c r="N28" s="140"/>
      <c r="O28" s="19"/>
      <c r="P28" s="19"/>
      <c r="Q28" s="15"/>
      <c r="R28" s="15"/>
      <c r="S28" s="15"/>
      <c r="T28" s="24"/>
      <c r="U28" s="24"/>
      <c r="V28" s="24"/>
    </row>
    <row r="29" spans="1:22" ht="15.75">
      <c r="A29" s="142" t="s">
        <v>1402</v>
      </c>
      <c r="B29" s="220"/>
      <c r="C29" s="68"/>
      <c r="D29" s="397"/>
      <c r="E29" s="397"/>
      <c r="F29" s="209"/>
      <c r="G29" s="122" t="s">
        <v>1403</v>
      </c>
      <c r="H29" s="214"/>
      <c r="I29" s="225"/>
      <c r="J29" s="22" t="s">
        <v>1386</v>
      </c>
      <c r="K29" s="140"/>
      <c r="L29" s="140"/>
      <c r="M29" s="216" t="s">
        <v>1336</v>
      </c>
      <c r="N29" s="140"/>
      <c r="O29" s="19"/>
      <c r="P29" s="19"/>
      <c r="Q29" s="15"/>
      <c r="R29" s="15"/>
      <c r="S29" s="15"/>
      <c r="T29" s="24"/>
      <c r="U29" s="24"/>
      <c r="V29" s="24"/>
    </row>
    <row r="30" spans="1:22" ht="15.75">
      <c r="A30" s="142" t="s">
        <v>1404</v>
      </c>
      <c r="B30" s="220"/>
      <c r="C30" s="68"/>
      <c r="D30" s="397"/>
      <c r="E30" s="397"/>
      <c r="F30" s="209"/>
      <c r="G30" s="227" t="s">
        <v>1396</v>
      </c>
      <c r="H30" s="214"/>
      <c r="I30" s="214"/>
      <c r="J30" s="22" t="s">
        <v>1397</v>
      </c>
      <c r="K30" s="140"/>
      <c r="L30" s="140"/>
      <c r="M30" s="216" t="s">
        <v>1336</v>
      </c>
      <c r="N30" s="140"/>
      <c r="O30" s="19"/>
      <c r="P30" s="19"/>
      <c r="Q30" s="15"/>
      <c r="R30" s="15"/>
      <c r="S30" s="15"/>
      <c r="T30" s="24"/>
      <c r="U30" s="24"/>
      <c r="V30" s="24"/>
    </row>
    <row r="31" spans="1:22" ht="30">
      <c r="A31" s="142" t="s">
        <v>1405</v>
      </c>
      <c r="B31" s="220"/>
      <c r="C31" s="68"/>
      <c r="D31" s="398"/>
      <c r="E31" s="398"/>
      <c r="F31" s="209"/>
      <c r="G31" s="96" t="s">
        <v>1388</v>
      </c>
      <c r="H31" s="214"/>
      <c r="I31" s="214"/>
      <c r="J31" s="211" t="s">
        <v>1389</v>
      </c>
      <c r="K31" s="140"/>
      <c r="L31" s="140"/>
      <c r="M31" s="216" t="s">
        <v>1336</v>
      </c>
      <c r="N31" s="140"/>
      <c r="O31" s="19"/>
      <c r="P31" s="19"/>
      <c r="Q31" s="15"/>
      <c r="R31" s="15"/>
      <c r="S31" s="15"/>
      <c r="T31" s="24"/>
      <c r="U31" s="24"/>
      <c r="V31" s="24"/>
    </row>
    <row r="32" spans="1:22" ht="15.75">
      <c r="A32" s="151" t="s">
        <v>1406</v>
      </c>
      <c r="B32" s="326"/>
      <c r="C32" s="325"/>
      <c r="D32" s="381" t="s">
        <v>1407</v>
      </c>
      <c r="E32" s="381" t="s">
        <v>1408</v>
      </c>
      <c r="F32" s="221"/>
      <c r="G32" s="173" t="s">
        <v>1378</v>
      </c>
      <c r="H32" s="323"/>
      <c r="I32" s="323"/>
      <c r="J32" s="122" t="s">
        <v>1364</v>
      </c>
      <c r="K32" s="322"/>
      <c r="L32" s="322"/>
      <c r="M32" s="321" t="s">
        <v>1336</v>
      </c>
      <c r="N32" s="322"/>
      <c r="O32" s="305"/>
      <c r="P32" s="305"/>
      <c r="Q32" s="320"/>
      <c r="R32" s="320"/>
      <c r="S32" s="320"/>
      <c r="T32" s="319"/>
      <c r="U32" s="319"/>
      <c r="V32" s="319"/>
    </row>
    <row r="33" spans="1:22" ht="30">
      <c r="A33" s="151" t="s">
        <v>1409</v>
      </c>
      <c r="B33" s="326"/>
      <c r="C33" s="325"/>
      <c r="D33" s="387"/>
      <c r="E33" s="387"/>
      <c r="F33" s="221"/>
      <c r="G33" s="324" t="s">
        <v>1410</v>
      </c>
      <c r="H33" s="323"/>
      <c r="I33" s="323"/>
      <c r="J33" s="155" t="s">
        <v>1411</v>
      </c>
      <c r="K33" s="322"/>
      <c r="L33" s="322"/>
      <c r="M33" s="321" t="s">
        <v>1336</v>
      </c>
      <c r="N33" s="322"/>
      <c r="O33" s="305"/>
      <c r="P33" s="305"/>
      <c r="Q33" s="320"/>
      <c r="R33" s="320"/>
      <c r="S33" s="320"/>
      <c r="T33" s="319"/>
      <c r="U33" s="319"/>
      <c r="V33" s="319"/>
    </row>
    <row r="34" spans="1:22" ht="30">
      <c r="A34" s="151" t="s">
        <v>1412</v>
      </c>
      <c r="B34" s="326"/>
      <c r="C34" s="325"/>
      <c r="D34" s="388"/>
      <c r="E34" s="388"/>
      <c r="F34" s="221"/>
      <c r="G34" s="324" t="s">
        <v>1413</v>
      </c>
      <c r="H34" s="323"/>
      <c r="I34" s="323"/>
      <c r="J34" s="155" t="s">
        <v>1411</v>
      </c>
      <c r="K34" s="322"/>
      <c r="L34" s="322"/>
      <c r="M34" s="321" t="s">
        <v>1336</v>
      </c>
      <c r="N34" s="322"/>
      <c r="O34" s="305"/>
      <c r="P34" s="305"/>
      <c r="Q34" s="320"/>
      <c r="R34" s="320"/>
      <c r="S34" s="320"/>
      <c r="T34" s="319"/>
      <c r="U34" s="319"/>
      <c r="V34" s="319"/>
    </row>
    <row r="35" spans="1:22" ht="30">
      <c r="A35" s="142" t="s">
        <v>1414</v>
      </c>
      <c r="B35" s="220"/>
      <c r="C35" s="149"/>
      <c r="D35" s="396" t="s">
        <v>1415</v>
      </c>
      <c r="E35" s="383" t="s">
        <v>1362</v>
      </c>
      <c r="F35" s="173"/>
      <c r="G35" s="221" t="s">
        <v>1416</v>
      </c>
      <c r="H35" s="214"/>
      <c r="I35" s="214"/>
      <c r="J35" s="338" t="s">
        <v>71</v>
      </c>
      <c r="K35" s="140"/>
      <c r="L35" s="140"/>
      <c r="M35" s="216" t="s">
        <v>1336</v>
      </c>
      <c r="N35" s="140"/>
      <c r="O35" s="19"/>
      <c r="P35" s="19"/>
      <c r="Q35" s="15"/>
      <c r="R35" s="15"/>
      <c r="S35" s="15"/>
      <c r="T35" s="24"/>
      <c r="U35" s="24"/>
      <c r="V35" s="24"/>
    </row>
    <row r="36" spans="1:22" ht="30">
      <c r="A36" s="142" t="s">
        <v>1417</v>
      </c>
      <c r="B36" s="220"/>
      <c r="C36" s="149"/>
      <c r="D36" s="397"/>
      <c r="E36" s="384"/>
      <c r="F36" s="173"/>
      <c r="G36" s="221" t="s">
        <v>1418</v>
      </c>
      <c r="H36" s="214"/>
      <c r="I36" s="214"/>
      <c r="J36" s="12" t="s">
        <v>71</v>
      </c>
      <c r="K36" s="140"/>
      <c r="L36" s="140"/>
      <c r="M36" s="216" t="s">
        <v>1336</v>
      </c>
      <c r="N36" s="140"/>
      <c r="O36" s="19"/>
      <c r="P36" s="19"/>
      <c r="Q36" s="15"/>
      <c r="R36" s="15"/>
      <c r="S36" s="15"/>
      <c r="T36" s="24"/>
      <c r="U36" s="24"/>
      <c r="V36" s="24"/>
    </row>
    <row r="37" spans="1:22" ht="15.75">
      <c r="A37" s="142" t="s">
        <v>1419</v>
      </c>
      <c r="B37" s="220"/>
      <c r="C37" s="149"/>
      <c r="D37" s="397"/>
      <c r="E37" s="384"/>
      <c r="F37" s="81"/>
      <c r="G37" s="120" t="s">
        <v>92</v>
      </c>
      <c r="H37" s="214"/>
      <c r="I37" s="214"/>
      <c r="J37" s="12" t="s">
        <v>94</v>
      </c>
      <c r="K37" s="140"/>
      <c r="L37" s="140"/>
      <c r="M37" s="216" t="s">
        <v>1336</v>
      </c>
      <c r="N37" s="140"/>
      <c r="O37" s="19"/>
      <c r="P37" s="19"/>
      <c r="Q37" s="15"/>
      <c r="R37" s="15"/>
      <c r="S37" s="15"/>
      <c r="T37" s="24"/>
      <c r="U37" s="24"/>
      <c r="V37" s="24"/>
    </row>
    <row r="38" spans="1:22" ht="15.75">
      <c r="A38" s="142" t="s">
        <v>1420</v>
      </c>
      <c r="B38" s="220"/>
      <c r="C38" s="149"/>
      <c r="D38" s="397"/>
      <c r="E38" s="384"/>
      <c r="F38" s="173"/>
      <c r="G38" s="221" t="s">
        <v>1383</v>
      </c>
      <c r="H38" s="214"/>
      <c r="I38" s="214"/>
      <c r="J38" s="12" t="s">
        <v>94</v>
      </c>
      <c r="K38" s="140"/>
      <c r="L38" s="140"/>
      <c r="M38" s="216" t="s">
        <v>1336</v>
      </c>
      <c r="N38" s="140"/>
      <c r="O38" s="19"/>
      <c r="P38" s="19"/>
      <c r="Q38" s="15"/>
      <c r="R38" s="15"/>
      <c r="S38" s="15"/>
      <c r="T38" s="24"/>
      <c r="U38" s="24"/>
      <c r="V38" s="24"/>
    </row>
    <row r="39" spans="1:22" ht="15.75">
      <c r="A39" s="142" t="s">
        <v>1421</v>
      </c>
      <c r="B39" s="220"/>
      <c r="C39" s="149"/>
      <c r="D39" s="397"/>
      <c r="E39" s="384"/>
      <c r="F39" s="173"/>
      <c r="G39" s="221" t="s">
        <v>1422</v>
      </c>
      <c r="H39" s="214"/>
      <c r="I39" s="214"/>
      <c r="J39" s="22" t="s">
        <v>1367</v>
      </c>
      <c r="K39" s="140"/>
      <c r="L39" s="140"/>
      <c r="M39" s="216" t="s">
        <v>1336</v>
      </c>
      <c r="N39" s="140"/>
      <c r="O39" s="19"/>
      <c r="P39" s="19"/>
      <c r="Q39" s="15"/>
      <c r="R39" s="15"/>
      <c r="S39" s="15"/>
      <c r="T39" s="24"/>
      <c r="U39" s="24"/>
      <c r="V39" s="24"/>
    </row>
    <row r="40" spans="1:22" ht="15.75">
      <c r="A40" s="142" t="s">
        <v>1423</v>
      </c>
      <c r="B40" s="220"/>
      <c r="C40" s="149"/>
      <c r="D40" s="398"/>
      <c r="E40" s="385"/>
      <c r="F40" s="173"/>
      <c r="G40" s="221" t="s">
        <v>1424</v>
      </c>
      <c r="H40" s="214"/>
      <c r="I40" s="214"/>
      <c r="J40" s="22" t="s">
        <v>1425</v>
      </c>
      <c r="K40" s="140"/>
      <c r="L40" s="140"/>
      <c r="M40" s="216" t="s">
        <v>1336</v>
      </c>
      <c r="N40" s="140"/>
      <c r="O40" s="19"/>
      <c r="P40" s="19"/>
      <c r="Q40" s="15"/>
      <c r="R40" s="15"/>
      <c r="S40" s="15"/>
      <c r="T40" s="24"/>
      <c r="U40" s="24"/>
      <c r="V40" s="24"/>
    </row>
    <row r="41" spans="1:22" ht="45">
      <c r="A41" s="142" t="s">
        <v>1426</v>
      </c>
      <c r="B41" s="220"/>
      <c r="C41" s="149"/>
      <c r="D41" s="397" t="s">
        <v>257</v>
      </c>
      <c r="E41" s="397" t="s">
        <v>1427</v>
      </c>
      <c r="F41" s="221"/>
      <c r="G41" s="229" t="s">
        <v>1380</v>
      </c>
      <c r="H41" s="214"/>
      <c r="I41" s="214"/>
      <c r="J41" s="29" t="s">
        <v>81</v>
      </c>
      <c r="K41" s="140"/>
      <c r="L41" s="140"/>
      <c r="M41" s="216" t="s">
        <v>1336</v>
      </c>
      <c r="N41" s="140"/>
      <c r="O41" s="19"/>
      <c r="P41" s="19"/>
      <c r="Q41" s="15"/>
      <c r="R41" s="15"/>
      <c r="S41" s="15"/>
      <c r="T41" s="24"/>
      <c r="U41" s="24"/>
      <c r="V41" s="24"/>
    </row>
    <row r="42" spans="1:22" ht="30">
      <c r="A42" s="142" t="s">
        <v>1428</v>
      </c>
      <c r="B42" s="220"/>
      <c r="C42" s="149"/>
      <c r="D42" s="397"/>
      <c r="E42" s="397"/>
      <c r="F42" s="221"/>
      <c r="G42" s="173" t="s">
        <v>1429</v>
      </c>
      <c r="H42" s="214"/>
      <c r="I42" s="214"/>
      <c r="J42" s="12" t="s">
        <v>71</v>
      </c>
      <c r="K42" s="140"/>
      <c r="L42" s="140"/>
      <c r="M42" s="216" t="s">
        <v>1336</v>
      </c>
      <c r="N42" s="140"/>
      <c r="O42" s="19"/>
      <c r="P42" s="19"/>
      <c r="Q42" s="15"/>
      <c r="R42" s="15"/>
      <c r="S42" s="15"/>
      <c r="T42" s="24"/>
      <c r="U42" s="24"/>
      <c r="V42" s="24"/>
    </row>
    <row r="43" spans="1:22" ht="15.75">
      <c r="A43" s="142" t="s">
        <v>1430</v>
      </c>
      <c r="B43" s="220"/>
      <c r="C43" s="149"/>
      <c r="D43" s="398"/>
      <c r="E43" s="398"/>
      <c r="F43" s="221"/>
      <c r="G43" s="213" t="s">
        <v>1431</v>
      </c>
      <c r="H43" s="96"/>
      <c r="I43" s="214"/>
      <c r="J43" s="22" t="s">
        <v>1432</v>
      </c>
      <c r="K43" s="140"/>
      <c r="L43" s="140"/>
      <c r="M43" s="216" t="s">
        <v>1336</v>
      </c>
      <c r="N43" s="140"/>
      <c r="O43" s="19"/>
      <c r="P43" s="19"/>
      <c r="Q43" s="15"/>
      <c r="R43" s="15"/>
      <c r="S43" s="15"/>
      <c r="T43" s="24"/>
      <c r="U43" s="24"/>
      <c r="V43" s="24"/>
    </row>
    <row r="44" spans="1:22" ht="30">
      <c r="A44" s="142" t="s">
        <v>1433</v>
      </c>
      <c r="B44" s="220"/>
      <c r="C44" s="149"/>
      <c r="D44" s="397" t="s">
        <v>34</v>
      </c>
      <c r="E44" s="399" t="s">
        <v>1434</v>
      </c>
      <c r="F44" s="221"/>
      <c r="G44" s="173" t="s">
        <v>1429</v>
      </c>
      <c r="H44" s="214"/>
      <c r="I44" s="214"/>
      <c r="J44" s="12" t="s">
        <v>71</v>
      </c>
      <c r="K44" s="140"/>
      <c r="L44" s="140"/>
      <c r="M44" s="216" t="s">
        <v>1336</v>
      </c>
      <c r="N44" s="140"/>
      <c r="O44" s="19"/>
      <c r="P44" s="19"/>
      <c r="Q44" s="15"/>
      <c r="R44" s="15"/>
      <c r="S44" s="15"/>
      <c r="T44" s="24"/>
      <c r="U44" s="24"/>
      <c r="V44" s="24"/>
    </row>
    <row r="45" spans="1:22" ht="30">
      <c r="A45" s="142" t="s">
        <v>1435</v>
      </c>
      <c r="B45" s="220"/>
      <c r="C45" s="149"/>
      <c r="D45" s="397"/>
      <c r="E45" s="399"/>
      <c r="F45" s="221"/>
      <c r="G45" s="213" t="s">
        <v>160</v>
      </c>
      <c r="H45" s="96"/>
      <c r="I45" s="214"/>
      <c r="J45" s="22" t="s">
        <v>1436</v>
      </c>
      <c r="K45" s="140"/>
      <c r="L45" s="140"/>
      <c r="M45" s="216" t="s">
        <v>1336</v>
      </c>
      <c r="N45" s="140"/>
      <c r="O45" s="19"/>
      <c r="P45" s="19"/>
      <c r="Q45" s="15"/>
      <c r="R45" s="15"/>
      <c r="S45" s="15"/>
      <c r="T45" s="24"/>
      <c r="U45" s="24"/>
      <c r="V45" s="24"/>
    </row>
    <row r="46" spans="1:22" ht="15.75">
      <c r="A46" s="142" t="s">
        <v>1437</v>
      </c>
      <c r="B46" s="220"/>
      <c r="C46" s="149"/>
      <c r="D46" s="397"/>
      <c r="E46" s="399"/>
      <c r="F46" s="221"/>
      <c r="G46" s="213" t="s">
        <v>1438</v>
      </c>
      <c r="H46" s="96"/>
      <c r="I46" s="214"/>
      <c r="J46" s="22" t="s">
        <v>1439</v>
      </c>
      <c r="K46" s="140"/>
      <c r="L46" s="140"/>
      <c r="M46" s="216" t="s">
        <v>1336</v>
      </c>
      <c r="N46" s="140"/>
      <c r="O46" s="19"/>
      <c r="P46" s="19"/>
      <c r="Q46" s="15"/>
      <c r="R46" s="15"/>
      <c r="S46" s="15"/>
      <c r="T46" s="24"/>
      <c r="U46" s="24"/>
      <c r="V46" s="24"/>
    </row>
    <row r="47" spans="1:22" ht="30">
      <c r="A47" s="142" t="s">
        <v>1440</v>
      </c>
      <c r="B47" s="220"/>
      <c r="C47" s="149"/>
      <c r="D47" s="397"/>
      <c r="E47" s="399"/>
      <c r="F47" s="221"/>
      <c r="G47" s="213" t="s">
        <v>1441</v>
      </c>
      <c r="H47" s="96"/>
      <c r="I47" s="214"/>
      <c r="J47" s="22" t="s">
        <v>1442</v>
      </c>
      <c r="K47" s="140"/>
      <c r="L47" s="140"/>
      <c r="M47" s="216" t="s">
        <v>1336</v>
      </c>
      <c r="N47" s="140"/>
      <c r="O47" s="19"/>
      <c r="P47" s="19"/>
      <c r="Q47" s="15"/>
      <c r="R47" s="15"/>
      <c r="S47" s="15"/>
      <c r="T47" s="24"/>
      <c r="U47" s="24"/>
      <c r="V47" s="24"/>
    </row>
    <row r="48" spans="1:22" ht="30">
      <c r="A48" s="142" t="s">
        <v>1443</v>
      </c>
      <c r="B48" s="220"/>
      <c r="C48" s="149"/>
      <c r="D48" s="397"/>
      <c r="E48" s="399" t="s">
        <v>1444</v>
      </c>
      <c r="F48" s="221"/>
      <c r="G48" s="173" t="s">
        <v>1429</v>
      </c>
      <c r="H48" s="214"/>
      <c r="I48" s="214"/>
      <c r="J48" s="12" t="s">
        <v>71</v>
      </c>
      <c r="K48" s="140"/>
      <c r="L48" s="140"/>
      <c r="M48" s="216" t="s">
        <v>1336</v>
      </c>
      <c r="N48" s="140"/>
      <c r="O48" s="19"/>
      <c r="P48" s="19"/>
      <c r="Q48" s="15"/>
      <c r="R48" s="15"/>
      <c r="S48" s="15"/>
      <c r="T48" s="24"/>
      <c r="U48" s="24"/>
      <c r="V48" s="24"/>
    </row>
    <row r="49" spans="1:22" ht="30">
      <c r="A49" s="142" t="s">
        <v>1445</v>
      </c>
      <c r="B49" s="220"/>
      <c r="C49" s="149"/>
      <c r="D49" s="397"/>
      <c r="E49" s="399"/>
      <c r="F49" s="221"/>
      <c r="G49" s="213" t="s">
        <v>160</v>
      </c>
      <c r="H49" s="96"/>
      <c r="I49" s="214"/>
      <c r="J49" s="22" t="s">
        <v>1436</v>
      </c>
      <c r="K49" s="140"/>
      <c r="L49" s="140"/>
      <c r="M49" s="216" t="s">
        <v>1336</v>
      </c>
      <c r="N49" s="140"/>
      <c r="O49" s="19"/>
      <c r="P49" s="19"/>
      <c r="Q49" s="15"/>
      <c r="R49" s="15"/>
      <c r="S49" s="15"/>
      <c r="T49" s="24"/>
      <c r="U49" s="24"/>
      <c r="V49" s="24"/>
    </row>
    <row r="50" spans="1:22" ht="30">
      <c r="A50" s="142" t="s">
        <v>1446</v>
      </c>
      <c r="B50" s="220"/>
      <c r="C50" s="149"/>
      <c r="D50" s="397"/>
      <c r="E50" s="399"/>
      <c r="F50" s="221"/>
      <c r="G50" s="213" t="s">
        <v>1447</v>
      </c>
      <c r="H50" s="96"/>
      <c r="I50" s="214"/>
      <c r="J50" s="22" t="s">
        <v>1448</v>
      </c>
      <c r="K50" s="140"/>
      <c r="L50" s="140"/>
      <c r="M50" s="216" t="s">
        <v>1336</v>
      </c>
      <c r="N50" s="140"/>
      <c r="O50" s="19"/>
      <c r="P50" s="19"/>
      <c r="Q50" s="15"/>
      <c r="R50" s="15"/>
      <c r="S50" s="15"/>
      <c r="T50" s="24"/>
      <c r="U50" s="24"/>
      <c r="V50" s="24"/>
    </row>
    <row r="51" spans="1:22" ht="15.75">
      <c r="A51" s="142" t="s">
        <v>1449</v>
      </c>
      <c r="B51" s="220"/>
      <c r="C51" s="149"/>
      <c r="D51" s="397"/>
      <c r="E51" s="399" t="s">
        <v>1450</v>
      </c>
      <c r="F51" s="221"/>
      <c r="G51" s="173" t="s">
        <v>1429</v>
      </c>
      <c r="H51" s="96"/>
      <c r="I51" s="214"/>
      <c r="J51" s="122" t="s">
        <v>1364</v>
      </c>
      <c r="K51" s="140"/>
      <c r="L51" s="140"/>
      <c r="M51" s="216" t="s">
        <v>1336</v>
      </c>
      <c r="N51" s="140"/>
      <c r="O51" s="19"/>
      <c r="P51" s="19"/>
      <c r="Q51" s="15"/>
      <c r="R51" s="15"/>
      <c r="S51" s="15"/>
      <c r="T51" s="24"/>
      <c r="U51" s="24"/>
      <c r="V51" s="24"/>
    </row>
    <row r="52" spans="1:22" ht="15.75">
      <c r="A52" s="142" t="s">
        <v>1451</v>
      </c>
      <c r="B52" s="220"/>
      <c r="C52" s="149"/>
      <c r="D52" s="398"/>
      <c r="E52" s="400"/>
      <c r="F52" s="221"/>
      <c r="G52" s="213" t="s">
        <v>160</v>
      </c>
      <c r="H52" s="96"/>
      <c r="I52" s="214"/>
      <c r="J52" s="22"/>
      <c r="K52" s="140"/>
      <c r="L52" s="140"/>
      <c r="M52" s="216" t="s">
        <v>1336</v>
      </c>
      <c r="N52" s="140"/>
      <c r="O52" s="19"/>
      <c r="P52" s="19"/>
      <c r="Q52" s="15"/>
      <c r="R52" s="15"/>
      <c r="S52" s="15"/>
      <c r="T52" s="24"/>
      <c r="U52" s="24"/>
      <c r="V52" s="24"/>
    </row>
    <row r="53" spans="1:22" ht="43.5" customHeight="1">
      <c r="A53" s="142" t="s">
        <v>1452</v>
      </c>
      <c r="B53" s="220"/>
      <c r="C53" s="149"/>
      <c r="D53" s="380" t="s">
        <v>1453</v>
      </c>
      <c r="E53" s="380" t="s">
        <v>1454</v>
      </c>
      <c r="F53" s="173"/>
      <c r="G53" s="213" t="s">
        <v>1455</v>
      </c>
      <c r="H53" s="96"/>
      <c r="I53" s="214"/>
      <c r="J53" s="122" t="s">
        <v>1364</v>
      </c>
      <c r="K53" s="140"/>
      <c r="L53" s="140"/>
      <c r="M53" s="216" t="s">
        <v>1336</v>
      </c>
      <c r="N53" s="140"/>
      <c r="O53" s="19"/>
      <c r="P53" s="19"/>
      <c r="Q53" s="15"/>
      <c r="R53" s="15"/>
      <c r="S53" s="15"/>
      <c r="T53" s="24"/>
      <c r="U53" s="24"/>
      <c r="V53" s="24"/>
    </row>
    <row r="54" spans="1:22" ht="30">
      <c r="A54" s="142" t="s">
        <v>1456</v>
      </c>
      <c r="B54" s="220"/>
      <c r="C54" s="149"/>
      <c r="D54" s="380"/>
      <c r="E54" s="380"/>
      <c r="F54" s="173"/>
      <c r="G54" s="213" t="s">
        <v>1457</v>
      </c>
      <c r="H54" s="96"/>
      <c r="I54" s="214"/>
      <c r="J54" s="122" t="s">
        <v>1367</v>
      </c>
      <c r="K54" s="140"/>
      <c r="L54" s="140"/>
      <c r="M54" s="216" t="s">
        <v>1336</v>
      </c>
      <c r="N54" s="140"/>
      <c r="O54" s="19"/>
      <c r="P54" s="19"/>
      <c r="Q54" s="15"/>
      <c r="R54" s="15"/>
      <c r="S54" s="15"/>
      <c r="T54" s="24"/>
      <c r="U54" s="24"/>
      <c r="V54" s="24"/>
    </row>
    <row r="55" spans="1:22" ht="30">
      <c r="A55" s="142" t="s">
        <v>1458</v>
      </c>
      <c r="B55" s="220"/>
      <c r="C55" s="149"/>
      <c r="D55" s="380"/>
      <c r="E55" s="380"/>
      <c r="F55" s="173"/>
      <c r="G55" s="213" t="s">
        <v>1459</v>
      </c>
      <c r="H55" s="96"/>
      <c r="I55" s="214"/>
      <c r="J55" s="122" t="s">
        <v>1370</v>
      </c>
      <c r="K55" s="140"/>
      <c r="L55" s="140"/>
      <c r="M55" s="216" t="s">
        <v>1336</v>
      </c>
      <c r="N55" s="140"/>
      <c r="O55" s="19"/>
      <c r="P55" s="19"/>
      <c r="Q55" s="15"/>
      <c r="R55" s="15"/>
      <c r="S55" s="15"/>
      <c r="T55" s="24"/>
      <c r="U55" s="24"/>
      <c r="V55" s="24"/>
    </row>
    <row r="56" spans="1:22" ht="43.5" customHeight="1">
      <c r="A56" s="142" t="s">
        <v>1460</v>
      </c>
      <c r="B56" s="220"/>
      <c r="C56" s="149"/>
      <c r="D56" s="380"/>
      <c r="E56" s="380" t="s">
        <v>1461</v>
      </c>
      <c r="F56" s="173"/>
      <c r="G56" s="213" t="s">
        <v>1462</v>
      </c>
      <c r="H56" s="96"/>
      <c r="I56" s="214"/>
      <c r="J56" s="122" t="s">
        <v>1364</v>
      </c>
      <c r="K56" s="140"/>
      <c r="L56" s="140"/>
      <c r="M56" s="216" t="s">
        <v>1336</v>
      </c>
      <c r="N56" s="140"/>
      <c r="O56" s="19"/>
      <c r="P56" s="19"/>
      <c r="Q56" s="15"/>
      <c r="R56" s="15"/>
      <c r="S56" s="15"/>
      <c r="T56" s="24"/>
      <c r="U56" s="24"/>
      <c r="V56" s="24"/>
    </row>
    <row r="57" spans="1:22" ht="30">
      <c r="A57" s="142" t="s">
        <v>1463</v>
      </c>
      <c r="B57" s="220"/>
      <c r="C57" s="149"/>
      <c r="D57" s="380"/>
      <c r="E57" s="380"/>
      <c r="F57" s="173"/>
      <c r="G57" s="213" t="s">
        <v>1457</v>
      </c>
      <c r="H57" s="96"/>
      <c r="I57" s="214"/>
      <c r="J57" s="122" t="s">
        <v>1367</v>
      </c>
      <c r="K57" s="140"/>
      <c r="L57" s="140"/>
      <c r="M57" s="216" t="s">
        <v>1336</v>
      </c>
      <c r="N57" s="140"/>
      <c r="O57" s="19"/>
      <c r="P57" s="19"/>
      <c r="Q57" s="15"/>
      <c r="R57" s="15"/>
      <c r="S57" s="15"/>
      <c r="T57" s="24"/>
      <c r="U57" s="24"/>
      <c r="V57" s="24"/>
    </row>
    <row r="58" spans="1:22" ht="30">
      <c r="A58" s="142" t="s">
        <v>1464</v>
      </c>
      <c r="B58" s="220"/>
      <c r="C58" s="149"/>
      <c r="D58" s="380"/>
      <c r="E58" s="380"/>
      <c r="F58" s="173"/>
      <c r="G58" s="213" t="s">
        <v>1459</v>
      </c>
      <c r="H58" s="96"/>
      <c r="I58" s="214"/>
      <c r="J58" s="122" t="s">
        <v>1370</v>
      </c>
      <c r="K58" s="140"/>
      <c r="L58" s="140"/>
      <c r="M58" s="216" t="s">
        <v>1336</v>
      </c>
      <c r="N58" s="140"/>
      <c r="O58" s="19"/>
      <c r="P58" s="19"/>
      <c r="Q58" s="15"/>
      <c r="R58" s="15"/>
      <c r="S58" s="15"/>
      <c r="T58" s="24"/>
      <c r="U58" s="24"/>
      <c r="V58" s="24"/>
    </row>
    <row r="59" spans="1:22" ht="43.5" customHeight="1">
      <c r="A59" s="142" t="s">
        <v>1465</v>
      </c>
      <c r="B59" s="220"/>
      <c r="C59" s="149"/>
      <c r="D59" s="380"/>
      <c r="E59" s="380" t="s">
        <v>1466</v>
      </c>
      <c r="F59" s="173"/>
      <c r="G59" s="213" t="s">
        <v>1467</v>
      </c>
      <c r="H59" s="96"/>
      <c r="I59" s="214"/>
      <c r="J59" s="122" t="s">
        <v>1364</v>
      </c>
      <c r="K59" s="140"/>
      <c r="L59" s="140"/>
      <c r="M59" s="216" t="s">
        <v>1336</v>
      </c>
      <c r="N59" s="140"/>
      <c r="O59" s="19"/>
      <c r="P59" s="19"/>
      <c r="Q59" s="15"/>
      <c r="R59" s="15"/>
      <c r="S59" s="15"/>
      <c r="T59" s="24"/>
      <c r="U59" s="24"/>
      <c r="V59" s="24"/>
    </row>
    <row r="60" spans="1:22" ht="30">
      <c r="A60" s="142" t="s">
        <v>1468</v>
      </c>
      <c r="B60" s="220"/>
      <c r="C60" s="149"/>
      <c r="D60" s="380"/>
      <c r="E60" s="380"/>
      <c r="F60" s="173"/>
      <c r="G60" s="213" t="s">
        <v>1457</v>
      </c>
      <c r="H60" s="96"/>
      <c r="I60" s="214"/>
      <c r="J60" s="122" t="s">
        <v>1367</v>
      </c>
      <c r="K60" s="140"/>
      <c r="L60" s="140"/>
      <c r="M60" s="216" t="s">
        <v>1336</v>
      </c>
      <c r="N60" s="140"/>
      <c r="O60" s="19"/>
      <c r="P60" s="19"/>
      <c r="Q60" s="15"/>
      <c r="R60" s="15"/>
      <c r="S60" s="15"/>
      <c r="T60" s="24"/>
      <c r="U60" s="24"/>
      <c r="V60" s="24"/>
    </row>
    <row r="61" spans="1:22" ht="30">
      <c r="A61" s="142" t="s">
        <v>1469</v>
      </c>
      <c r="B61" s="220"/>
      <c r="C61" s="149"/>
      <c r="D61" s="381"/>
      <c r="E61" s="381"/>
      <c r="F61" s="173"/>
      <c r="G61" s="213" t="s">
        <v>1459</v>
      </c>
      <c r="H61" s="96"/>
      <c r="I61" s="214"/>
      <c r="J61" s="122" t="s">
        <v>1370</v>
      </c>
      <c r="K61" s="140"/>
      <c r="L61" s="140"/>
      <c r="M61" s="216" t="s">
        <v>1336</v>
      </c>
      <c r="N61" s="140"/>
      <c r="O61" s="19"/>
      <c r="P61" s="19"/>
      <c r="Q61" s="15"/>
      <c r="R61" s="15"/>
      <c r="S61" s="15"/>
      <c r="T61" s="24"/>
      <c r="U61" s="24"/>
      <c r="V61" s="24"/>
    </row>
    <row r="62" spans="1:22" ht="43.5" customHeight="1">
      <c r="A62" s="142" t="s">
        <v>1470</v>
      </c>
      <c r="B62" s="224"/>
      <c r="C62" s="66"/>
      <c r="D62" s="380" t="s">
        <v>1471</v>
      </c>
      <c r="E62" s="380" t="s">
        <v>1472</v>
      </c>
      <c r="F62" s="226"/>
      <c r="G62" s="213" t="s">
        <v>1473</v>
      </c>
      <c r="H62" s="96"/>
      <c r="I62" s="214"/>
      <c r="J62" s="122" t="s">
        <v>1364</v>
      </c>
      <c r="K62" s="140"/>
      <c r="L62" s="140"/>
      <c r="M62" s="216" t="s">
        <v>1336</v>
      </c>
      <c r="N62" s="140"/>
      <c r="O62" s="19"/>
      <c r="P62" s="19"/>
      <c r="Q62" s="15"/>
      <c r="R62" s="15"/>
      <c r="S62" s="15"/>
      <c r="T62" s="24"/>
      <c r="U62" s="24"/>
      <c r="V62" s="24"/>
    </row>
    <row r="63" spans="1:22" ht="15.75">
      <c r="A63" s="142" t="s">
        <v>1474</v>
      </c>
      <c r="B63" s="224"/>
      <c r="C63" s="66"/>
      <c r="D63" s="380"/>
      <c r="E63" s="380"/>
      <c r="F63" s="221"/>
      <c r="G63" s="213" t="s">
        <v>1475</v>
      </c>
      <c r="H63" s="96"/>
      <c r="I63" s="214"/>
      <c r="J63" s="122" t="s">
        <v>1367</v>
      </c>
      <c r="K63" s="140"/>
      <c r="L63" s="140"/>
      <c r="M63" s="216" t="s">
        <v>1336</v>
      </c>
      <c r="N63" s="140"/>
      <c r="O63" s="19"/>
      <c r="P63" s="19"/>
      <c r="Q63" s="15"/>
      <c r="R63" s="15"/>
      <c r="S63" s="15"/>
      <c r="T63" s="24"/>
      <c r="U63" s="24"/>
      <c r="V63" s="24"/>
    </row>
    <row r="64" spans="1:22" ht="30">
      <c r="A64" s="142" t="s">
        <v>1476</v>
      </c>
      <c r="B64" s="224"/>
      <c r="C64" s="66"/>
      <c r="D64" s="380"/>
      <c r="E64" s="380"/>
      <c r="F64" s="221"/>
      <c r="G64" s="213" t="s">
        <v>1477</v>
      </c>
      <c r="H64" s="96"/>
      <c r="I64" s="214"/>
      <c r="J64" s="122" t="s">
        <v>1370</v>
      </c>
      <c r="K64" s="140"/>
      <c r="L64" s="140"/>
      <c r="M64" s="216" t="s">
        <v>1336</v>
      </c>
      <c r="N64" s="140"/>
      <c r="O64" s="19"/>
      <c r="P64" s="19"/>
      <c r="Q64" s="15"/>
      <c r="R64" s="15"/>
      <c r="S64" s="15"/>
      <c r="T64" s="24"/>
      <c r="U64" s="24"/>
      <c r="V64" s="24"/>
    </row>
    <row r="65" spans="1:22" ht="30">
      <c r="A65" s="142" t="s">
        <v>1478</v>
      </c>
      <c r="B65" s="224"/>
      <c r="C65" s="66"/>
      <c r="D65" s="380"/>
      <c r="E65" s="380" t="s">
        <v>1479</v>
      </c>
      <c r="F65" s="221"/>
      <c r="G65" s="213" t="s">
        <v>1480</v>
      </c>
      <c r="H65" s="96"/>
      <c r="I65" s="214"/>
      <c r="J65" s="122" t="s">
        <v>1364</v>
      </c>
      <c r="K65" s="140"/>
      <c r="L65" s="140"/>
      <c r="M65" s="216" t="s">
        <v>1336</v>
      </c>
      <c r="N65" s="140"/>
      <c r="O65" s="19"/>
      <c r="P65" s="19"/>
      <c r="Q65" s="15"/>
      <c r="R65" s="15"/>
      <c r="S65" s="15"/>
      <c r="T65" s="24"/>
      <c r="U65" s="24"/>
      <c r="V65" s="24"/>
    </row>
    <row r="66" spans="1:22" ht="30">
      <c r="A66" s="142" t="s">
        <v>1481</v>
      </c>
      <c r="B66" s="224"/>
      <c r="C66" s="66"/>
      <c r="D66" s="380"/>
      <c r="E66" s="380"/>
      <c r="F66" s="221"/>
      <c r="G66" s="213" t="s">
        <v>1482</v>
      </c>
      <c r="H66" s="96"/>
      <c r="I66" s="214"/>
      <c r="J66" s="122" t="s">
        <v>1367</v>
      </c>
      <c r="K66" s="140"/>
      <c r="L66" s="140"/>
      <c r="M66" s="216" t="s">
        <v>1336</v>
      </c>
      <c r="N66" s="140"/>
      <c r="O66" s="19"/>
      <c r="P66" s="19"/>
      <c r="Q66" s="15"/>
      <c r="R66" s="15"/>
      <c r="S66" s="15"/>
      <c r="T66" s="24"/>
      <c r="U66" s="24"/>
      <c r="V66" s="24"/>
    </row>
    <row r="67" spans="1:22" ht="30">
      <c r="A67" s="142" t="s">
        <v>1483</v>
      </c>
      <c r="B67" s="224"/>
      <c r="C67" s="66"/>
      <c r="D67" s="380"/>
      <c r="E67" s="380"/>
      <c r="F67" s="221"/>
      <c r="G67" s="213" t="s">
        <v>1484</v>
      </c>
      <c r="H67" s="96"/>
      <c r="I67" s="214"/>
      <c r="J67" s="122" t="s">
        <v>1370</v>
      </c>
      <c r="K67" s="140"/>
      <c r="L67" s="140"/>
      <c r="M67" s="216" t="s">
        <v>1336</v>
      </c>
      <c r="N67" s="140"/>
      <c r="O67" s="19"/>
      <c r="P67" s="19"/>
      <c r="Q67" s="15"/>
      <c r="R67" s="15"/>
      <c r="S67" s="15"/>
      <c r="T67" s="24"/>
      <c r="U67" s="24"/>
      <c r="V67" s="24"/>
    </row>
    <row r="68" spans="1:22" ht="30">
      <c r="A68" s="142" t="s">
        <v>1485</v>
      </c>
      <c r="B68" s="224"/>
      <c r="C68" s="66"/>
      <c r="D68" s="380"/>
      <c r="E68" s="380" t="s">
        <v>1486</v>
      </c>
      <c r="F68" s="221"/>
      <c r="G68" s="213" t="s">
        <v>1487</v>
      </c>
      <c r="H68" s="96"/>
      <c r="I68" s="214"/>
      <c r="J68" s="122" t="s">
        <v>1364</v>
      </c>
      <c r="K68" s="140"/>
      <c r="L68" s="140"/>
      <c r="M68" s="216" t="s">
        <v>1336</v>
      </c>
      <c r="N68" s="140"/>
      <c r="O68" s="19"/>
      <c r="P68" s="19"/>
      <c r="Q68" s="15"/>
      <c r="R68" s="15"/>
      <c r="S68" s="15"/>
      <c r="T68" s="24"/>
      <c r="U68" s="24"/>
      <c r="V68" s="24"/>
    </row>
    <row r="69" spans="1:22" ht="30">
      <c r="A69" s="142" t="s">
        <v>1488</v>
      </c>
      <c r="B69" s="224"/>
      <c r="C69" s="66"/>
      <c r="D69" s="380"/>
      <c r="E69" s="380"/>
      <c r="F69" s="221"/>
      <c r="G69" s="213" t="s">
        <v>1489</v>
      </c>
      <c r="H69" s="96"/>
      <c r="I69" s="214"/>
      <c r="J69" s="122" t="s">
        <v>1367</v>
      </c>
      <c r="K69" s="140"/>
      <c r="L69" s="140"/>
      <c r="M69" s="216" t="s">
        <v>1336</v>
      </c>
      <c r="N69" s="140"/>
      <c r="O69" s="19"/>
      <c r="P69" s="19"/>
      <c r="Q69" s="15"/>
      <c r="R69" s="15"/>
      <c r="S69" s="15"/>
      <c r="T69" s="24"/>
      <c r="U69" s="24"/>
      <c r="V69" s="24"/>
    </row>
    <row r="70" spans="1:22" ht="30">
      <c r="A70" s="142" t="s">
        <v>1490</v>
      </c>
      <c r="B70" s="224"/>
      <c r="C70" s="66"/>
      <c r="D70" s="380"/>
      <c r="E70" s="380"/>
      <c r="F70" s="221"/>
      <c r="G70" s="213" t="s">
        <v>1491</v>
      </c>
      <c r="H70" s="96"/>
      <c r="I70" s="214"/>
      <c r="J70" s="122" t="s">
        <v>1370</v>
      </c>
      <c r="K70" s="140"/>
      <c r="L70" s="140"/>
      <c r="M70" s="216" t="s">
        <v>1336</v>
      </c>
      <c r="N70" s="140"/>
      <c r="O70" s="19"/>
      <c r="P70" s="19"/>
      <c r="Q70" s="15"/>
      <c r="R70" s="15"/>
      <c r="S70" s="15"/>
      <c r="T70" s="24"/>
      <c r="U70" s="24"/>
      <c r="V70" s="24"/>
    </row>
    <row r="71" spans="1:22" ht="30">
      <c r="A71" s="142" t="s">
        <v>1492</v>
      </c>
      <c r="B71" s="224"/>
      <c r="C71" s="66"/>
      <c r="D71" s="380"/>
      <c r="E71" s="380" t="s">
        <v>1493</v>
      </c>
      <c r="F71" s="221"/>
      <c r="G71" s="213" t="s">
        <v>1494</v>
      </c>
      <c r="H71" s="96"/>
      <c r="I71" s="214"/>
      <c r="J71" s="122" t="s">
        <v>1364</v>
      </c>
      <c r="K71" s="140"/>
      <c r="L71" s="140"/>
      <c r="M71" s="216" t="s">
        <v>1336</v>
      </c>
      <c r="N71" s="140"/>
      <c r="O71" s="19"/>
      <c r="P71" s="19"/>
      <c r="Q71" s="15"/>
      <c r="R71" s="15"/>
      <c r="S71" s="15"/>
      <c r="T71" s="24"/>
      <c r="U71" s="24"/>
      <c r="V71" s="24"/>
    </row>
    <row r="72" spans="1:22" ht="30">
      <c r="A72" s="142" t="s">
        <v>1495</v>
      </c>
      <c r="B72" s="224"/>
      <c r="C72" s="66"/>
      <c r="D72" s="380"/>
      <c r="E72" s="380"/>
      <c r="F72" s="221"/>
      <c r="G72" s="213" t="s">
        <v>1496</v>
      </c>
      <c r="H72" s="96"/>
      <c r="I72" s="214"/>
      <c r="J72" s="122" t="s">
        <v>1367</v>
      </c>
      <c r="K72" s="140"/>
      <c r="L72" s="140"/>
      <c r="M72" s="216" t="s">
        <v>1336</v>
      </c>
      <c r="N72" s="140"/>
      <c r="O72" s="19"/>
      <c r="P72" s="19"/>
      <c r="Q72" s="15"/>
      <c r="R72" s="15"/>
      <c r="S72" s="15"/>
      <c r="T72" s="24"/>
      <c r="U72" s="24"/>
      <c r="V72" s="24"/>
    </row>
    <row r="73" spans="1:22" ht="30">
      <c r="A73" s="142" t="s">
        <v>1497</v>
      </c>
      <c r="B73" s="224"/>
      <c r="C73" s="66"/>
      <c r="D73" s="380"/>
      <c r="E73" s="380"/>
      <c r="F73" s="221"/>
      <c r="G73" s="213" t="s">
        <v>1498</v>
      </c>
      <c r="H73" s="96"/>
      <c r="I73" s="214"/>
      <c r="J73" s="122" t="s">
        <v>1370</v>
      </c>
      <c r="K73" s="140"/>
      <c r="L73" s="140"/>
      <c r="M73" s="216" t="s">
        <v>1336</v>
      </c>
      <c r="N73" s="140"/>
      <c r="O73" s="19"/>
      <c r="P73" s="19"/>
      <c r="Q73" s="15"/>
      <c r="R73" s="15"/>
      <c r="S73" s="15"/>
      <c r="T73" s="24"/>
      <c r="U73" s="24"/>
      <c r="V73" s="24"/>
    </row>
    <row r="74" spans="1:22" ht="30">
      <c r="A74" s="142" t="s">
        <v>1499</v>
      </c>
      <c r="B74" s="224"/>
      <c r="C74" s="66"/>
      <c r="D74" s="380"/>
      <c r="E74" s="380" t="s">
        <v>1500</v>
      </c>
      <c r="F74" s="221"/>
      <c r="G74" s="213" t="s">
        <v>1501</v>
      </c>
      <c r="H74" s="96"/>
      <c r="I74" s="214"/>
      <c r="J74" s="122" t="s">
        <v>1364</v>
      </c>
      <c r="K74" s="140"/>
      <c r="L74" s="140"/>
      <c r="M74" s="216" t="s">
        <v>1336</v>
      </c>
      <c r="N74" s="140"/>
      <c r="O74" s="19"/>
      <c r="P74" s="19"/>
      <c r="Q74" s="15"/>
      <c r="R74" s="15"/>
      <c r="S74" s="15"/>
      <c r="T74" s="24"/>
      <c r="U74" s="24"/>
      <c r="V74" s="24"/>
    </row>
    <row r="75" spans="1:22" ht="30">
      <c r="A75" s="142" t="s">
        <v>1502</v>
      </c>
      <c r="B75" s="224"/>
      <c r="C75" s="66"/>
      <c r="D75" s="380"/>
      <c r="E75" s="380"/>
      <c r="F75" s="221"/>
      <c r="G75" s="213" t="s">
        <v>1503</v>
      </c>
      <c r="H75" s="96"/>
      <c r="I75" s="214"/>
      <c r="J75" s="122" t="s">
        <v>1367</v>
      </c>
      <c r="K75" s="140"/>
      <c r="L75" s="140"/>
      <c r="M75" s="216" t="s">
        <v>1336</v>
      </c>
      <c r="N75" s="140"/>
      <c r="O75" s="19"/>
      <c r="P75" s="19"/>
      <c r="Q75" s="15"/>
      <c r="R75" s="15"/>
      <c r="S75" s="15"/>
      <c r="T75" s="24"/>
      <c r="U75" s="24"/>
      <c r="V75" s="24"/>
    </row>
    <row r="76" spans="1:22" ht="30">
      <c r="A76" s="142" t="s">
        <v>1504</v>
      </c>
      <c r="B76" s="224"/>
      <c r="C76" s="66"/>
      <c r="D76" s="380"/>
      <c r="E76" s="380"/>
      <c r="F76" s="221"/>
      <c r="G76" s="213" t="s">
        <v>1505</v>
      </c>
      <c r="H76" s="96"/>
      <c r="I76" s="214"/>
      <c r="J76" s="122" t="s">
        <v>1370</v>
      </c>
      <c r="K76" s="140"/>
      <c r="L76" s="140"/>
      <c r="M76" s="216" t="s">
        <v>1336</v>
      </c>
      <c r="N76" s="140"/>
      <c r="O76" s="19"/>
      <c r="P76" s="19"/>
      <c r="Q76" s="15"/>
      <c r="R76" s="15"/>
      <c r="S76" s="15"/>
      <c r="T76" s="24"/>
      <c r="U76" s="24"/>
      <c r="V76" s="24"/>
    </row>
    <row r="77" spans="1:22" ht="57.75" customHeight="1">
      <c r="A77" s="142" t="s">
        <v>1506</v>
      </c>
      <c r="B77" s="224"/>
      <c r="C77" s="66"/>
      <c r="D77" s="380"/>
      <c r="E77" s="380" t="s">
        <v>1507</v>
      </c>
      <c r="F77" s="221"/>
      <c r="G77" s="213" t="s">
        <v>1508</v>
      </c>
      <c r="H77" s="96"/>
      <c r="I77" s="214"/>
      <c r="J77" s="122" t="s">
        <v>1364</v>
      </c>
      <c r="K77" s="140"/>
      <c r="L77" s="140"/>
      <c r="M77" s="216" t="s">
        <v>1336</v>
      </c>
      <c r="N77" s="140"/>
      <c r="O77" s="19"/>
      <c r="P77" s="19"/>
      <c r="Q77" s="15"/>
      <c r="R77" s="15"/>
      <c r="S77" s="15"/>
      <c r="T77" s="24"/>
      <c r="U77" s="24"/>
      <c r="V77" s="24"/>
    </row>
    <row r="78" spans="1:22" ht="45">
      <c r="A78" s="142" t="s">
        <v>1509</v>
      </c>
      <c r="B78" s="224"/>
      <c r="C78" s="66"/>
      <c r="D78" s="380"/>
      <c r="E78" s="380"/>
      <c r="F78" s="221"/>
      <c r="G78" s="213" t="s">
        <v>1510</v>
      </c>
      <c r="H78" s="96"/>
      <c r="I78" s="214"/>
      <c r="J78" s="122" t="s">
        <v>1367</v>
      </c>
      <c r="K78" s="140"/>
      <c r="L78" s="140"/>
      <c r="M78" s="216" t="s">
        <v>1336</v>
      </c>
      <c r="N78" s="140"/>
      <c r="O78" s="19"/>
      <c r="P78" s="19"/>
      <c r="Q78" s="15"/>
      <c r="R78" s="15"/>
      <c r="S78" s="15"/>
      <c r="T78" s="24"/>
      <c r="U78" s="24"/>
      <c r="V78" s="24"/>
    </row>
    <row r="79" spans="1:22" ht="45">
      <c r="A79" s="142" t="s">
        <v>1511</v>
      </c>
      <c r="B79" s="224"/>
      <c r="C79" s="66"/>
      <c r="D79" s="380"/>
      <c r="E79" s="380"/>
      <c r="F79" s="221"/>
      <c r="G79" s="213" t="s">
        <v>1512</v>
      </c>
      <c r="H79" s="96"/>
      <c r="I79" s="214"/>
      <c r="J79" s="122" t="s">
        <v>1370</v>
      </c>
      <c r="K79" s="140"/>
      <c r="L79" s="140"/>
      <c r="M79" s="216" t="s">
        <v>1336</v>
      </c>
      <c r="N79" s="140"/>
      <c r="O79" s="19"/>
      <c r="P79" s="19"/>
      <c r="Q79" s="15"/>
      <c r="R79" s="15"/>
      <c r="S79" s="15"/>
      <c r="T79" s="24"/>
      <c r="U79" s="24"/>
      <c r="V79" s="24"/>
    </row>
    <row r="80" spans="1:22" ht="43.5" customHeight="1">
      <c r="A80" s="142" t="s">
        <v>1513</v>
      </c>
      <c r="B80" s="224"/>
      <c r="C80" s="66"/>
      <c r="D80" s="380"/>
      <c r="E80" s="380" t="s">
        <v>1514</v>
      </c>
      <c r="F80" s="221"/>
      <c r="G80" s="213" t="s">
        <v>1515</v>
      </c>
      <c r="H80" s="96"/>
      <c r="I80" s="214"/>
      <c r="J80" s="122" t="s">
        <v>1364</v>
      </c>
      <c r="K80" s="140"/>
      <c r="L80" s="140"/>
      <c r="M80" s="216" t="s">
        <v>1336</v>
      </c>
      <c r="N80" s="140"/>
      <c r="O80" s="19"/>
      <c r="P80" s="19"/>
      <c r="Q80" s="15"/>
      <c r="R80" s="15"/>
      <c r="S80" s="15"/>
      <c r="T80" s="24"/>
      <c r="U80" s="24"/>
      <c r="V80" s="24"/>
    </row>
    <row r="81" spans="1:22" ht="30">
      <c r="A81" s="142" t="s">
        <v>1516</v>
      </c>
      <c r="B81" s="224"/>
      <c r="C81" s="66"/>
      <c r="D81" s="380"/>
      <c r="E81" s="380"/>
      <c r="F81" s="221"/>
      <c r="G81" s="213" t="s">
        <v>1517</v>
      </c>
      <c r="H81" s="96"/>
      <c r="I81" s="214"/>
      <c r="J81" s="122" t="s">
        <v>1367</v>
      </c>
      <c r="K81" s="140"/>
      <c r="L81" s="140"/>
      <c r="M81" s="216" t="s">
        <v>1336</v>
      </c>
      <c r="N81" s="140"/>
      <c r="O81" s="19"/>
      <c r="P81" s="19"/>
      <c r="Q81" s="15"/>
      <c r="R81" s="15"/>
      <c r="S81" s="15"/>
      <c r="T81" s="24"/>
      <c r="U81" s="24"/>
      <c r="V81" s="24"/>
    </row>
    <row r="82" spans="1:22" ht="45">
      <c r="A82" s="142" t="s">
        <v>1518</v>
      </c>
      <c r="B82" s="224"/>
      <c r="C82" s="66"/>
      <c r="D82" s="380"/>
      <c r="E82" s="380"/>
      <c r="F82" s="221"/>
      <c r="G82" s="213" t="s">
        <v>1519</v>
      </c>
      <c r="H82" s="96"/>
      <c r="I82" s="214"/>
      <c r="J82" s="122" t="s">
        <v>1370</v>
      </c>
      <c r="K82" s="140"/>
      <c r="L82" s="140"/>
      <c r="M82" s="216" t="s">
        <v>1336</v>
      </c>
      <c r="N82" s="140"/>
      <c r="O82" s="19"/>
      <c r="P82" s="19"/>
      <c r="Q82" s="15"/>
      <c r="R82" s="15"/>
      <c r="S82" s="15"/>
      <c r="T82" s="24"/>
      <c r="U82" s="24"/>
      <c r="V82" s="24"/>
    </row>
    <row r="83" spans="1:22">
      <c r="A83" s="390" t="s">
        <v>1520</v>
      </c>
      <c r="B83" s="391"/>
      <c r="C83" s="392"/>
      <c r="D83" s="392"/>
      <c r="E83" s="392"/>
      <c r="F83" s="391"/>
      <c r="G83" s="391"/>
      <c r="H83" s="391"/>
      <c r="I83" s="391"/>
      <c r="J83" s="391"/>
      <c r="K83" s="391"/>
      <c r="L83" s="391"/>
      <c r="M83" s="391"/>
      <c r="N83" s="390"/>
      <c r="O83" s="390"/>
      <c r="P83" s="390"/>
    </row>
    <row r="84" spans="1:22" ht="75">
      <c r="A84" s="142" t="s">
        <v>1521</v>
      </c>
      <c r="B84" s="393"/>
      <c r="C84" s="394"/>
      <c r="D84" s="378" t="s">
        <v>1331</v>
      </c>
      <c r="E84" s="380" t="s">
        <v>1332</v>
      </c>
      <c r="F84" s="395" t="s">
        <v>1333</v>
      </c>
      <c r="G84" s="212" t="s">
        <v>1334</v>
      </c>
      <c r="H84" s="81" t="s">
        <v>1335</v>
      </c>
      <c r="I84" s="82"/>
      <c r="J84" s="22" t="s">
        <v>58</v>
      </c>
      <c r="K84" s="216" t="s">
        <v>1336</v>
      </c>
      <c r="L84" s="140"/>
      <c r="M84" s="140"/>
      <c r="N84" s="140"/>
      <c r="O84" s="19"/>
      <c r="P84" s="19"/>
      <c r="Q84" s="15"/>
      <c r="R84" s="15"/>
      <c r="S84" s="15"/>
      <c r="T84" s="24"/>
      <c r="U84" s="24"/>
      <c r="V84" s="24"/>
    </row>
    <row r="85" spans="1:22" ht="30">
      <c r="A85" s="151" t="s">
        <v>1522</v>
      </c>
      <c r="B85" s="393"/>
      <c r="C85" s="394"/>
      <c r="D85" s="378"/>
      <c r="E85" s="380"/>
      <c r="F85" s="395"/>
      <c r="G85" s="212" t="s">
        <v>1338</v>
      </c>
      <c r="H85" s="83" t="s">
        <v>1339</v>
      </c>
      <c r="I85" s="82"/>
      <c r="J85" s="22" t="s">
        <v>64</v>
      </c>
      <c r="K85" s="216" t="s">
        <v>1336</v>
      </c>
      <c r="L85" s="140"/>
      <c r="M85" s="140"/>
      <c r="N85" s="140"/>
      <c r="O85" s="19"/>
      <c r="P85" s="19"/>
      <c r="Q85" s="15"/>
      <c r="R85" s="15"/>
      <c r="S85" s="15"/>
      <c r="T85" s="24"/>
      <c r="U85" s="24"/>
      <c r="V85" s="24"/>
    </row>
    <row r="86" spans="1:22" ht="42.75" customHeight="1">
      <c r="A86" s="151" t="s">
        <v>1523</v>
      </c>
      <c r="B86" s="393"/>
      <c r="C86" s="156"/>
      <c r="D86" s="378"/>
      <c r="E86" s="380"/>
      <c r="F86" s="173" t="s">
        <v>1341</v>
      </c>
      <c r="G86" s="213" t="s">
        <v>1342</v>
      </c>
      <c r="H86" s="96" t="s">
        <v>1343</v>
      </c>
      <c r="I86" s="210"/>
      <c r="J86" s="211" t="s">
        <v>1344</v>
      </c>
      <c r="K86" s="216" t="s">
        <v>1336</v>
      </c>
      <c r="L86" s="140"/>
      <c r="M86" s="140"/>
      <c r="N86" s="140"/>
      <c r="O86" s="19"/>
      <c r="P86" s="19"/>
      <c r="Q86" s="15"/>
      <c r="R86" s="15"/>
      <c r="S86" s="15"/>
      <c r="T86" s="24"/>
      <c r="U86" s="24"/>
      <c r="V86" s="24"/>
    </row>
    <row r="87" spans="1:22" ht="45">
      <c r="A87" s="151" t="s">
        <v>1524</v>
      </c>
      <c r="B87" s="393"/>
      <c r="C87" s="156"/>
      <c r="D87" s="378"/>
      <c r="E87" s="380"/>
      <c r="F87" s="173" t="s">
        <v>1346</v>
      </c>
      <c r="G87" s="213" t="s">
        <v>1347</v>
      </c>
      <c r="H87" s="96" t="s">
        <v>1348</v>
      </c>
      <c r="I87" s="210"/>
      <c r="J87" s="211" t="s">
        <v>1349</v>
      </c>
      <c r="K87" s="216" t="s">
        <v>1336</v>
      </c>
      <c r="L87" s="140"/>
      <c r="M87" s="140"/>
      <c r="N87" s="140"/>
      <c r="O87" s="19"/>
      <c r="P87" s="19"/>
      <c r="Q87" s="15"/>
      <c r="R87" s="15"/>
      <c r="S87" s="15"/>
      <c r="T87" s="24"/>
      <c r="U87" s="24"/>
      <c r="V87" s="24"/>
    </row>
    <row r="88" spans="1:22" ht="30">
      <c r="A88" s="151" t="s">
        <v>1525</v>
      </c>
      <c r="B88" s="393"/>
      <c r="C88" s="156"/>
      <c r="D88" s="378"/>
      <c r="E88" s="380"/>
      <c r="F88" s="173" t="s">
        <v>1351</v>
      </c>
      <c r="G88" s="213" t="s">
        <v>1352</v>
      </c>
      <c r="H88" s="96" t="s">
        <v>1353</v>
      </c>
      <c r="I88" s="210"/>
      <c r="J88" s="211" t="s">
        <v>1354</v>
      </c>
      <c r="K88" s="216" t="s">
        <v>1336</v>
      </c>
      <c r="L88" s="140"/>
      <c r="M88" s="140"/>
      <c r="N88" s="140"/>
      <c r="O88" s="19"/>
      <c r="P88" s="19"/>
      <c r="Q88" s="15"/>
      <c r="R88" s="15"/>
      <c r="S88" s="15"/>
      <c r="T88" s="24"/>
      <c r="U88" s="24"/>
      <c r="V88" s="24"/>
    </row>
    <row r="89" spans="1:22" ht="45">
      <c r="A89" s="151" t="s">
        <v>1526</v>
      </c>
      <c r="B89" s="393"/>
      <c r="C89" s="156"/>
      <c r="D89" s="379"/>
      <c r="E89" s="381"/>
      <c r="F89" s="209" t="s">
        <v>1356</v>
      </c>
      <c r="G89" s="213" t="s">
        <v>1357</v>
      </c>
      <c r="H89" s="96" t="s">
        <v>1358</v>
      </c>
      <c r="I89" s="323"/>
      <c r="J89" s="211" t="s">
        <v>1359</v>
      </c>
      <c r="K89" s="216" t="s">
        <v>1336</v>
      </c>
      <c r="L89" s="140"/>
      <c r="M89" s="140"/>
      <c r="N89" s="140"/>
      <c r="O89" s="19"/>
      <c r="P89" s="19"/>
      <c r="Q89" s="15"/>
      <c r="R89" s="15"/>
      <c r="S89" s="15"/>
      <c r="T89" s="24"/>
      <c r="U89" s="24"/>
      <c r="V89" s="24"/>
    </row>
    <row r="90" spans="1:22" ht="15.75" customHeight="1">
      <c r="A90" s="151" t="s">
        <v>1527</v>
      </c>
      <c r="B90" s="122"/>
      <c r="C90" s="122"/>
      <c r="D90" s="379" t="s">
        <v>1361</v>
      </c>
      <c r="E90" s="380" t="s">
        <v>1362</v>
      </c>
      <c r="F90" s="173"/>
      <c r="G90" s="173" t="s">
        <v>1363</v>
      </c>
      <c r="H90" s="122"/>
      <c r="I90" s="122"/>
      <c r="J90" s="122" t="s">
        <v>1364</v>
      </c>
      <c r="K90" s="216" t="s">
        <v>1336</v>
      </c>
      <c r="L90" s="140"/>
      <c r="M90" s="140"/>
      <c r="N90" s="140"/>
      <c r="O90" s="19"/>
      <c r="P90" s="19"/>
      <c r="Q90" s="15"/>
      <c r="R90" s="15"/>
      <c r="S90" s="15"/>
      <c r="T90" s="24"/>
      <c r="U90" s="24"/>
      <c r="V90" s="24"/>
    </row>
    <row r="91" spans="1:22" ht="30">
      <c r="A91" s="151" t="s">
        <v>1528</v>
      </c>
      <c r="B91" s="122"/>
      <c r="C91" s="122"/>
      <c r="D91" s="386"/>
      <c r="E91" s="380"/>
      <c r="F91" s="173"/>
      <c r="G91" s="152" t="s">
        <v>1366</v>
      </c>
      <c r="H91" s="122"/>
      <c r="I91" s="122"/>
      <c r="J91" s="122" t="s">
        <v>1367</v>
      </c>
      <c r="K91" s="216" t="s">
        <v>1336</v>
      </c>
      <c r="L91" s="140"/>
      <c r="M91" s="140"/>
      <c r="N91" s="140"/>
      <c r="O91" s="19"/>
      <c r="P91" s="19"/>
      <c r="Q91" s="15"/>
      <c r="R91" s="15"/>
      <c r="S91" s="15"/>
      <c r="T91" s="24"/>
      <c r="U91" s="24"/>
      <c r="V91" s="24"/>
    </row>
    <row r="92" spans="1:22" ht="15.75" customHeight="1">
      <c r="A92" s="151" t="s">
        <v>1529</v>
      </c>
      <c r="B92" s="122"/>
      <c r="C92" s="122"/>
      <c r="D92" s="386"/>
      <c r="E92" s="380"/>
      <c r="F92" s="122"/>
      <c r="G92" s="152" t="s">
        <v>1369</v>
      </c>
      <c r="H92" s="122"/>
      <c r="I92" s="122"/>
      <c r="J92" s="122" t="s">
        <v>1370</v>
      </c>
      <c r="K92" s="216" t="s">
        <v>1336</v>
      </c>
      <c r="L92" s="140"/>
      <c r="M92" s="140"/>
      <c r="N92" s="140"/>
      <c r="O92" s="19"/>
      <c r="P92" s="19"/>
      <c r="Q92" s="15"/>
      <c r="R92" s="15"/>
      <c r="S92" s="15"/>
      <c r="T92" s="24"/>
      <c r="U92" s="24"/>
      <c r="V92" s="24"/>
    </row>
    <row r="93" spans="1:22" ht="15.75" customHeight="1">
      <c r="A93" s="151" t="s">
        <v>1530</v>
      </c>
      <c r="B93" s="122"/>
      <c r="C93" s="122"/>
      <c r="D93" s="386"/>
      <c r="E93" s="389" t="s">
        <v>1372</v>
      </c>
      <c r="F93" s="122"/>
      <c r="G93" s="173" t="s">
        <v>1363</v>
      </c>
      <c r="H93" s="122"/>
      <c r="I93" s="122"/>
      <c r="J93" s="122" t="s">
        <v>1364</v>
      </c>
      <c r="K93" s="216" t="s">
        <v>1336</v>
      </c>
      <c r="L93" s="140"/>
      <c r="M93" s="140"/>
      <c r="N93" s="140"/>
      <c r="O93" s="19"/>
      <c r="P93" s="19"/>
      <c r="Q93" s="15"/>
      <c r="R93" s="15"/>
      <c r="S93" s="15"/>
      <c r="T93" s="24"/>
      <c r="U93" s="24"/>
      <c r="V93" s="24"/>
    </row>
    <row r="94" spans="1:22" ht="30">
      <c r="A94" s="151" t="s">
        <v>1531</v>
      </c>
      <c r="B94" s="122"/>
      <c r="C94" s="122"/>
      <c r="D94" s="386"/>
      <c r="E94" s="389"/>
      <c r="F94" s="122"/>
      <c r="G94" s="152" t="s">
        <v>1366</v>
      </c>
      <c r="H94" s="122"/>
      <c r="I94" s="122"/>
      <c r="J94" s="122" t="s">
        <v>1367</v>
      </c>
      <c r="K94" s="216" t="s">
        <v>1336</v>
      </c>
      <c r="L94" s="140"/>
      <c r="M94" s="140"/>
      <c r="N94" s="140"/>
      <c r="O94" s="19"/>
      <c r="P94" s="19"/>
      <c r="Q94" s="15"/>
      <c r="R94" s="15"/>
      <c r="S94" s="15"/>
      <c r="T94" s="24"/>
      <c r="U94" s="24"/>
      <c r="V94" s="24"/>
    </row>
    <row r="95" spans="1:22" ht="15.75" customHeight="1">
      <c r="A95" s="151" t="s">
        <v>1532</v>
      </c>
      <c r="B95" s="122"/>
      <c r="C95" s="122"/>
      <c r="D95" s="382"/>
      <c r="E95" s="389"/>
      <c r="F95" s="122"/>
      <c r="G95" s="152" t="s">
        <v>1369</v>
      </c>
      <c r="H95" s="122"/>
      <c r="I95" s="122"/>
      <c r="J95" s="122" t="s">
        <v>1370</v>
      </c>
      <c r="K95" s="216" t="s">
        <v>1336</v>
      </c>
      <c r="L95" s="140"/>
      <c r="M95" s="140"/>
      <c r="N95" s="140"/>
      <c r="O95" s="19"/>
      <c r="P95" s="19"/>
      <c r="Q95" s="15"/>
      <c r="R95" s="15"/>
      <c r="S95" s="15"/>
      <c r="T95" s="24"/>
      <c r="U95" s="24"/>
      <c r="V95" s="24"/>
    </row>
    <row r="96" spans="1:22" ht="15.75" customHeight="1">
      <c r="A96" s="151" t="s">
        <v>1533</v>
      </c>
      <c r="B96" s="337"/>
      <c r="C96" s="156"/>
      <c r="D96" s="378" t="s">
        <v>1376</v>
      </c>
      <c r="E96" s="380" t="s">
        <v>1377</v>
      </c>
      <c r="F96" s="221"/>
      <c r="G96" s="173" t="s">
        <v>1378</v>
      </c>
      <c r="H96" s="323"/>
      <c r="I96" s="323"/>
      <c r="J96" s="298" t="s">
        <v>71</v>
      </c>
      <c r="K96" s="216" t="s">
        <v>1336</v>
      </c>
      <c r="L96" s="140"/>
      <c r="M96" s="140"/>
      <c r="N96" s="140"/>
      <c r="O96" s="19"/>
      <c r="P96" s="19"/>
      <c r="Q96" s="15"/>
      <c r="R96" s="15"/>
      <c r="S96" s="15"/>
      <c r="T96" s="24"/>
      <c r="U96" s="24"/>
      <c r="V96" s="24"/>
    </row>
    <row r="97" spans="1:22" ht="15.75" customHeight="1">
      <c r="A97" s="151" t="s">
        <v>1534</v>
      </c>
      <c r="B97" s="337"/>
      <c r="C97" s="156"/>
      <c r="D97" s="378"/>
      <c r="E97" s="380"/>
      <c r="F97" s="329"/>
      <c r="G97" s="330" t="s">
        <v>1380</v>
      </c>
      <c r="H97" s="323"/>
      <c r="I97" s="323"/>
      <c r="J97" s="309" t="s">
        <v>81</v>
      </c>
      <c r="K97" s="216" t="s">
        <v>1336</v>
      </c>
      <c r="L97" s="140"/>
      <c r="M97" s="140"/>
      <c r="N97" s="140"/>
      <c r="O97" s="19"/>
      <c r="P97" s="19"/>
      <c r="Q97" s="15"/>
      <c r="R97" s="15"/>
      <c r="S97" s="15"/>
      <c r="T97" s="24"/>
      <c r="U97" s="24"/>
      <c r="V97" s="24"/>
    </row>
    <row r="98" spans="1:22" ht="15.75">
      <c r="A98" s="151" t="s">
        <v>1535</v>
      </c>
      <c r="B98" s="337"/>
      <c r="C98" s="156"/>
      <c r="D98" s="378"/>
      <c r="E98" s="380"/>
      <c r="F98" s="331"/>
      <c r="G98" s="153" t="s">
        <v>92</v>
      </c>
      <c r="H98" s="323"/>
      <c r="I98" s="323"/>
      <c r="J98" s="298" t="s">
        <v>94</v>
      </c>
      <c r="K98" s="216" t="s">
        <v>1336</v>
      </c>
      <c r="L98" s="140"/>
      <c r="M98" s="140"/>
      <c r="N98" s="140"/>
      <c r="O98" s="19"/>
      <c r="P98" s="19"/>
      <c r="Q98" s="15"/>
      <c r="R98" s="15"/>
      <c r="S98" s="15"/>
      <c r="T98" s="24"/>
      <c r="U98" s="24"/>
      <c r="V98" s="24"/>
    </row>
    <row r="99" spans="1:22" ht="15.75">
      <c r="A99" s="151" t="s">
        <v>1536</v>
      </c>
      <c r="B99" s="337"/>
      <c r="C99" s="156"/>
      <c r="D99" s="378"/>
      <c r="E99" s="380"/>
      <c r="F99" s="221"/>
      <c r="G99" s="173" t="s">
        <v>1383</v>
      </c>
      <c r="H99" s="323"/>
      <c r="I99" s="323"/>
      <c r="J99" s="298" t="s">
        <v>94</v>
      </c>
      <c r="K99" s="216" t="s">
        <v>1336</v>
      </c>
      <c r="L99" s="140"/>
      <c r="M99" s="140"/>
      <c r="N99" s="140"/>
      <c r="O99" s="19"/>
      <c r="P99" s="19"/>
      <c r="Q99" s="15"/>
      <c r="R99" s="15"/>
      <c r="S99" s="15"/>
      <c r="T99" s="24"/>
      <c r="U99" s="24"/>
      <c r="V99" s="24"/>
    </row>
    <row r="100" spans="1:22" ht="15.75">
      <c r="A100" s="151" t="s">
        <v>1537</v>
      </c>
      <c r="B100" s="337"/>
      <c r="C100" s="156"/>
      <c r="D100" s="378"/>
      <c r="E100" s="380"/>
      <c r="F100" s="221"/>
      <c r="G100" s="317" t="s">
        <v>1385</v>
      </c>
      <c r="H100" s="323"/>
      <c r="I100" s="323"/>
      <c r="J100" s="155" t="s">
        <v>1386</v>
      </c>
      <c r="K100" s="216" t="s">
        <v>1336</v>
      </c>
      <c r="L100" s="140"/>
      <c r="M100" s="140"/>
      <c r="N100" s="140"/>
      <c r="O100" s="19"/>
      <c r="P100" s="19"/>
      <c r="Q100" s="15"/>
      <c r="R100" s="15"/>
      <c r="S100" s="15"/>
      <c r="T100" s="24"/>
      <c r="U100" s="24"/>
      <c r="V100" s="24"/>
    </row>
    <row r="101" spans="1:22" ht="15.75" customHeight="1">
      <c r="A101" s="151" t="s">
        <v>1538</v>
      </c>
      <c r="B101" s="337"/>
      <c r="C101" s="156"/>
      <c r="D101" s="378"/>
      <c r="E101" s="380"/>
      <c r="F101" s="221"/>
      <c r="G101" s="317" t="s">
        <v>1388</v>
      </c>
      <c r="H101" s="323"/>
      <c r="I101" s="323"/>
      <c r="J101" s="155" t="s">
        <v>1389</v>
      </c>
      <c r="K101" s="216" t="s">
        <v>1336</v>
      </c>
      <c r="L101" s="140"/>
      <c r="M101" s="140"/>
      <c r="N101" s="140"/>
      <c r="O101" s="19"/>
      <c r="P101" s="19"/>
      <c r="Q101" s="15"/>
      <c r="R101" s="15"/>
      <c r="S101" s="15"/>
      <c r="T101" s="24"/>
      <c r="U101" s="24"/>
      <c r="V101" s="24"/>
    </row>
    <row r="102" spans="1:22" ht="15.75" customHeight="1">
      <c r="A102" s="151" t="s">
        <v>1539</v>
      </c>
      <c r="B102" s="337"/>
      <c r="C102" s="156"/>
      <c r="D102" s="378" t="s">
        <v>1391</v>
      </c>
      <c r="E102" s="380" t="s">
        <v>1392</v>
      </c>
      <c r="F102" s="209"/>
      <c r="G102" s="330" t="s">
        <v>1380</v>
      </c>
      <c r="H102" s="323"/>
      <c r="I102" s="323"/>
      <c r="J102" s="309" t="s">
        <v>81</v>
      </c>
      <c r="K102" s="216" t="s">
        <v>1336</v>
      </c>
      <c r="L102" s="140"/>
      <c r="M102" s="140"/>
      <c r="N102" s="140"/>
      <c r="O102" s="19"/>
      <c r="P102" s="19"/>
      <c r="Q102" s="15"/>
      <c r="R102" s="15"/>
      <c r="S102" s="15"/>
      <c r="T102" s="24"/>
      <c r="U102" s="24"/>
      <c r="V102" s="24"/>
    </row>
    <row r="103" spans="1:22" ht="15.75" customHeight="1">
      <c r="A103" s="151" t="s">
        <v>1540</v>
      </c>
      <c r="B103" s="337"/>
      <c r="C103" s="156"/>
      <c r="D103" s="378"/>
      <c r="E103" s="380"/>
      <c r="F103" s="209"/>
      <c r="G103" s="173" t="s">
        <v>1378</v>
      </c>
      <c r="H103" s="323"/>
      <c r="I103" s="323"/>
      <c r="J103" s="298" t="s">
        <v>71</v>
      </c>
      <c r="K103" s="216" t="s">
        <v>1336</v>
      </c>
      <c r="L103" s="140"/>
      <c r="M103" s="140"/>
      <c r="N103" s="140"/>
      <c r="O103" s="19"/>
      <c r="P103" s="19"/>
      <c r="Q103" s="15"/>
      <c r="R103" s="15"/>
      <c r="S103" s="15"/>
      <c r="T103" s="24"/>
      <c r="U103" s="24"/>
      <c r="V103" s="24"/>
    </row>
    <row r="104" spans="1:22" ht="15.75">
      <c r="A104" s="151" t="s">
        <v>1541</v>
      </c>
      <c r="B104" s="337"/>
      <c r="C104" s="66"/>
      <c r="D104" s="378"/>
      <c r="E104" s="380"/>
      <c r="F104" s="209"/>
      <c r="G104" t="s">
        <v>1385</v>
      </c>
      <c r="H104" s="323"/>
      <c r="I104" s="323"/>
      <c r="J104" s="155" t="s">
        <v>1386</v>
      </c>
      <c r="K104" s="216" t="s">
        <v>1336</v>
      </c>
      <c r="L104" s="140"/>
      <c r="M104" s="140"/>
      <c r="N104" s="140"/>
      <c r="O104" s="19"/>
      <c r="P104" s="19"/>
      <c r="Q104" s="15"/>
      <c r="R104" s="15"/>
      <c r="S104" s="15"/>
      <c r="T104" s="24"/>
      <c r="U104" s="24"/>
      <c r="V104" s="24"/>
    </row>
    <row r="105" spans="1:22" ht="15.75">
      <c r="A105" s="151" t="s">
        <v>1542</v>
      </c>
      <c r="B105" s="337"/>
      <c r="C105" s="66"/>
      <c r="D105" s="378"/>
      <c r="E105" s="380"/>
      <c r="F105" s="209"/>
      <c r="G105" s="332" t="s">
        <v>1396</v>
      </c>
      <c r="H105" s="323"/>
      <c r="I105" s="323"/>
      <c r="J105" s="155" t="s">
        <v>1397</v>
      </c>
      <c r="K105" s="216" t="s">
        <v>1336</v>
      </c>
      <c r="L105" s="140"/>
      <c r="M105" s="140"/>
      <c r="N105" s="140"/>
      <c r="O105" s="19"/>
      <c r="P105" s="19"/>
      <c r="Q105" s="15"/>
      <c r="R105" s="15"/>
      <c r="S105" s="15"/>
      <c r="T105" s="24"/>
      <c r="U105" s="24"/>
      <c r="V105" s="24"/>
    </row>
    <row r="106" spans="1:22" ht="15.75" customHeight="1">
      <c r="A106" s="151" t="s">
        <v>1543</v>
      </c>
      <c r="B106" s="337"/>
      <c r="C106" s="66"/>
      <c r="D106" s="378"/>
      <c r="E106" s="380"/>
      <c r="F106" s="209"/>
      <c r="G106" s="324" t="s">
        <v>1388</v>
      </c>
      <c r="H106" s="154"/>
      <c r="I106" s="333"/>
      <c r="J106" s="155" t="s">
        <v>1389</v>
      </c>
      <c r="K106" s="216" t="s">
        <v>1336</v>
      </c>
      <c r="L106" s="140"/>
      <c r="M106" s="140"/>
      <c r="N106" s="140"/>
      <c r="O106" s="19"/>
      <c r="P106" s="19"/>
      <c r="Q106" s="15"/>
      <c r="R106" s="15"/>
      <c r="S106" s="15"/>
      <c r="T106" s="24"/>
      <c r="U106" s="24"/>
      <c r="V106" s="24"/>
    </row>
    <row r="107" spans="1:22" ht="15.75" customHeight="1">
      <c r="A107" s="151" t="s">
        <v>1544</v>
      </c>
      <c r="B107" s="337"/>
      <c r="C107" s="66"/>
      <c r="D107" s="378" t="s">
        <v>192</v>
      </c>
      <c r="E107" s="380" t="s">
        <v>1400</v>
      </c>
      <c r="F107" s="209"/>
      <c r="G107" s="334" t="s">
        <v>1380</v>
      </c>
      <c r="H107" s="154"/>
      <c r="I107" s="333"/>
      <c r="J107" s="309" t="s">
        <v>81</v>
      </c>
      <c r="K107" s="216" t="s">
        <v>1336</v>
      </c>
      <c r="L107" s="140"/>
      <c r="M107" s="140"/>
      <c r="N107" s="140"/>
      <c r="O107" s="19"/>
      <c r="P107" s="19"/>
      <c r="Q107" s="15"/>
      <c r="R107" s="15"/>
      <c r="S107" s="15"/>
      <c r="T107" s="24"/>
      <c r="U107" s="24"/>
      <c r="V107" s="24"/>
    </row>
    <row r="108" spans="1:22" ht="15.75" customHeight="1">
      <c r="A108" s="151" t="s">
        <v>1545</v>
      </c>
      <c r="B108" s="337"/>
      <c r="C108" s="66"/>
      <c r="D108" s="378"/>
      <c r="E108" s="380"/>
      <c r="F108" s="209"/>
      <c r="G108" s="173" t="s">
        <v>1378</v>
      </c>
      <c r="H108" s="323"/>
      <c r="I108" s="323"/>
      <c r="J108" s="298" t="s">
        <v>71</v>
      </c>
      <c r="K108" s="216" t="s">
        <v>1336</v>
      </c>
      <c r="L108" s="140"/>
      <c r="M108" s="140"/>
      <c r="N108" s="140"/>
      <c r="O108" s="19"/>
      <c r="P108" s="19"/>
      <c r="Q108" s="15"/>
      <c r="R108" s="15"/>
      <c r="S108" s="15"/>
      <c r="T108" s="24"/>
      <c r="U108" s="24"/>
      <c r="V108" s="24"/>
    </row>
    <row r="109" spans="1:22" ht="15.75">
      <c r="A109" s="151" t="s">
        <v>1546</v>
      </c>
      <c r="B109" s="337"/>
      <c r="C109" s="66"/>
      <c r="D109" s="378"/>
      <c r="E109" s="380"/>
      <c r="F109" s="209"/>
      <c r="G109" s="122" t="s">
        <v>1403</v>
      </c>
      <c r="H109" s="323"/>
      <c r="I109" s="333"/>
      <c r="J109" s="155" t="s">
        <v>1386</v>
      </c>
      <c r="K109" s="216" t="s">
        <v>1336</v>
      </c>
      <c r="L109" s="140"/>
      <c r="M109" s="140"/>
      <c r="N109" s="140"/>
      <c r="O109" s="19"/>
      <c r="P109" s="19"/>
      <c r="Q109" s="15"/>
      <c r="R109" s="15"/>
      <c r="S109" s="15"/>
      <c r="T109" s="24"/>
      <c r="U109" s="24"/>
      <c r="V109" s="24"/>
    </row>
    <row r="110" spans="1:22" ht="15.75">
      <c r="A110" s="151" t="s">
        <v>1547</v>
      </c>
      <c r="B110" s="337"/>
      <c r="C110" s="66"/>
      <c r="D110" s="378"/>
      <c r="E110" s="380"/>
      <c r="F110" s="209"/>
      <c r="G110" s="335" t="s">
        <v>1396</v>
      </c>
      <c r="H110" s="323"/>
      <c r="I110" s="323"/>
      <c r="J110" s="155" t="s">
        <v>1397</v>
      </c>
      <c r="K110" s="216" t="s">
        <v>1336</v>
      </c>
      <c r="L110" s="140"/>
      <c r="M110" s="140"/>
      <c r="N110" s="140"/>
      <c r="O110" s="19"/>
      <c r="P110" s="19"/>
      <c r="Q110" s="15"/>
      <c r="R110" s="15"/>
      <c r="S110" s="15"/>
      <c r="T110" s="24"/>
      <c r="U110" s="24"/>
      <c r="V110" s="24"/>
    </row>
    <row r="111" spans="1:22" ht="15.75" customHeight="1">
      <c r="A111" s="151" t="s">
        <v>1548</v>
      </c>
      <c r="B111" s="337"/>
      <c r="C111" s="66"/>
      <c r="D111" s="379"/>
      <c r="E111" s="381"/>
      <c r="F111" s="209"/>
      <c r="G111" s="332" t="s">
        <v>1388</v>
      </c>
      <c r="H111" s="323"/>
      <c r="I111" s="323"/>
      <c r="J111" s="339" t="s">
        <v>1389</v>
      </c>
      <c r="K111" s="216" t="s">
        <v>1336</v>
      </c>
      <c r="L111" s="140"/>
      <c r="M111" s="140"/>
      <c r="N111" s="140"/>
      <c r="O111" s="19"/>
      <c r="P111" s="19"/>
      <c r="Q111" s="15"/>
      <c r="R111" s="15"/>
      <c r="S111" s="15"/>
      <c r="T111" s="24"/>
      <c r="U111" s="24"/>
      <c r="V111" s="24"/>
    </row>
    <row r="112" spans="1:22" ht="15.75">
      <c r="A112" s="151" t="s">
        <v>1549</v>
      </c>
      <c r="B112" s="337"/>
      <c r="C112" s="156"/>
      <c r="D112" s="379" t="s">
        <v>1407</v>
      </c>
      <c r="E112" s="381" t="s">
        <v>1408</v>
      </c>
      <c r="F112" s="221"/>
      <c r="G112" s="173" t="s">
        <v>1378</v>
      </c>
      <c r="H112" s="323"/>
      <c r="I112" s="323"/>
      <c r="J112" s="122" t="s">
        <v>1364</v>
      </c>
      <c r="K112" s="216" t="s">
        <v>1336</v>
      </c>
      <c r="L112" s="140"/>
      <c r="M112" s="140"/>
      <c r="N112" s="140"/>
      <c r="O112" s="19"/>
      <c r="P112" s="19"/>
      <c r="Q112" s="15"/>
      <c r="R112" s="15"/>
      <c r="S112" s="15"/>
      <c r="T112" s="24"/>
      <c r="U112" s="24"/>
      <c r="V112" s="24"/>
    </row>
    <row r="113" spans="1:22" ht="30">
      <c r="A113" s="151" t="s">
        <v>1550</v>
      </c>
      <c r="B113" s="337"/>
      <c r="C113" s="156"/>
      <c r="D113" s="386"/>
      <c r="E113" s="387"/>
      <c r="F113" s="221"/>
      <c r="G113" s="324" t="s">
        <v>1410</v>
      </c>
      <c r="H113" s="323"/>
      <c r="I113" s="323"/>
      <c r="J113" s="155" t="s">
        <v>1411</v>
      </c>
      <c r="K113" s="216" t="s">
        <v>1336</v>
      </c>
      <c r="L113" s="140"/>
      <c r="M113" s="140"/>
      <c r="N113" s="140"/>
      <c r="O113" s="19"/>
      <c r="P113" s="19"/>
      <c r="Q113" s="15"/>
      <c r="R113" s="15"/>
      <c r="S113" s="15"/>
      <c r="T113" s="24"/>
      <c r="U113" s="24"/>
      <c r="V113" s="24"/>
    </row>
    <row r="114" spans="1:22" ht="30">
      <c r="A114" s="151" t="s">
        <v>1551</v>
      </c>
      <c r="B114" s="337"/>
      <c r="C114" s="156"/>
      <c r="D114" s="382"/>
      <c r="E114" s="388"/>
      <c r="F114" s="221"/>
      <c r="G114" s="324" t="s">
        <v>1413</v>
      </c>
      <c r="H114" s="323"/>
      <c r="I114" s="323"/>
      <c r="J114" s="155" t="s">
        <v>1411</v>
      </c>
      <c r="K114" s="216" t="s">
        <v>1336</v>
      </c>
      <c r="L114" s="140"/>
      <c r="M114" s="140"/>
      <c r="N114" s="140"/>
      <c r="O114" s="19"/>
      <c r="P114" s="19"/>
      <c r="Q114" s="15"/>
      <c r="R114" s="15"/>
      <c r="S114" s="15"/>
      <c r="T114" s="24"/>
      <c r="U114" s="24"/>
      <c r="V114" s="24"/>
    </row>
    <row r="115" spans="1:22" ht="15.75" customHeight="1">
      <c r="A115" s="151" t="s">
        <v>1552</v>
      </c>
      <c r="B115" s="337"/>
      <c r="C115" s="156"/>
      <c r="D115" s="382" t="s">
        <v>1415</v>
      </c>
      <c r="E115" s="383" t="s">
        <v>1362</v>
      </c>
      <c r="F115" s="173"/>
      <c r="G115" s="221" t="s">
        <v>1416</v>
      </c>
      <c r="H115" s="323"/>
      <c r="I115" s="323"/>
      <c r="J115" s="340" t="s">
        <v>71</v>
      </c>
      <c r="K115" s="216" t="s">
        <v>1336</v>
      </c>
      <c r="L115" s="140"/>
      <c r="M115" s="140"/>
      <c r="N115" s="140"/>
      <c r="O115" s="19"/>
      <c r="P115" s="19"/>
      <c r="Q115" s="15"/>
      <c r="R115" s="15"/>
      <c r="S115" s="15"/>
      <c r="T115" s="24"/>
      <c r="U115" s="24"/>
      <c r="V115" s="24"/>
    </row>
    <row r="116" spans="1:22" ht="15.75" customHeight="1">
      <c r="A116" s="151" t="s">
        <v>1553</v>
      </c>
      <c r="B116" s="337"/>
      <c r="C116" s="156"/>
      <c r="D116" s="378"/>
      <c r="E116" s="384"/>
      <c r="F116" s="173"/>
      <c r="G116" s="221" t="s">
        <v>1418</v>
      </c>
      <c r="H116" s="323"/>
      <c r="I116" s="323"/>
      <c r="J116" s="298" t="s">
        <v>71</v>
      </c>
      <c r="K116" s="216" t="s">
        <v>1336</v>
      </c>
      <c r="L116" s="140"/>
      <c r="M116" s="140"/>
      <c r="N116" s="140"/>
      <c r="O116" s="19"/>
      <c r="P116" s="19"/>
      <c r="Q116" s="15"/>
      <c r="R116" s="15"/>
      <c r="S116" s="15"/>
      <c r="T116" s="24"/>
      <c r="U116" s="24"/>
      <c r="V116" s="24"/>
    </row>
    <row r="117" spans="1:22" ht="15.75">
      <c r="A117" s="151" t="s">
        <v>1554</v>
      </c>
      <c r="B117" s="337"/>
      <c r="C117" s="156"/>
      <c r="D117" s="378"/>
      <c r="E117" s="384"/>
      <c r="F117" s="153"/>
      <c r="G117" s="331" t="s">
        <v>92</v>
      </c>
      <c r="H117" s="323"/>
      <c r="I117" s="323"/>
      <c r="J117" s="298" t="s">
        <v>94</v>
      </c>
      <c r="K117" s="216" t="s">
        <v>1336</v>
      </c>
      <c r="L117" s="140"/>
      <c r="M117" s="140"/>
      <c r="N117" s="140"/>
      <c r="O117" s="19"/>
      <c r="P117" s="19"/>
      <c r="Q117" s="15"/>
      <c r="R117" s="15"/>
      <c r="S117" s="15"/>
      <c r="T117" s="24"/>
      <c r="U117" s="24"/>
      <c r="V117" s="24"/>
    </row>
    <row r="118" spans="1:22" ht="15.75">
      <c r="A118" s="151" t="s">
        <v>1555</v>
      </c>
      <c r="B118" s="337"/>
      <c r="C118" s="156"/>
      <c r="D118" s="378"/>
      <c r="E118" s="384"/>
      <c r="F118" s="173"/>
      <c r="G118" s="221" t="s">
        <v>1383</v>
      </c>
      <c r="H118" s="323"/>
      <c r="I118" s="323"/>
      <c r="J118" s="298" t="s">
        <v>94</v>
      </c>
      <c r="K118" s="216" t="s">
        <v>1336</v>
      </c>
      <c r="L118" s="140"/>
      <c r="M118" s="140"/>
      <c r="N118" s="140"/>
      <c r="O118" s="19"/>
      <c r="P118" s="19"/>
      <c r="Q118" s="15"/>
      <c r="R118" s="15"/>
      <c r="S118" s="15"/>
      <c r="T118" s="24"/>
      <c r="U118" s="24"/>
      <c r="V118" s="24"/>
    </row>
    <row r="119" spans="1:22" ht="15.75">
      <c r="A119" s="151" t="s">
        <v>1556</v>
      </c>
      <c r="B119" s="337"/>
      <c r="C119" s="156"/>
      <c r="D119" s="378"/>
      <c r="E119" s="384"/>
      <c r="F119" s="173"/>
      <c r="G119" s="221" t="s">
        <v>1422</v>
      </c>
      <c r="H119" s="323"/>
      <c r="I119" s="323"/>
      <c r="J119" s="155" t="s">
        <v>1367</v>
      </c>
      <c r="K119" s="216" t="s">
        <v>1336</v>
      </c>
      <c r="L119" s="140"/>
      <c r="M119" s="140"/>
      <c r="N119" s="140"/>
      <c r="O119" s="19"/>
      <c r="P119" s="19"/>
      <c r="Q119" s="15"/>
      <c r="R119" s="15"/>
      <c r="S119" s="15"/>
      <c r="T119" s="24"/>
      <c r="U119" s="24"/>
      <c r="V119" s="24"/>
    </row>
    <row r="120" spans="1:22" ht="15.75">
      <c r="A120" s="151" t="s">
        <v>1557</v>
      </c>
      <c r="B120" s="337"/>
      <c r="C120" s="156"/>
      <c r="D120" s="379"/>
      <c r="E120" s="385"/>
      <c r="F120" s="173"/>
      <c r="G120" s="221" t="s">
        <v>1424</v>
      </c>
      <c r="H120" s="323"/>
      <c r="I120" s="323"/>
      <c r="J120" s="155" t="s">
        <v>1425</v>
      </c>
      <c r="K120" s="216" t="s">
        <v>1336</v>
      </c>
      <c r="L120" s="140"/>
      <c r="M120" s="140"/>
      <c r="N120" s="140"/>
      <c r="O120" s="19"/>
      <c r="P120" s="19"/>
      <c r="Q120" s="15"/>
      <c r="R120" s="15"/>
      <c r="S120" s="15"/>
      <c r="T120" s="24"/>
      <c r="U120" s="24"/>
      <c r="V120" s="24"/>
    </row>
    <row r="121" spans="1:22" ht="15.75" customHeight="1">
      <c r="A121" s="151" t="s">
        <v>1558</v>
      </c>
      <c r="B121" s="337"/>
      <c r="C121" s="156"/>
      <c r="D121" s="378" t="s">
        <v>257</v>
      </c>
      <c r="E121" s="380" t="s">
        <v>1427</v>
      </c>
      <c r="F121" s="221"/>
      <c r="G121" s="334" t="s">
        <v>1380</v>
      </c>
      <c r="H121" s="323"/>
      <c r="I121" s="323"/>
      <c r="J121" s="309" t="s">
        <v>81</v>
      </c>
      <c r="K121" s="216" t="s">
        <v>1336</v>
      </c>
      <c r="L121" s="140"/>
      <c r="M121" s="140"/>
      <c r="N121" s="140"/>
      <c r="O121" s="19"/>
      <c r="P121" s="19"/>
      <c r="Q121" s="15"/>
      <c r="R121" s="15"/>
      <c r="S121" s="15"/>
      <c r="T121" s="24"/>
      <c r="U121" s="24"/>
      <c r="V121" s="24"/>
    </row>
    <row r="122" spans="1:22" ht="15.75" customHeight="1">
      <c r="A122" s="151" t="s">
        <v>1559</v>
      </c>
      <c r="B122" s="337"/>
      <c r="C122" s="156"/>
      <c r="D122" s="378"/>
      <c r="E122" s="380"/>
      <c r="F122" s="221"/>
      <c r="G122" s="173" t="s">
        <v>1429</v>
      </c>
      <c r="H122" s="323"/>
      <c r="I122" s="323"/>
      <c r="J122" s="298" t="s">
        <v>71</v>
      </c>
      <c r="K122" s="216" t="s">
        <v>1336</v>
      </c>
      <c r="L122" s="140"/>
      <c r="M122" s="140"/>
      <c r="N122" s="140"/>
      <c r="O122" s="19"/>
      <c r="P122" s="19"/>
      <c r="Q122" s="15"/>
      <c r="R122" s="15"/>
      <c r="S122" s="15"/>
      <c r="T122" s="24"/>
      <c r="U122" s="24"/>
      <c r="V122" s="24"/>
    </row>
    <row r="123" spans="1:22" ht="15.75">
      <c r="A123" s="151" t="s">
        <v>1560</v>
      </c>
      <c r="B123" s="337"/>
      <c r="C123" s="156"/>
      <c r="D123" s="379"/>
      <c r="E123" s="381"/>
      <c r="F123" s="221"/>
      <c r="G123" s="327" t="s">
        <v>1431</v>
      </c>
      <c r="H123" s="332"/>
      <c r="I123" s="323"/>
      <c r="J123" s="155" t="s">
        <v>1432</v>
      </c>
      <c r="K123" s="216" t="s">
        <v>1336</v>
      </c>
      <c r="L123" s="140"/>
      <c r="M123" s="140"/>
      <c r="N123" s="140"/>
      <c r="O123" s="19"/>
      <c r="P123" s="19"/>
      <c r="Q123" s="15"/>
      <c r="R123" s="15"/>
      <c r="S123" s="15"/>
      <c r="T123" s="24"/>
      <c r="U123" s="24"/>
      <c r="V123" s="24"/>
    </row>
    <row r="124" spans="1:22" ht="15.75" customHeight="1">
      <c r="A124" s="151" t="s">
        <v>1561</v>
      </c>
      <c r="B124" s="337"/>
      <c r="C124" s="156"/>
      <c r="D124" s="378" t="s">
        <v>34</v>
      </c>
      <c r="E124" s="378" t="s">
        <v>1434</v>
      </c>
      <c r="F124" s="221"/>
      <c r="G124" s="173" t="s">
        <v>1429</v>
      </c>
      <c r="H124" s="323"/>
      <c r="I124" s="323"/>
      <c r="J124" s="298" t="s">
        <v>71</v>
      </c>
      <c r="K124" s="216" t="s">
        <v>1336</v>
      </c>
      <c r="L124" s="140"/>
      <c r="M124" s="140"/>
      <c r="N124" s="140"/>
      <c r="O124" s="19"/>
      <c r="P124" s="19"/>
      <c r="Q124" s="15"/>
      <c r="R124" s="15"/>
      <c r="S124" s="15"/>
      <c r="T124" s="24"/>
      <c r="U124" s="24"/>
      <c r="V124" s="24"/>
    </row>
    <row r="125" spans="1:22" ht="30">
      <c r="A125" s="151" t="s">
        <v>1562</v>
      </c>
      <c r="B125" s="337"/>
      <c r="C125" s="156"/>
      <c r="D125" s="378"/>
      <c r="E125" s="378"/>
      <c r="F125" s="221"/>
      <c r="G125" s="327" t="s">
        <v>160</v>
      </c>
      <c r="H125" s="332"/>
      <c r="I125" s="323"/>
      <c r="J125" s="155" t="s">
        <v>1436</v>
      </c>
      <c r="K125" s="216" t="s">
        <v>1336</v>
      </c>
      <c r="L125" s="140"/>
      <c r="M125" s="140"/>
      <c r="N125" s="140"/>
      <c r="O125" s="19"/>
      <c r="P125" s="19"/>
      <c r="Q125" s="15"/>
      <c r="R125" s="15"/>
      <c r="S125" s="15"/>
      <c r="T125" s="24"/>
      <c r="U125" s="24"/>
      <c r="V125" s="24"/>
    </row>
    <row r="126" spans="1:22" ht="15.75">
      <c r="A126" s="151" t="s">
        <v>1563</v>
      </c>
      <c r="B126" s="337"/>
      <c r="C126" s="156"/>
      <c r="D126" s="378"/>
      <c r="E126" s="378"/>
      <c r="F126" s="221"/>
      <c r="G126" s="327" t="s">
        <v>1438</v>
      </c>
      <c r="H126" s="332"/>
      <c r="I126" s="323"/>
      <c r="J126" s="155" t="s">
        <v>1439</v>
      </c>
      <c r="K126" s="216" t="s">
        <v>1336</v>
      </c>
      <c r="L126" s="140"/>
      <c r="M126" s="140"/>
      <c r="N126" s="140"/>
      <c r="O126" s="19"/>
      <c r="P126" s="19"/>
      <c r="Q126" s="15"/>
      <c r="R126" s="15"/>
      <c r="S126" s="15"/>
      <c r="T126" s="24"/>
      <c r="U126" s="24"/>
      <c r="V126" s="24"/>
    </row>
    <row r="127" spans="1:22" ht="30">
      <c r="A127" s="151" t="s">
        <v>1564</v>
      </c>
      <c r="B127" s="337"/>
      <c r="C127" s="156"/>
      <c r="D127" s="378"/>
      <c r="E127" s="378"/>
      <c r="F127" s="221"/>
      <c r="G127" s="327" t="s">
        <v>1441</v>
      </c>
      <c r="H127" s="332"/>
      <c r="I127" s="323"/>
      <c r="J127" s="155" t="s">
        <v>1442</v>
      </c>
      <c r="K127" s="216" t="s">
        <v>1336</v>
      </c>
      <c r="L127" s="140"/>
      <c r="M127" s="140"/>
      <c r="N127" s="140"/>
      <c r="O127" s="19"/>
      <c r="P127" s="19"/>
      <c r="Q127" s="15"/>
      <c r="R127" s="15"/>
      <c r="S127" s="15"/>
      <c r="T127" s="24"/>
      <c r="U127" s="24"/>
      <c r="V127" s="24"/>
    </row>
    <row r="128" spans="1:22" ht="15.75" customHeight="1">
      <c r="A128" s="151" t="s">
        <v>1565</v>
      </c>
      <c r="B128" s="337"/>
      <c r="C128" s="156"/>
      <c r="D128" s="378"/>
      <c r="E128" s="378" t="s">
        <v>1444</v>
      </c>
      <c r="F128" s="221"/>
      <c r="G128" s="173" t="s">
        <v>1429</v>
      </c>
      <c r="H128" s="323"/>
      <c r="I128" s="323"/>
      <c r="J128" s="298" t="s">
        <v>71</v>
      </c>
      <c r="K128" s="216" t="s">
        <v>1336</v>
      </c>
      <c r="L128" s="140"/>
      <c r="M128" s="140"/>
      <c r="N128" s="140"/>
      <c r="O128" s="19"/>
      <c r="P128" s="19"/>
      <c r="Q128" s="15"/>
      <c r="R128" s="15"/>
      <c r="S128" s="15"/>
      <c r="T128" s="24"/>
      <c r="U128" s="24"/>
      <c r="V128" s="24"/>
    </row>
    <row r="129" spans="1:22" ht="30">
      <c r="A129" s="151" t="s">
        <v>1566</v>
      </c>
      <c r="B129" s="337"/>
      <c r="C129" s="156"/>
      <c r="D129" s="378"/>
      <c r="E129" s="378"/>
      <c r="F129" s="221"/>
      <c r="G129" s="327" t="s">
        <v>160</v>
      </c>
      <c r="H129" s="332"/>
      <c r="I129" s="323"/>
      <c r="J129" s="155" t="s">
        <v>1436</v>
      </c>
      <c r="K129" s="216" t="s">
        <v>1336</v>
      </c>
      <c r="L129" s="140"/>
      <c r="M129" s="140"/>
      <c r="N129" s="140"/>
      <c r="O129" s="19"/>
      <c r="P129" s="19"/>
      <c r="Q129" s="15"/>
      <c r="R129" s="15"/>
      <c r="S129" s="15"/>
      <c r="T129" s="24"/>
      <c r="U129" s="24"/>
      <c r="V129" s="24"/>
    </row>
    <row r="130" spans="1:22" ht="30">
      <c r="A130" s="151" t="s">
        <v>1567</v>
      </c>
      <c r="B130" s="337"/>
      <c r="C130" s="156"/>
      <c r="D130" s="378"/>
      <c r="E130" s="378"/>
      <c r="F130" s="221"/>
      <c r="G130" s="327" t="s">
        <v>1447</v>
      </c>
      <c r="H130" s="332"/>
      <c r="I130" s="323"/>
      <c r="J130" s="155" t="s">
        <v>1448</v>
      </c>
      <c r="K130" s="216" t="s">
        <v>1336</v>
      </c>
      <c r="L130" s="140"/>
      <c r="M130" s="140"/>
      <c r="N130" s="140"/>
      <c r="O130" s="19"/>
      <c r="P130" s="19"/>
      <c r="Q130" s="15"/>
      <c r="R130" s="15"/>
      <c r="S130" s="15"/>
      <c r="T130" s="24"/>
      <c r="U130" s="24"/>
      <c r="V130" s="24"/>
    </row>
    <row r="131" spans="1:22" ht="15.75">
      <c r="A131" s="151" t="s">
        <v>1568</v>
      </c>
      <c r="B131" s="337"/>
      <c r="C131" s="156"/>
      <c r="D131" s="378"/>
      <c r="E131" s="378" t="s">
        <v>1450</v>
      </c>
      <c r="F131" s="221"/>
      <c r="G131" s="173" t="s">
        <v>1429</v>
      </c>
      <c r="H131" s="332"/>
      <c r="I131" s="323"/>
      <c r="J131" s="122" t="s">
        <v>1364</v>
      </c>
      <c r="K131" s="216" t="s">
        <v>1336</v>
      </c>
      <c r="L131" s="140"/>
      <c r="M131" s="140"/>
      <c r="N131" s="140"/>
      <c r="O131" s="19"/>
      <c r="P131" s="19"/>
      <c r="Q131" s="15"/>
      <c r="R131" s="15"/>
      <c r="S131" s="15"/>
      <c r="T131" s="24"/>
      <c r="U131" s="24"/>
      <c r="V131" s="24"/>
    </row>
    <row r="132" spans="1:22" ht="15.75">
      <c r="A132" s="151" t="s">
        <v>1569</v>
      </c>
      <c r="B132" s="337"/>
      <c r="C132" s="156"/>
      <c r="D132" s="379"/>
      <c r="E132" s="379"/>
      <c r="F132" s="221"/>
      <c r="G132" s="327" t="s">
        <v>160</v>
      </c>
      <c r="H132" s="332"/>
      <c r="I132" s="323"/>
      <c r="J132" s="155"/>
      <c r="K132" s="216" t="s">
        <v>1336</v>
      </c>
      <c r="L132" s="140"/>
      <c r="M132" s="140"/>
      <c r="N132" s="140"/>
      <c r="O132" s="19"/>
      <c r="P132" s="19"/>
      <c r="Q132" s="15"/>
      <c r="R132" s="15"/>
      <c r="S132" s="15"/>
      <c r="T132" s="24"/>
      <c r="U132" s="24"/>
      <c r="V132" s="24"/>
    </row>
    <row r="133" spans="1:22" ht="15.75" customHeight="1">
      <c r="A133" s="151" t="s">
        <v>1570</v>
      </c>
      <c r="B133" s="337"/>
      <c r="C133" s="156"/>
      <c r="D133" s="378" t="s">
        <v>1453</v>
      </c>
      <c r="E133" s="380" t="s">
        <v>1454</v>
      </c>
      <c r="F133" s="173"/>
      <c r="G133" s="327" t="s">
        <v>1455</v>
      </c>
      <c r="H133" s="332"/>
      <c r="I133" s="323"/>
      <c r="J133" s="122" t="s">
        <v>1364</v>
      </c>
      <c r="K133" s="216" t="s">
        <v>1336</v>
      </c>
      <c r="L133" s="140"/>
      <c r="M133" s="140"/>
      <c r="N133" s="140"/>
      <c r="O133" s="19"/>
      <c r="P133" s="19"/>
      <c r="Q133" s="15"/>
      <c r="R133" s="15"/>
      <c r="S133" s="15"/>
      <c r="T133" s="24"/>
      <c r="U133" s="24"/>
      <c r="V133" s="24"/>
    </row>
    <row r="134" spans="1:22" ht="30">
      <c r="A134" s="151" t="s">
        <v>1571</v>
      </c>
      <c r="B134" s="337"/>
      <c r="C134" s="156"/>
      <c r="D134" s="378"/>
      <c r="E134" s="380"/>
      <c r="F134" s="173"/>
      <c r="G134" s="327" t="s">
        <v>1457</v>
      </c>
      <c r="H134" s="332"/>
      <c r="I134" s="323"/>
      <c r="J134" s="122" t="s">
        <v>1367</v>
      </c>
      <c r="K134" s="216" t="s">
        <v>1336</v>
      </c>
      <c r="L134" s="140"/>
      <c r="M134" s="140"/>
      <c r="N134" s="140"/>
      <c r="O134" s="19"/>
      <c r="P134" s="19"/>
      <c r="Q134" s="15"/>
      <c r="R134" s="15"/>
      <c r="S134" s="15"/>
      <c r="T134" s="24"/>
      <c r="U134" s="24"/>
      <c r="V134" s="24"/>
    </row>
    <row r="135" spans="1:22" ht="15.75" customHeight="1">
      <c r="A135" s="151" t="s">
        <v>1572</v>
      </c>
      <c r="B135" s="337"/>
      <c r="C135" s="156"/>
      <c r="D135" s="378"/>
      <c r="E135" s="380"/>
      <c r="F135" s="173"/>
      <c r="G135" s="327" t="s">
        <v>1459</v>
      </c>
      <c r="H135" s="332"/>
      <c r="I135" s="323"/>
      <c r="J135" s="122" t="s">
        <v>1370</v>
      </c>
      <c r="K135" s="216" t="s">
        <v>1336</v>
      </c>
      <c r="L135" s="140"/>
      <c r="M135" s="140"/>
      <c r="N135" s="140"/>
      <c r="O135" s="19"/>
      <c r="P135" s="19"/>
      <c r="Q135" s="15"/>
      <c r="R135" s="15"/>
      <c r="S135" s="15"/>
      <c r="T135" s="24"/>
      <c r="U135" s="24"/>
      <c r="V135" s="24"/>
    </row>
    <row r="136" spans="1:22" ht="15.75" customHeight="1">
      <c r="A136" s="151" t="s">
        <v>1573</v>
      </c>
      <c r="B136" s="337"/>
      <c r="C136" s="156"/>
      <c r="D136" s="378"/>
      <c r="E136" s="380" t="s">
        <v>1461</v>
      </c>
      <c r="F136" s="173"/>
      <c r="G136" s="327" t="s">
        <v>1462</v>
      </c>
      <c r="H136" s="332"/>
      <c r="I136" s="323"/>
      <c r="J136" s="122" t="s">
        <v>1364</v>
      </c>
      <c r="K136" s="216" t="s">
        <v>1336</v>
      </c>
      <c r="L136" s="140"/>
      <c r="M136" s="140"/>
      <c r="N136" s="140"/>
      <c r="O136" s="19"/>
      <c r="P136" s="19"/>
      <c r="Q136" s="15"/>
      <c r="R136" s="15"/>
      <c r="S136" s="15"/>
      <c r="T136" s="24"/>
      <c r="U136" s="24"/>
      <c r="V136" s="24"/>
    </row>
    <row r="137" spans="1:22" ht="30">
      <c r="A137" s="151" t="s">
        <v>1574</v>
      </c>
      <c r="B137" s="337"/>
      <c r="C137" s="156"/>
      <c r="D137" s="378"/>
      <c r="E137" s="380"/>
      <c r="F137" s="173"/>
      <c r="G137" s="327" t="s">
        <v>1457</v>
      </c>
      <c r="H137" s="332"/>
      <c r="I137" s="323"/>
      <c r="J137" s="122" t="s">
        <v>1367</v>
      </c>
      <c r="K137" s="216" t="s">
        <v>1336</v>
      </c>
      <c r="L137" s="140"/>
      <c r="M137" s="140"/>
      <c r="N137" s="140"/>
      <c r="O137" s="19"/>
      <c r="P137" s="19"/>
      <c r="Q137" s="15"/>
      <c r="R137" s="15"/>
      <c r="S137" s="15"/>
      <c r="T137" s="24"/>
      <c r="U137" s="24"/>
      <c r="V137" s="24"/>
    </row>
    <row r="138" spans="1:22" ht="15.75" customHeight="1">
      <c r="A138" s="151" t="s">
        <v>1575</v>
      </c>
      <c r="B138" s="337"/>
      <c r="C138" s="156"/>
      <c r="D138" s="378"/>
      <c r="E138" s="380"/>
      <c r="F138" s="173"/>
      <c r="G138" s="327" t="s">
        <v>1459</v>
      </c>
      <c r="H138" s="332"/>
      <c r="I138" s="323"/>
      <c r="J138" s="122" t="s">
        <v>1370</v>
      </c>
      <c r="K138" s="216" t="s">
        <v>1336</v>
      </c>
      <c r="L138" s="140"/>
      <c r="M138" s="140"/>
      <c r="N138" s="140"/>
      <c r="O138" s="19"/>
      <c r="P138" s="19"/>
      <c r="Q138" s="15"/>
      <c r="R138" s="15"/>
      <c r="S138" s="15"/>
      <c r="T138" s="24"/>
      <c r="U138" s="24"/>
      <c r="V138" s="24"/>
    </row>
    <row r="139" spans="1:22" ht="15.75" customHeight="1">
      <c r="A139" s="151" t="s">
        <v>1576</v>
      </c>
      <c r="B139" s="337"/>
      <c r="C139" s="156"/>
      <c r="D139" s="378"/>
      <c r="E139" s="380" t="s">
        <v>1466</v>
      </c>
      <c r="F139" s="173"/>
      <c r="G139" s="327" t="s">
        <v>1467</v>
      </c>
      <c r="H139" s="332"/>
      <c r="I139" s="323"/>
      <c r="J139" s="122" t="s">
        <v>1364</v>
      </c>
      <c r="K139" s="216" t="s">
        <v>1336</v>
      </c>
      <c r="L139" s="140"/>
      <c r="M139" s="140"/>
      <c r="N139" s="140"/>
      <c r="O139" s="19"/>
      <c r="P139" s="19"/>
      <c r="Q139" s="15"/>
      <c r="R139" s="15"/>
      <c r="S139" s="15"/>
      <c r="T139" s="24"/>
      <c r="U139" s="24"/>
      <c r="V139" s="24"/>
    </row>
    <row r="140" spans="1:22" ht="30">
      <c r="A140" s="151" t="s">
        <v>1577</v>
      </c>
      <c r="B140" s="337"/>
      <c r="C140" s="156"/>
      <c r="D140" s="378"/>
      <c r="E140" s="380"/>
      <c r="F140" s="173"/>
      <c r="G140" s="327" t="s">
        <v>1457</v>
      </c>
      <c r="H140" s="332"/>
      <c r="I140" s="323"/>
      <c r="J140" s="122" t="s">
        <v>1367</v>
      </c>
      <c r="K140" s="216" t="s">
        <v>1336</v>
      </c>
      <c r="L140" s="140"/>
      <c r="M140" s="140"/>
      <c r="N140" s="140"/>
      <c r="O140" s="19"/>
      <c r="P140" s="19"/>
      <c r="Q140" s="15"/>
      <c r="R140" s="15"/>
      <c r="S140" s="15"/>
      <c r="T140" s="24"/>
      <c r="U140" s="24"/>
      <c r="V140" s="24"/>
    </row>
    <row r="141" spans="1:22" ht="15.75" customHeight="1">
      <c r="A141" s="151" t="s">
        <v>1578</v>
      </c>
      <c r="B141" s="337"/>
      <c r="C141" s="156"/>
      <c r="D141" s="379"/>
      <c r="E141" s="381"/>
      <c r="F141" s="173"/>
      <c r="G141" s="327" t="s">
        <v>1459</v>
      </c>
      <c r="H141" s="332"/>
      <c r="I141" s="323"/>
      <c r="J141" s="122" t="s">
        <v>1370</v>
      </c>
      <c r="K141" s="216" t="s">
        <v>1336</v>
      </c>
      <c r="L141" s="140"/>
      <c r="M141" s="140"/>
      <c r="N141" s="140"/>
      <c r="O141" s="19"/>
      <c r="P141" s="19"/>
      <c r="Q141" s="15"/>
      <c r="R141" s="15"/>
      <c r="S141" s="15"/>
      <c r="T141" s="24"/>
      <c r="U141" s="24"/>
      <c r="V141" s="24"/>
    </row>
    <row r="142" spans="1:22" ht="15.75">
      <c r="A142" s="151" t="s">
        <v>1579</v>
      </c>
      <c r="B142" s="337"/>
      <c r="C142" s="156"/>
      <c r="D142" s="378" t="s">
        <v>1471</v>
      </c>
      <c r="E142" s="380" t="s">
        <v>1472</v>
      </c>
      <c r="F142" s="226"/>
      <c r="G142" s="327" t="s">
        <v>1473</v>
      </c>
      <c r="H142" s="332"/>
      <c r="I142" s="323"/>
      <c r="J142" s="122" t="s">
        <v>1364</v>
      </c>
      <c r="K142" s="216" t="s">
        <v>1336</v>
      </c>
      <c r="L142" s="140"/>
      <c r="M142" s="140"/>
      <c r="N142" s="140"/>
      <c r="O142" s="19"/>
      <c r="P142" s="19"/>
      <c r="Q142" s="15"/>
      <c r="R142" s="15"/>
      <c r="S142" s="15"/>
      <c r="T142" s="24"/>
      <c r="U142" s="24"/>
      <c r="V142" s="24"/>
    </row>
    <row r="143" spans="1:22" ht="15.75">
      <c r="A143" s="151" t="s">
        <v>1580</v>
      </c>
      <c r="B143" s="337"/>
      <c r="C143" s="156"/>
      <c r="D143" s="378"/>
      <c r="E143" s="380"/>
      <c r="F143" s="221"/>
      <c r="G143" s="327" t="s">
        <v>1475</v>
      </c>
      <c r="H143" s="332"/>
      <c r="I143" s="323"/>
      <c r="J143" s="122" t="s">
        <v>1367</v>
      </c>
      <c r="K143" s="216" t="s">
        <v>1336</v>
      </c>
      <c r="L143" s="140"/>
      <c r="M143" s="140"/>
      <c r="N143" s="140"/>
      <c r="O143" s="19"/>
      <c r="P143" s="19"/>
      <c r="Q143" s="15"/>
      <c r="R143" s="15"/>
      <c r="S143" s="15"/>
      <c r="T143" s="24"/>
      <c r="U143" s="24"/>
      <c r="V143" s="24"/>
    </row>
    <row r="144" spans="1:22" ht="15.75" customHeight="1">
      <c r="A144" s="151" t="s">
        <v>1581</v>
      </c>
      <c r="B144" s="337"/>
      <c r="C144" s="156"/>
      <c r="D144" s="378"/>
      <c r="E144" s="380"/>
      <c r="F144" s="221"/>
      <c r="G144" s="327" t="s">
        <v>1477</v>
      </c>
      <c r="H144" s="332"/>
      <c r="I144" s="323"/>
      <c r="J144" s="122" t="s">
        <v>1370</v>
      </c>
      <c r="K144" s="216" t="s">
        <v>1336</v>
      </c>
      <c r="L144" s="140"/>
      <c r="M144" s="140"/>
      <c r="N144" s="140"/>
      <c r="O144" s="19"/>
      <c r="P144" s="19"/>
      <c r="Q144" s="15"/>
      <c r="R144" s="15"/>
      <c r="S144" s="15"/>
      <c r="T144" s="24"/>
      <c r="U144" s="24"/>
      <c r="V144" s="24"/>
    </row>
    <row r="145" spans="1:22" ht="15.75" customHeight="1">
      <c r="A145" s="151" t="s">
        <v>1582</v>
      </c>
      <c r="B145" s="337"/>
      <c r="C145" s="156"/>
      <c r="D145" s="378"/>
      <c r="E145" s="380" t="s">
        <v>1479</v>
      </c>
      <c r="F145" s="221"/>
      <c r="G145" s="327" t="s">
        <v>1480</v>
      </c>
      <c r="H145" s="332"/>
      <c r="I145" s="323"/>
      <c r="J145" s="122" t="s">
        <v>1364</v>
      </c>
      <c r="K145" s="216" t="s">
        <v>1336</v>
      </c>
      <c r="L145" s="140"/>
      <c r="M145" s="140"/>
      <c r="N145" s="140"/>
      <c r="O145" s="19"/>
      <c r="P145" s="19"/>
      <c r="Q145" s="15"/>
      <c r="R145" s="15"/>
      <c r="S145" s="15"/>
      <c r="T145" s="24"/>
      <c r="U145" s="24"/>
      <c r="V145" s="24"/>
    </row>
    <row r="146" spans="1:22" ht="30">
      <c r="A146" s="151" t="s">
        <v>1583</v>
      </c>
      <c r="B146" s="337"/>
      <c r="C146" s="156"/>
      <c r="D146" s="378"/>
      <c r="E146" s="380"/>
      <c r="F146" s="221"/>
      <c r="G146" s="327" t="s">
        <v>1482</v>
      </c>
      <c r="H146" s="332"/>
      <c r="I146" s="323"/>
      <c r="J146" s="122" t="s">
        <v>1367</v>
      </c>
      <c r="K146" s="216" t="s">
        <v>1336</v>
      </c>
      <c r="L146" s="140"/>
      <c r="M146" s="140"/>
      <c r="N146" s="140"/>
      <c r="O146" s="19"/>
      <c r="P146" s="19"/>
      <c r="Q146" s="15"/>
      <c r="R146" s="15"/>
      <c r="S146" s="15"/>
      <c r="T146" s="24"/>
      <c r="U146" s="24"/>
      <c r="V146" s="24"/>
    </row>
    <row r="147" spans="1:22" ht="15.75" customHeight="1">
      <c r="A147" s="151" t="s">
        <v>1584</v>
      </c>
      <c r="B147" s="337"/>
      <c r="C147" s="156"/>
      <c r="D147" s="378"/>
      <c r="E147" s="380"/>
      <c r="F147" s="221"/>
      <c r="G147" s="327" t="s">
        <v>1484</v>
      </c>
      <c r="H147" s="332"/>
      <c r="I147" s="323"/>
      <c r="J147" s="122" t="s">
        <v>1370</v>
      </c>
      <c r="K147" s="216" t="s">
        <v>1336</v>
      </c>
      <c r="L147" s="140"/>
      <c r="M147" s="140"/>
      <c r="N147" s="140"/>
      <c r="O147" s="19"/>
      <c r="P147" s="19"/>
      <c r="Q147" s="15"/>
      <c r="R147" s="15"/>
      <c r="S147" s="15"/>
      <c r="T147" s="24"/>
      <c r="U147" s="24"/>
      <c r="V147" s="24"/>
    </row>
    <row r="148" spans="1:22" ht="15.75" customHeight="1">
      <c r="A148" s="151" t="s">
        <v>1585</v>
      </c>
      <c r="B148" s="337"/>
      <c r="C148" s="156"/>
      <c r="D148" s="378"/>
      <c r="E148" s="380" t="s">
        <v>1486</v>
      </c>
      <c r="F148" s="221"/>
      <c r="G148" s="327" t="s">
        <v>1487</v>
      </c>
      <c r="H148" s="332"/>
      <c r="I148" s="323"/>
      <c r="J148" s="122" t="s">
        <v>1364</v>
      </c>
      <c r="K148" s="216" t="s">
        <v>1336</v>
      </c>
      <c r="L148" s="140"/>
      <c r="M148" s="140"/>
      <c r="N148" s="140"/>
      <c r="O148" s="19"/>
      <c r="P148" s="19"/>
      <c r="Q148" s="15"/>
      <c r="R148" s="15"/>
      <c r="S148" s="15"/>
      <c r="T148" s="24"/>
      <c r="U148" s="24"/>
      <c r="V148" s="24"/>
    </row>
    <row r="149" spans="1:22" ht="30">
      <c r="A149" s="151" t="s">
        <v>1586</v>
      </c>
      <c r="B149" s="337"/>
      <c r="C149" s="156"/>
      <c r="D149" s="378"/>
      <c r="E149" s="380"/>
      <c r="F149" s="221"/>
      <c r="G149" s="327" t="s">
        <v>1489</v>
      </c>
      <c r="H149" s="332"/>
      <c r="I149" s="323"/>
      <c r="J149" s="122" t="s">
        <v>1367</v>
      </c>
      <c r="K149" s="216" t="s">
        <v>1336</v>
      </c>
      <c r="L149" s="140"/>
      <c r="M149" s="140"/>
      <c r="N149" s="140"/>
      <c r="O149" s="19"/>
      <c r="P149" s="19"/>
      <c r="Q149" s="15"/>
      <c r="R149" s="15"/>
      <c r="S149" s="15"/>
      <c r="T149" s="24"/>
      <c r="U149" s="24"/>
      <c r="V149" s="24"/>
    </row>
    <row r="150" spans="1:22" ht="15.75" customHeight="1">
      <c r="A150" s="151" t="s">
        <v>1587</v>
      </c>
      <c r="B150" s="337"/>
      <c r="C150" s="156"/>
      <c r="D150" s="378"/>
      <c r="E150" s="380"/>
      <c r="F150" s="221"/>
      <c r="G150" s="327" t="s">
        <v>1491</v>
      </c>
      <c r="H150" s="332"/>
      <c r="I150" s="323"/>
      <c r="J150" s="122" t="s">
        <v>1370</v>
      </c>
      <c r="K150" s="216" t="s">
        <v>1336</v>
      </c>
      <c r="L150" s="140"/>
      <c r="M150" s="140"/>
      <c r="N150" s="140"/>
      <c r="O150" s="19"/>
      <c r="P150" s="19"/>
      <c r="Q150" s="15"/>
      <c r="R150" s="15"/>
      <c r="S150" s="15"/>
      <c r="T150" s="24"/>
      <c r="U150" s="24"/>
      <c r="V150" s="24"/>
    </row>
    <row r="151" spans="1:22" ht="15.75" customHeight="1">
      <c r="A151" s="151" t="s">
        <v>1588</v>
      </c>
      <c r="B151" s="337"/>
      <c r="C151" s="156"/>
      <c r="D151" s="378"/>
      <c r="E151" s="380" t="s">
        <v>1493</v>
      </c>
      <c r="F151" s="221"/>
      <c r="G151" s="327" t="s">
        <v>1494</v>
      </c>
      <c r="H151" s="332"/>
      <c r="I151" s="323"/>
      <c r="J151" s="122" t="s">
        <v>1364</v>
      </c>
      <c r="K151" s="216" t="s">
        <v>1336</v>
      </c>
      <c r="L151" s="140"/>
      <c r="M151" s="140"/>
      <c r="N151" s="140"/>
      <c r="O151" s="19"/>
      <c r="P151" s="19"/>
      <c r="Q151" s="15"/>
      <c r="R151" s="15"/>
      <c r="S151" s="15"/>
      <c r="T151" s="24"/>
      <c r="U151" s="24"/>
      <c r="V151" s="24"/>
    </row>
    <row r="152" spans="1:22" ht="15.75" customHeight="1">
      <c r="A152" s="151" t="s">
        <v>1589</v>
      </c>
      <c r="B152" s="337"/>
      <c r="C152" s="156"/>
      <c r="D152" s="378"/>
      <c r="E152" s="380"/>
      <c r="F152" s="221"/>
      <c r="G152" s="327" t="s">
        <v>1496</v>
      </c>
      <c r="H152" s="332"/>
      <c r="I152" s="323"/>
      <c r="J152" s="122" t="s">
        <v>1367</v>
      </c>
      <c r="K152" s="216" t="s">
        <v>1336</v>
      </c>
      <c r="L152" s="140"/>
      <c r="M152" s="140"/>
      <c r="N152" s="140"/>
      <c r="O152" s="19"/>
      <c r="P152" s="19"/>
      <c r="Q152" s="15"/>
      <c r="R152" s="15"/>
      <c r="S152" s="15"/>
      <c r="T152" s="24"/>
      <c r="U152" s="24"/>
      <c r="V152" s="24"/>
    </row>
    <row r="153" spans="1:22" ht="15.75" customHeight="1">
      <c r="A153" s="151" t="s">
        <v>1590</v>
      </c>
      <c r="B153" s="337"/>
      <c r="C153" s="156"/>
      <c r="D153" s="378"/>
      <c r="E153" s="380"/>
      <c r="F153" s="221"/>
      <c r="G153" s="327" t="s">
        <v>1498</v>
      </c>
      <c r="H153" s="332"/>
      <c r="I153" s="323"/>
      <c r="J153" s="122" t="s">
        <v>1370</v>
      </c>
      <c r="K153" s="216" t="s">
        <v>1336</v>
      </c>
      <c r="L153" s="140"/>
      <c r="M153" s="140"/>
      <c r="N153" s="140"/>
      <c r="O153" s="19"/>
      <c r="P153" s="19"/>
      <c r="Q153" s="15"/>
      <c r="R153" s="15"/>
      <c r="S153" s="15"/>
      <c r="T153" s="24"/>
      <c r="U153" s="24"/>
      <c r="V153" s="24"/>
    </row>
    <row r="154" spans="1:22" ht="15.75" customHeight="1">
      <c r="A154" s="151" t="s">
        <v>1591</v>
      </c>
      <c r="B154" s="337"/>
      <c r="C154" s="156"/>
      <c r="D154" s="378"/>
      <c r="E154" s="380" t="s">
        <v>1500</v>
      </c>
      <c r="F154" s="221"/>
      <c r="G154" s="327" t="s">
        <v>1501</v>
      </c>
      <c r="H154" s="332"/>
      <c r="I154" s="323"/>
      <c r="J154" s="122" t="s">
        <v>1364</v>
      </c>
      <c r="K154" s="216" t="s">
        <v>1336</v>
      </c>
      <c r="L154" s="140"/>
      <c r="M154" s="140"/>
      <c r="N154" s="140"/>
      <c r="O154" s="19"/>
      <c r="P154" s="19"/>
      <c r="Q154" s="15"/>
      <c r="R154" s="15"/>
      <c r="S154" s="15"/>
      <c r="T154" s="24"/>
      <c r="U154" s="24"/>
      <c r="V154" s="24"/>
    </row>
    <row r="155" spans="1:22" ht="15.75" customHeight="1">
      <c r="A155" s="151" t="s">
        <v>1592</v>
      </c>
      <c r="B155" s="337"/>
      <c r="C155" s="156"/>
      <c r="D155" s="378"/>
      <c r="E155" s="380"/>
      <c r="F155" s="221"/>
      <c r="G155" s="327" t="s">
        <v>1503</v>
      </c>
      <c r="H155" s="332"/>
      <c r="I155" s="323"/>
      <c r="J155" s="122" t="s">
        <v>1367</v>
      </c>
      <c r="K155" s="216" t="s">
        <v>1336</v>
      </c>
      <c r="L155" s="140"/>
      <c r="M155" s="140"/>
      <c r="N155" s="140"/>
      <c r="O155" s="19"/>
      <c r="P155" s="19"/>
      <c r="Q155" s="15"/>
      <c r="R155" s="15"/>
      <c r="S155" s="15"/>
      <c r="T155" s="24"/>
      <c r="U155" s="24"/>
      <c r="V155" s="24"/>
    </row>
    <row r="156" spans="1:22" ht="15.75" customHeight="1">
      <c r="A156" s="151" t="s">
        <v>1593</v>
      </c>
      <c r="B156" s="337"/>
      <c r="C156" s="156"/>
      <c r="D156" s="378"/>
      <c r="E156" s="380"/>
      <c r="F156" s="221"/>
      <c r="G156" s="327" t="s">
        <v>1505</v>
      </c>
      <c r="H156" s="332"/>
      <c r="I156" s="323"/>
      <c r="J156" s="122" t="s">
        <v>1370</v>
      </c>
      <c r="K156" s="216" t="s">
        <v>1336</v>
      </c>
      <c r="L156" s="140"/>
      <c r="M156" s="140"/>
      <c r="N156" s="140"/>
      <c r="O156" s="19"/>
      <c r="P156" s="19"/>
      <c r="Q156" s="15"/>
      <c r="R156" s="15"/>
      <c r="S156" s="15"/>
      <c r="T156" s="24"/>
      <c r="U156" s="24"/>
      <c r="V156" s="24"/>
    </row>
    <row r="157" spans="1:22" ht="15.75" customHeight="1">
      <c r="A157" s="151" t="s">
        <v>1594</v>
      </c>
      <c r="B157" s="337"/>
      <c r="C157" s="156"/>
      <c r="D157" s="378"/>
      <c r="E157" s="380" t="s">
        <v>1507</v>
      </c>
      <c r="F157" s="221"/>
      <c r="G157" s="327" t="s">
        <v>1508</v>
      </c>
      <c r="H157" s="332"/>
      <c r="I157" s="323"/>
      <c r="J157" s="122" t="s">
        <v>1364</v>
      </c>
      <c r="K157" s="216" t="s">
        <v>1336</v>
      </c>
      <c r="L157" s="140"/>
      <c r="M157" s="140"/>
      <c r="N157" s="140"/>
      <c r="O157" s="19"/>
      <c r="P157" s="19"/>
      <c r="Q157" s="15"/>
      <c r="R157" s="15"/>
      <c r="S157" s="15"/>
      <c r="T157" s="24"/>
      <c r="U157" s="24"/>
      <c r="V157" s="24"/>
    </row>
    <row r="158" spans="1:22" ht="15.75" customHeight="1">
      <c r="A158" s="151" t="s">
        <v>1595</v>
      </c>
      <c r="B158" s="337"/>
      <c r="C158" s="156"/>
      <c r="D158" s="378"/>
      <c r="E158" s="380"/>
      <c r="F158" s="221"/>
      <c r="G158" s="327" t="s">
        <v>1510</v>
      </c>
      <c r="H158" s="332"/>
      <c r="I158" s="323"/>
      <c r="J158" s="122" t="s">
        <v>1367</v>
      </c>
      <c r="K158" s="216" t="s">
        <v>1336</v>
      </c>
      <c r="L158" s="140"/>
      <c r="M158" s="140"/>
      <c r="N158" s="140"/>
      <c r="O158" s="19"/>
      <c r="P158" s="19"/>
      <c r="Q158" s="15"/>
      <c r="R158" s="15"/>
      <c r="S158" s="15"/>
      <c r="T158" s="24"/>
      <c r="U158" s="24"/>
      <c r="V158" s="24"/>
    </row>
    <row r="159" spans="1:22" ht="15.75" customHeight="1">
      <c r="A159" s="151" t="s">
        <v>1596</v>
      </c>
      <c r="B159" s="337"/>
      <c r="C159" s="156"/>
      <c r="D159" s="378"/>
      <c r="E159" s="380"/>
      <c r="F159" s="221"/>
      <c r="G159" s="327" t="s">
        <v>1512</v>
      </c>
      <c r="H159" s="332"/>
      <c r="I159" s="323"/>
      <c r="J159" s="122" t="s">
        <v>1370</v>
      </c>
      <c r="K159" s="216" t="s">
        <v>1336</v>
      </c>
      <c r="L159" s="140"/>
      <c r="M159" s="140"/>
      <c r="N159" s="140"/>
      <c r="O159" s="19"/>
      <c r="P159" s="19"/>
      <c r="Q159" s="15"/>
      <c r="R159" s="15"/>
      <c r="S159" s="15"/>
      <c r="T159" s="24"/>
      <c r="U159" s="24"/>
      <c r="V159" s="24"/>
    </row>
    <row r="160" spans="1:22" ht="15.75" customHeight="1">
      <c r="A160" s="151" t="s">
        <v>1597</v>
      </c>
      <c r="B160" s="337"/>
      <c r="C160" s="156"/>
      <c r="D160" s="378"/>
      <c r="E160" s="380" t="s">
        <v>1514</v>
      </c>
      <c r="F160" s="221"/>
      <c r="G160" s="327" t="s">
        <v>1515</v>
      </c>
      <c r="H160" s="332"/>
      <c r="I160" s="323"/>
      <c r="J160" s="122" t="s">
        <v>1364</v>
      </c>
      <c r="K160" s="216" t="s">
        <v>1336</v>
      </c>
      <c r="L160" s="140"/>
      <c r="M160" s="140"/>
      <c r="N160" s="140"/>
      <c r="O160" s="19"/>
      <c r="P160" s="19"/>
      <c r="Q160" s="15"/>
      <c r="R160" s="15"/>
      <c r="S160" s="15"/>
      <c r="T160" s="24"/>
      <c r="U160" s="24"/>
      <c r="V160" s="24"/>
    </row>
    <row r="161" spans="1:22" ht="15.75" customHeight="1">
      <c r="A161" s="151" t="s">
        <v>1598</v>
      </c>
      <c r="B161" s="337"/>
      <c r="C161" s="156"/>
      <c r="D161" s="378"/>
      <c r="E161" s="380"/>
      <c r="F161" s="221"/>
      <c r="G161" s="327" t="s">
        <v>1517</v>
      </c>
      <c r="H161" s="332"/>
      <c r="I161" s="323"/>
      <c r="J161" s="122" t="s">
        <v>1367</v>
      </c>
      <c r="K161" s="216" t="s">
        <v>1336</v>
      </c>
      <c r="L161" s="140"/>
      <c r="M161" s="140"/>
      <c r="N161" s="140"/>
      <c r="O161" s="19"/>
      <c r="P161" s="19"/>
      <c r="Q161" s="15"/>
      <c r="R161" s="15"/>
      <c r="S161" s="15"/>
      <c r="T161" s="24"/>
      <c r="U161" s="24"/>
      <c r="V161" s="24"/>
    </row>
    <row r="162" spans="1:22" ht="15.75" customHeight="1">
      <c r="A162" s="151" t="s">
        <v>1599</v>
      </c>
      <c r="B162" s="337"/>
      <c r="C162" s="156"/>
      <c r="D162" s="378"/>
      <c r="E162" s="380"/>
      <c r="F162" s="221"/>
      <c r="G162" s="327" t="s">
        <v>1519</v>
      </c>
      <c r="H162" s="332"/>
      <c r="I162" s="323"/>
      <c r="J162" s="122" t="s">
        <v>1370</v>
      </c>
      <c r="K162" s="216" t="s">
        <v>1336</v>
      </c>
      <c r="L162" s="140"/>
      <c r="M162" s="140"/>
      <c r="N162" s="140"/>
      <c r="O162" s="19"/>
      <c r="P162" s="19"/>
      <c r="Q162" s="15"/>
      <c r="R162" s="15"/>
      <c r="S162" s="15"/>
      <c r="T162" s="24"/>
      <c r="U162" s="24"/>
      <c r="V162" s="24"/>
    </row>
    <row r="163" spans="1:22">
      <c r="A163" s="390" t="s">
        <v>1600</v>
      </c>
      <c r="B163" s="391"/>
      <c r="C163" s="391"/>
      <c r="D163" s="391"/>
      <c r="E163" s="391"/>
      <c r="F163" s="391"/>
      <c r="G163" s="391"/>
      <c r="H163" s="391"/>
      <c r="I163" s="391"/>
      <c r="J163" s="391"/>
      <c r="K163" s="391"/>
      <c r="L163" s="391"/>
      <c r="M163" s="391"/>
      <c r="N163" s="390"/>
      <c r="O163" s="390"/>
      <c r="P163" s="390"/>
    </row>
    <row r="164" spans="1:22" ht="75">
      <c r="A164" s="142" t="s">
        <v>1330</v>
      </c>
      <c r="B164" s="401"/>
      <c r="C164" s="403"/>
      <c r="D164" s="397" t="s">
        <v>1331</v>
      </c>
      <c r="E164" s="397" t="s">
        <v>1332</v>
      </c>
      <c r="F164" s="395" t="s">
        <v>1333</v>
      </c>
      <c r="G164" s="212" t="s">
        <v>1334</v>
      </c>
      <c r="H164" s="81" t="s">
        <v>1335</v>
      </c>
      <c r="I164" s="82"/>
      <c r="J164" s="22" t="s">
        <v>58</v>
      </c>
      <c r="K164" s="140"/>
      <c r="L164" s="140"/>
      <c r="M164" s="216" t="s">
        <v>1336</v>
      </c>
      <c r="N164" s="143"/>
      <c r="O164" s="18"/>
      <c r="P164" s="19"/>
    </row>
    <row r="165" spans="1:22" ht="30">
      <c r="A165" s="142" t="s">
        <v>1337</v>
      </c>
      <c r="B165" s="402"/>
      <c r="C165" s="403"/>
      <c r="D165" s="397"/>
      <c r="E165" s="397"/>
      <c r="F165" s="395"/>
      <c r="G165" s="212" t="s">
        <v>1338</v>
      </c>
      <c r="H165" s="83" t="s">
        <v>1339</v>
      </c>
      <c r="I165" s="82"/>
      <c r="J165" s="22" t="s">
        <v>64</v>
      </c>
      <c r="K165" s="140"/>
      <c r="L165" s="140"/>
      <c r="M165" s="216" t="s">
        <v>1336</v>
      </c>
      <c r="N165" s="140"/>
      <c r="O165" s="19"/>
      <c r="P165" s="19"/>
    </row>
    <row r="166" spans="1:22" ht="45">
      <c r="A166" s="142" t="s">
        <v>1340</v>
      </c>
      <c r="B166" s="402"/>
      <c r="C166" s="149"/>
      <c r="D166" s="397"/>
      <c r="E166" s="397"/>
      <c r="F166" s="173" t="s">
        <v>1341</v>
      </c>
      <c r="G166" s="213" t="s">
        <v>1342</v>
      </c>
      <c r="H166" s="96" t="s">
        <v>1343</v>
      </c>
      <c r="I166" s="210"/>
      <c r="J166" s="211" t="s">
        <v>1344</v>
      </c>
      <c r="K166" s="140"/>
      <c r="L166" s="140"/>
      <c r="M166" s="216" t="s">
        <v>1336</v>
      </c>
      <c r="N166" s="140"/>
      <c r="O166" s="19"/>
      <c r="P166" s="19"/>
    </row>
    <row r="167" spans="1:22" ht="45">
      <c r="A167" s="142" t="s">
        <v>1345</v>
      </c>
      <c r="B167" s="402"/>
      <c r="C167" s="149"/>
      <c r="D167" s="397"/>
      <c r="E167" s="397"/>
      <c r="F167" s="173" t="s">
        <v>1346</v>
      </c>
      <c r="G167" s="213" t="s">
        <v>1347</v>
      </c>
      <c r="H167" s="96" t="s">
        <v>1348</v>
      </c>
      <c r="I167" s="210"/>
      <c r="J167" s="211" t="s">
        <v>1349</v>
      </c>
      <c r="K167" s="140"/>
      <c r="L167" s="140"/>
      <c r="M167" s="216" t="s">
        <v>1336</v>
      </c>
      <c r="N167" s="140"/>
      <c r="O167" s="19"/>
      <c r="P167" s="19"/>
    </row>
    <row r="168" spans="1:22" ht="30">
      <c r="A168" s="142" t="s">
        <v>1350</v>
      </c>
      <c r="B168" s="402"/>
      <c r="C168" s="149"/>
      <c r="D168" s="397"/>
      <c r="E168" s="397"/>
      <c r="F168" s="173" t="s">
        <v>1351</v>
      </c>
      <c r="G168" s="213" t="s">
        <v>1352</v>
      </c>
      <c r="H168" s="96" t="s">
        <v>1353</v>
      </c>
      <c r="I168" s="210"/>
      <c r="J168" s="211" t="s">
        <v>1354</v>
      </c>
      <c r="K168" s="140"/>
      <c r="L168" s="140"/>
      <c r="M168" s="216" t="s">
        <v>1336</v>
      </c>
      <c r="N168" s="140"/>
      <c r="O168" s="19"/>
      <c r="P168" s="19"/>
    </row>
    <row r="169" spans="1:22" ht="45">
      <c r="A169" s="151" t="s">
        <v>1355</v>
      </c>
      <c r="B169" s="402"/>
      <c r="C169" s="149"/>
      <c r="D169" s="398"/>
      <c r="E169" s="398"/>
      <c r="F169" s="209" t="s">
        <v>1356</v>
      </c>
      <c r="G169" s="213" t="s">
        <v>1357</v>
      </c>
      <c r="H169" s="96" t="s">
        <v>1358</v>
      </c>
      <c r="I169" s="214"/>
      <c r="J169" s="211" t="s">
        <v>1359</v>
      </c>
      <c r="K169" s="328"/>
      <c r="L169" s="328"/>
      <c r="M169" s="321" t="s">
        <v>1336</v>
      </c>
      <c r="N169" s="328"/>
      <c r="O169" s="87"/>
      <c r="P169" s="87"/>
    </row>
    <row r="170" spans="1:22" ht="30">
      <c r="A170" s="151" t="s">
        <v>1360</v>
      </c>
      <c r="B170" s="122"/>
      <c r="C170" s="122"/>
      <c r="D170" s="381" t="s">
        <v>1361</v>
      </c>
      <c r="E170" s="380" t="s">
        <v>1362</v>
      </c>
      <c r="F170" s="173"/>
      <c r="G170" s="173" t="s">
        <v>1363</v>
      </c>
      <c r="H170" s="122"/>
      <c r="I170" s="122"/>
      <c r="J170" s="122" t="s">
        <v>1364</v>
      </c>
      <c r="K170" s="122"/>
      <c r="L170" s="122"/>
      <c r="M170" s="321" t="s">
        <v>1336</v>
      </c>
      <c r="N170" s="122"/>
      <c r="O170" s="122"/>
      <c r="P170" s="122"/>
    </row>
    <row r="171" spans="1:22" ht="30">
      <c r="A171" s="151" t="s">
        <v>1365</v>
      </c>
      <c r="B171" s="122"/>
      <c r="C171" s="122"/>
      <c r="D171" s="387"/>
      <c r="E171" s="380"/>
      <c r="F171" s="173"/>
      <c r="G171" s="152" t="s">
        <v>1366</v>
      </c>
      <c r="H171" s="122"/>
      <c r="I171" s="122"/>
      <c r="J171" s="122" t="s">
        <v>1367</v>
      </c>
      <c r="K171" s="122"/>
      <c r="L171" s="122"/>
      <c r="M171" s="321" t="s">
        <v>1336</v>
      </c>
      <c r="N171" s="122"/>
      <c r="O171" s="122"/>
      <c r="P171" s="122"/>
    </row>
    <row r="172" spans="1:22" ht="30">
      <c r="A172" s="151" t="s">
        <v>1368</v>
      </c>
      <c r="B172" s="122"/>
      <c r="C172" s="122"/>
      <c r="D172" s="387"/>
      <c r="E172" s="380"/>
      <c r="F172" s="122"/>
      <c r="G172" s="152" t="s">
        <v>1369</v>
      </c>
      <c r="H172" s="122"/>
      <c r="I172" s="122"/>
      <c r="J172" s="122" t="s">
        <v>1370</v>
      </c>
      <c r="K172" s="122"/>
      <c r="L172" s="122"/>
      <c r="M172" s="321" t="s">
        <v>1336</v>
      </c>
      <c r="N172" s="122"/>
      <c r="O172" s="122"/>
      <c r="P172" s="122"/>
    </row>
    <row r="173" spans="1:22" ht="30">
      <c r="A173" s="151" t="s">
        <v>1371</v>
      </c>
      <c r="B173" s="122"/>
      <c r="C173" s="122"/>
      <c r="D173" s="387"/>
      <c r="E173" s="389" t="s">
        <v>1372</v>
      </c>
      <c r="F173" s="122"/>
      <c r="G173" s="173" t="s">
        <v>1363</v>
      </c>
      <c r="H173" s="122"/>
      <c r="I173" s="122"/>
      <c r="J173" s="122" t="s">
        <v>1364</v>
      </c>
      <c r="K173" s="122"/>
      <c r="L173" s="122"/>
      <c r="M173" s="321" t="s">
        <v>1336</v>
      </c>
      <c r="N173" s="122"/>
      <c r="O173" s="122"/>
      <c r="P173" s="122"/>
    </row>
    <row r="174" spans="1:22" ht="30">
      <c r="A174" s="151" t="s">
        <v>1373</v>
      </c>
      <c r="B174" s="122"/>
      <c r="C174" s="122"/>
      <c r="D174" s="387"/>
      <c r="E174" s="389"/>
      <c r="F174" s="122"/>
      <c r="G174" s="152" t="s">
        <v>1366</v>
      </c>
      <c r="H174" s="122"/>
      <c r="I174" s="122"/>
      <c r="J174" s="122" t="s">
        <v>1367</v>
      </c>
      <c r="K174" s="122"/>
      <c r="L174" s="122"/>
      <c r="M174" s="321" t="s">
        <v>1336</v>
      </c>
      <c r="N174" s="122"/>
      <c r="O174" s="122"/>
      <c r="P174" s="122"/>
    </row>
    <row r="175" spans="1:22" ht="30">
      <c r="A175" s="151" t="s">
        <v>1374</v>
      </c>
      <c r="B175" s="122"/>
      <c r="C175" s="122"/>
      <c r="D175" s="388"/>
      <c r="E175" s="389"/>
      <c r="F175" s="122"/>
      <c r="G175" s="152" t="s">
        <v>1369</v>
      </c>
      <c r="H175" s="122"/>
      <c r="I175" s="122"/>
      <c r="J175" s="122" t="s">
        <v>1370</v>
      </c>
      <c r="K175" s="122"/>
      <c r="L175" s="122"/>
      <c r="M175" s="321" t="s">
        <v>1336</v>
      </c>
      <c r="N175" s="122"/>
      <c r="O175" s="122"/>
      <c r="P175" s="122"/>
    </row>
    <row r="176" spans="1:22" ht="30">
      <c r="A176" s="142" t="s">
        <v>1375</v>
      </c>
      <c r="B176" s="224"/>
      <c r="C176" s="66"/>
      <c r="D176" s="397" t="s">
        <v>1376</v>
      </c>
      <c r="E176" s="397" t="s">
        <v>1377</v>
      </c>
      <c r="F176" s="221"/>
      <c r="G176" s="173" t="s">
        <v>1378</v>
      </c>
      <c r="H176" s="214"/>
      <c r="I176" s="214"/>
      <c r="J176" s="12" t="s">
        <v>71</v>
      </c>
      <c r="K176" s="140"/>
      <c r="L176" s="140"/>
      <c r="M176" s="216" t="s">
        <v>1336</v>
      </c>
      <c r="N176" s="140"/>
      <c r="O176" s="19"/>
      <c r="P176" s="19"/>
    </row>
    <row r="177" spans="1:16" ht="45">
      <c r="A177" s="142" t="s">
        <v>1379</v>
      </c>
      <c r="B177" s="224"/>
      <c r="C177" s="66"/>
      <c r="D177" s="397"/>
      <c r="E177" s="397"/>
      <c r="F177" s="222"/>
      <c r="G177" s="223" t="s">
        <v>1380</v>
      </c>
      <c r="H177" s="214"/>
      <c r="I177" s="214"/>
      <c r="J177" s="29" t="s">
        <v>81</v>
      </c>
      <c r="K177" s="140"/>
      <c r="L177" s="140"/>
      <c r="M177" s="216" t="s">
        <v>1336</v>
      </c>
      <c r="N177" s="140"/>
      <c r="O177" s="19"/>
      <c r="P177" s="19"/>
    </row>
    <row r="178" spans="1:16" ht="15.75">
      <c r="A178" s="142" t="s">
        <v>1381</v>
      </c>
      <c r="B178" s="224"/>
      <c r="C178" s="66"/>
      <c r="D178" s="397"/>
      <c r="E178" s="397"/>
      <c r="F178" s="120"/>
      <c r="G178" s="81" t="s">
        <v>92</v>
      </c>
      <c r="H178" s="214"/>
      <c r="I178" s="214"/>
      <c r="J178" s="12" t="s">
        <v>94</v>
      </c>
      <c r="K178" s="140"/>
      <c r="L178" s="140"/>
      <c r="M178" s="216" t="s">
        <v>1336</v>
      </c>
      <c r="N178" s="140"/>
      <c r="O178" s="19"/>
      <c r="P178" s="19"/>
    </row>
    <row r="179" spans="1:16" ht="15.75">
      <c r="A179" s="142" t="s">
        <v>1382</v>
      </c>
      <c r="B179" s="224"/>
      <c r="C179" s="66"/>
      <c r="D179" s="397"/>
      <c r="E179" s="397"/>
      <c r="F179" s="221"/>
      <c r="G179" s="173" t="s">
        <v>1383</v>
      </c>
      <c r="H179" s="214"/>
      <c r="I179" s="214"/>
      <c r="J179" s="12" t="s">
        <v>94</v>
      </c>
      <c r="K179" s="140"/>
      <c r="L179" s="140"/>
      <c r="M179" s="216" t="s">
        <v>1336</v>
      </c>
      <c r="N179" s="140"/>
      <c r="O179" s="19"/>
      <c r="P179" s="19"/>
    </row>
    <row r="180" spans="1:16" ht="15.75">
      <c r="A180" s="142" t="s">
        <v>1384</v>
      </c>
      <c r="B180" s="224"/>
      <c r="C180" s="66"/>
      <c r="D180" s="397"/>
      <c r="E180" s="397"/>
      <c r="F180" s="221"/>
      <c r="G180" s="218" t="s">
        <v>1385</v>
      </c>
      <c r="H180" s="214"/>
      <c r="I180" s="214"/>
      <c r="J180" s="22" t="s">
        <v>1386</v>
      </c>
      <c r="K180" s="140"/>
      <c r="L180" s="140"/>
      <c r="M180" s="216" t="s">
        <v>1336</v>
      </c>
      <c r="N180" s="140"/>
      <c r="O180" s="19"/>
      <c r="P180" s="19"/>
    </row>
    <row r="181" spans="1:16" ht="30">
      <c r="A181" s="142" t="s">
        <v>1387</v>
      </c>
      <c r="B181" s="224"/>
      <c r="C181" s="66"/>
      <c r="D181" s="397"/>
      <c r="E181" s="397"/>
      <c r="F181" s="221"/>
      <c r="G181" s="218" t="s">
        <v>1388</v>
      </c>
      <c r="H181" s="214"/>
      <c r="I181" s="214"/>
      <c r="J181" s="22" t="s">
        <v>1389</v>
      </c>
      <c r="K181" s="140"/>
      <c r="L181" s="140"/>
      <c r="M181" s="216" t="s">
        <v>1336</v>
      </c>
      <c r="N181" s="140"/>
      <c r="O181" s="19"/>
      <c r="P181" s="19"/>
    </row>
    <row r="182" spans="1:16" ht="45">
      <c r="A182" s="142" t="s">
        <v>1390</v>
      </c>
      <c r="B182" s="220"/>
      <c r="C182" s="219"/>
      <c r="D182" s="397" t="s">
        <v>1391</v>
      </c>
      <c r="E182" s="397" t="s">
        <v>1392</v>
      </c>
      <c r="F182" s="209"/>
      <c r="G182" s="223" t="s">
        <v>1380</v>
      </c>
      <c r="H182" s="214"/>
      <c r="I182" s="214"/>
      <c r="J182" s="29" t="s">
        <v>81</v>
      </c>
      <c r="K182" s="140"/>
      <c r="L182" s="140"/>
      <c r="M182" s="216" t="s">
        <v>1336</v>
      </c>
      <c r="N182" s="140"/>
      <c r="O182" s="19"/>
      <c r="P182" s="19"/>
    </row>
    <row r="183" spans="1:16" ht="30">
      <c r="A183" s="142" t="s">
        <v>1393</v>
      </c>
      <c r="B183" s="220"/>
      <c r="C183" s="219"/>
      <c r="D183" s="397"/>
      <c r="E183" s="397"/>
      <c r="F183" s="209"/>
      <c r="G183" s="173" t="s">
        <v>1378</v>
      </c>
      <c r="H183" s="214"/>
      <c r="I183" s="214"/>
      <c r="J183" s="12" t="s">
        <v>71</v>
      </c>
      <c r="K183" s="140"/>
      <c r="L183" s="140"/>
      <c r="M183" s="216" t="s">
        <v>1336</v>
      </c>
      <c r="N183" s="140"/>
      <c r="O183" s="19"/>
      <c r="P183" s="19"/>
    </row>
    <row r="184" spans="1:16" ht="15.75">
      <c r="A184" s="142" t="s">
        <v>1394</v>
      </c>
      <c r="B184" s="220"/>
      <c r="C184" s="68"/>
      <c r="D184" s="397"/>
      <c r="E184" s="397"/>
      <c r="F184" s="209"/>
      <c r="G184" t="s">
        <v>1385</v>
      </c>
      <c r="H184" s="214"/>
      <c r="I184" s="214"/>
      <c r="J184" s="22" t="s">
        <v>1386</v>
      </c>
      <c r="K184" s="140"/>
      <c r="L184" s="140"/>
      <c r="M184" s="216" t="s">
        <v>1336</v>
      </c>
      <c r="N184" s="140"/>
      <c r="O184" s="19"/>
      <c r="P184" s="19"/>
    </row>
    <row r="185" spans="1:16" ht="15.75">
      <c r="A185" s="142" t="s">
        <v>1395</v>
      </c>
      <c r="B185" s="220"/>
      <c r="C185" s="68"/>
      <c r="D185" s="397"/>
      <c r="E185" s="397"/>
      <c r="F185" s="209"/>
      <c r="G185" s="96" t="s">
        <v>1396</v>
      </c>
      <c r="H185" s="214"/>
      <c r="I185" s="214"/>
      <c r="J185" s="22" t="s">
        <v>1397</v>
      </c>
      <c r="K185" s="140"/>
      <c r="L185" s="140"/>
      <c r="M185" s="216" t="s">
        <v>1336</v>
      </c>
      <c r="N185" s="140"/>
      <c r="O185" s="19"/>
      <c r="P185" s="19"/>
    </row>
    <row r="186" spans="1:16" ht="30">
      <c r="A186" s="142" t="s">
        <v>1398</v>
      </c>
      <c r="B186" s="220"/>
      <c r="C186" s="68"/>
      <c r="D186" s="397"/>
      <c r="E186" s="397"/>
      <c r="F186" s="209"/>
      <c r="G186" s="228" t="s">
        <v>1388</v>
      </c>
      <c r="H186" s="82"/>
      <c r="I186" s="225"/>
      <c r="J186" s="22" t="s">
        <v>1389</v>
      </c>
      <c r="K186" s="140"/>
      <c r="L186" s="140"/>
      <c r="M186" s="216" t="s">
        <v>1336</v>
      </c>
      <c r="N186" s="140"/>
      <c r="O186" s="19"/>
      <c r="P186" s="19"/>
    </row>
    <row r="187" spans="1:16" ht="45">
      <c r="A187" s="142" t="s">
        <v>1399</v>
      </c>
      <c r="B187" s="220"/>
      <c r="C187" s="68"/>
      <c r="D187" s="397" t="s">
        <v>192</v>
      </c>
      <c r="E187" s="397" t="s">
        <v>1400</v>
      </c>
      <c r="F187" s="209"/>
      <c r="G187" s="229" t="s">
        <v>1380</v>
      </c>
      <c r="H187" s="82"/>
      <c r="I187" s="225"/>
      <c r="J187" s="29" t="s">
        <v>81</v>
      </c>
      <c r="K187" s="140"/>
      <c r="L187" s="140"/>
      <c r="M187" s="216" t="s">
        <v>1336</v>
      </c>
      <c r="N187" s="140"/>
      <c r="O187" s="19"/>
      <c r="P187" s="19"/>
    </row>
    <row r="188" spans="1:16" ht="30">
      <c r="A188" s="142" t="s">
        <v>1401</v>
      </c>
      <c r="B188" s="220"/>
      <c r="C188" s="68"/>
      <c r="D188" s="397"/>
      <c r="E188" s="397"/>
      <c r="F188" s="209"/>
      <c r="G188" s="173" t="s">
        <v>1378</v>
      </c>
      <c r="H188" s="214"/>
      <c r="I188" s="214"/>
      <c r="J188" s="12" t="s">
        <v>71</v>
      </c>
      <c r="K188" s="140"/>
      <c r="L188" s="140"/>
      <c r="M188" s="216" t="s">
        <v>1336</v>
      </c>
      <c r="N188" s="140"/>
      <c r="O188" s="19"/>
      <c r="P188" s="19"/>
    </row>
    <row r="189" spans="1:16" ht="15.75">
      <c r="A189" s="142" t="s">
        <v>1402</v>
      </c>
      <c r="B189" s="220"/>
      <c r="C189" s="68"/>
      <c r="D189" s="397"/>
      <c r="E189" s="397"/>
      <c r="F189" s="209"/>
      <c r="G189" s="122" t="s">
        <v>1403</v>
      </c>
      <c r="H189" s="214"/>
      <c r="I189" s="225"/>
      <c r="J189" s="22" t="s">
        <v>1386</v>
      </c>
      <c r="K189" s="140"/>
      <c r="L189" s="140"/>
      <c r="M189" s="216" t="s">
        <v>1336</v>
      </c>
      <c r="N189" s="140"/>
      <c r="O189" s="19"/>
      <c r="P189" s="19"/>
    </row>
    <row r="190" spans="1:16" ht="15.75">
      <c r="A190" s="142" t="s">
        <v>1404</v>
      </c>
      <c r="B190" s="220"/>
      <c r="C190" s="68"/>
      <c r="D190" s="397"/>
      <c r="E190" s="397"/>
      <c r="F190" s="209"/>
      <c r="G190" s="227" t="s">
        <v>1396</v>
      </c>
      <c r="H190" s="214"/>
      <c r="I190" s="214"/>
      <c r="J190" s="22" t="s">
        <v>1397</v>
      </c>
      <c r="K190" s="140"/>
      <c r="L190" s="140"/>
      <c r="M190" s="216" t="s">
        <v>1336</v>
      </c>
      <c r="N190" s="140"/>
      <c r="O190" s="19"/>
      <c r="P190" s="19"/>
    </row>
    <row r="191" spans="1:16" ht="30">
      <c r="A191" s="142" t="s">
        <v>1405</v>
      </c>
      <c r="B191" s="220"/>
      <c r="C191" s="68"/>
      <c r="D191" s="398"/>
      <c r="E191" s="398"/>
      <c r="F191" s="209"/>
      <c r="G191" s="96" t="s">
        <v>1388</v>
      </c>
      <c r="H191" s="214"/>
      <c r="I191" s="214"/>
      <c r="J191" s="211" t="s">
        <v>1389</v>
      </c>
      <c r="K191" s="140"/>
      <c r="L191" s="140"/>
      <c r="M191" s="216" t="s">
        <v>1336</v>
      </c>
      <c r="N191" s="140"/>
      <c r="O191" s="19"/>
      <c r="P191" s="19"/>
    </row>
    <row r="192" spans="1:16" ht="15.75">
      <c r="A192" s="151" t="s">
        <v>1406</v>
      </c>
      <c r="B192" s="326"/>
      <c r="C192" s="325"/>
      <c r="D192" s="381" t="s">
        <v>1407</v>
      </c>
      <c r="E192" s="381" t="s">
        <v>1408</v>
      </c>
      <c r="F192" s="221"/>
      <c r="G192" s="173" t="s">
        <v>1378</v>
      </c>
      <c r="H192" s="323"/>
      <c r="I192" s="323"/>
      <c r="J192" s="122" t="s">
        <v>1364</v>
      </c>
      <c r="K192" s="322"/>
      <c r="L192" s="322"/>
      <c r="M192" s="321" t="s">
        <v>1336</v>
      </c>
      <c r="N192" s="322"/>
      <c r="O192" s="305"/>
      <c r="P192" s="305"/>
    </row>
    <row r="193" spans="1:16" ht="30">
      <c r="A193" s="151" t="s">
        <v>1409</v>
      </c>
      <c r="B193" s="326"/>
      <c r="C193" s="325"/>
      <c r="D193" s="387"/>
      <c r="E193" s="387"/>
      <c r="F193" s="221"/>
      <c r="G193" s="324" t="s">
        <v>1410</v>
      </c>
      <c r="H193" s="323"/>
      <c r="I193" s="323"/>
      <c r="J193" s="155" t="s">
        <v>1411</v>
      </c>
      <c r="K193" s="322"/>
      <c r="L193" s="322"/>
      <c r="M193" s="321" t="s">
        <v>1336</v>
      </c>
      <c r="N193" s="322"/>
      <c r="O193" s="305"/>
      <c r="P193" s="305"/>
    </row>
    <row r="194" spans="1:16" ht="30">
      <c r="A194" s="151" t="s">
        <v>1412</v>
      </c>
      <c r="B194" s="326"/>
      <c r="C194" s="325"/>
      <c r="D194" s="388"/>
      <c r="E194" s="388"/>
      <c r="F194" s="221"/>
      <c r="G194" s="324" t="s">
        <v>1413</v>
      </c>
      <c r="H194" s="323"/>
      <c r="I194" s="323"/>
      <c r="J194" s="155" t="s">
        <v>1411</v>
      </c>
      <c r="K194" s="322"/>
      <c r="L194" s="322"/>
      <c r="M194" s="321" t="s">
        <v>1336</v>
      </c>
      <c r="N194" s="322"/>
      <c r="O194" s="305"/>
      <c r="P194" s="305"/>
    </row>
    <row r="195" spans="1:16" ht="30">
      <c r="A195" s="142" t="s">
        <v>1414</v>
      </c>
      <c r="B195" s="220"/>
      <c r="C195" s="149"/>
      <c r="D195" s="396" t="s">
        <v>1415</v>
      </c>
      <c r="E195" s="383" t="s">
        <v>1362</v>
      </c>
      <c r="F195" s="173"/>
      <c r="G195" s="221" t="s">
        <v>1416</v>
      </c>
      <c r="H195" s="214"/>
      <c r="I195" s="214"/>
      <c r="J195" s="338" t="s">
        <v>71</v>
      </c>
      <c r="K195" s="140"/>
      <c r="L195" s="140"/>
      <c r="M195" s="216" t="s">
        <v>1336</v>
      </c>
      <c r="N195" s="140"/>
      <c r="O195" s="19"/>
      <c r="P195" s="19"/>
    </row>
    <row r="196" spans="1:16" ht="30">
      <c r="A196" s="142" t="s">
        <v>1417</v>
      </c>
      <c r="B196" s="220"/>
      <c r="C196" s="149"/>
      <c r="D196" s="397"/>
      <c r="E196" s="384"/>
      <c r="F196" s="173"/>
      <c r="G196" s="221" t="s">
        <v>1418</v>
      </c>
      <c r="H196" s="214"/>
      <c r="I196" s="214"/>
      <c r="J196" s="12" t="s">
        <v>71</v>
      </c>
      <c r="K196" s="140"/>
      <c r="L196" s="140"/>
      <c r="M196" s="216" t="s">
        <v>1336</v>
      </c>
      <c r="N196" s="140"/>
      <c r="O196" s="19"/>
      <c r="P196" s="19"/>
    </row>
    <row r="197" spans="1:16" ht="15.75">
      <c r="A197" s="142" t="s">
        <v>1419</v>
      </c>
      <c r="B197" s="220"/>
      <c r="C197" s="149"/>
      <c r="D197" s="397"/>
      <c r="E197" s="384"/>
      <c r="F197" s="81"/>
      <c r="G197" s="120" t="s">
        <v>92</v>
      </c>
      <c r="H197" s="214"/>
      <c r="I197" s="214"/>
      <c r="J197" s="12" t="s">
        <v>94</v>
      </c>
      <c r="K197" s="140"/>
      <c r="L197" s="140"/>
      <c r="M197" s="216" t="s">
        <v>1336</v>
      </c>
      <c r="N197" s="140"/>
      <c r="O197" s="19"/>
      <c r="P197" s="19"/>
    </row>
    <row r="198" spans="1:16" ht="15.75">
      <c r="A198" s="142" t="s">
        <v>1420</v>
      </c>
      <c r="B198" s="220"/>
      <c r="C198" s="149"/>
      <c r="D198" s="397"/>
      <c r="E198" s="384"/>
      <c r="F198" s="173"/>
      <c r="G198" s="221" t="s">
        <v>1383</v>
      </c>
      <c r="H198" s="214"/>
      <c r="I198" s="214"/>
      <c r="J198" s="12" t="s">
        <v>94</v>
      </c>
      <c r="K198" s="140"/>
      <c r="L198" s="140"/>
      <c r="M198" s="216" t="s">
        <v>1336</v>
      </c>
      <c r="N198" s="140"/>
      <c r="O198" s="19"/>
      <c r="P198" s="19"/>
    </row>
    <row r="199" spans="1:16" ht="15.75">
      <c r="A199" s="142" t="s">
        <v>1421</v>
      </c>
      <c r="B199" s="220"/>
      <c r="C199" s="149"/>
      <c r="D199" s="397"/>
      <c r="E199" s="384"/>
      <c r="F199" s="173"/>
      <c r="G199" s="221" t="s">
        <v>1422</v>
      </c>
      <c r="H199" s="214"/>
      <c r="I199" s="214"/>
      <c r="J199" s="22" t="s">
        <v>1367</v>
      </c>
      <c r="K199" s="140"/>
      <c r="L199" s="140"/>
      <c r="M199" s="216" t="s">
        <v>1336</v>
      </c>
      <c r="N199" s="140"/>
      <c r="O199" s="19"/>
      <c r="P199" s="19"/>
    </row>
    <row r="200" spans="1:16" ht="15.75">
      <c r="A200" s="142" t="s">
        <v>1423</v>
      </c>
      <c r="B200" s="220"/>
      <c r="C200" s="149"/>
      <c r="D200" s="398"/>
      <c r="E200" s="385"/>
      <c r="F200" s="173"/>
      <c r="G200" s="221" t="s">
        <v>1424</v>
      </c>
      <c r="H200" s="214"/>
      <c r="I200" s="214"/>
      <c r="J200" s="22" t="s">
        <v>1425</v>
      </c>
      <c r="K200" s="140"/>
      <c r="L200" s="140"/>
      <c r="M200" s="216" t="s">
        <v>1336</v>
      </c>
      <c r="N200" s="140"/>
      <c r="O200" s="19"/>
      <c r="P200" s="19"/>
    </row>
    <row r="201" spans="1:16" ht="45">
      <c r="A201" s="142" t="s">
        <v>1426</v>
      </c>
      <c r="B201" s="220"/>
      <c r="C201" s="149"/>
      <c r="D201" s="397" t="s">
        <v>257</v>
      </c>
      <c r="E201" s="397" t="s">
        <v>1427</v>
      </c>
      <c r="F201" s="221"/>
      <c r="G201" s="229" t="s">
        <v>1380</v>
      </c>
      <c r="H201" s="214"/>
      <c r="I201" s="214"/>
      <c r="J201" s="29" t="s">
        <v>81</v>
      </c>
      <c r="K201" s="140"/>
      <c r="L201" s="140"/>
      <c r="M201" s="216" t="s">
        <v>1336</v>
      </c>
      <c r="N201" s="140"/>
      <c r="O201" s="19"/>
      <c r="P201" s="19"/>
    </row>
    <row r="202" spans="1:16" ht="30">
      <c r="A202" s="142" t="s">
        <v>1428</v>
      </c>
      <c r="B202" s="220"/>
      <c r="C202" s="149"/>
      <c r="D202" s="397"/>
      <c r="E202" s="397"/>
      <c r="F202" s="221"/>
      <c r="G202" s="173" t="s">
        <v>1429</v>
      </c>
      <c r="H202" s="214"/>
      <c r="I202" s="214"/>
      <c r="J202" s="12" t="s">
        <v>71</v>
      </c>
      <c r="K202" s="140"/>
      <c r="L202" s="140"/>
      <c r="M202" s="216" t="s">
        <v>1336</v>
      </c>
      <c r="N202" s="140"/>
      <c r="O202" s="19"/>
      <c r="P202" s="19"/>
    </row>
    <row r="203" spans="1:16" ht="15.75">
      <c r="A203" s="142" t="s">
        <v>1430</v>
      </c>
      <c r="B203" s="220"/>
      <c r="C203" s="149"/>
      <c r="D203" s="398"/>
      <c r="E203" s="398"/>
      <c r="F203" s="221"/>
      <c r="G203" s="213" t="s">
        <v>1431</v>
      </c>
      <c r="H203" s="96"/>
      <c r="I203" s="214"/>
      <c r="J203" s="22" t="s">
        <v>1432</v>
      </c>
      <c r="K203" s="140"/>
      <c r="L203" s="140"/>
      <c r="M203" s="216" t="s">
        <v>1336</v>
      </c>
      <c r="N203" s="140"/>
      <c r="O203" s="19"/>
      <c r="P203" s="19"/>
    </row>
    <row r="204" spans="1:16" ht="30">
      <c r="A204" s="142" t="s">
        <v>1433</v>
      </c>
      <c r="B204" s="220"/>
      <c r="C204" s="149"/>
      <c r="D204" s="397" t="s">
        <v>34</v>
      </c>
      <c r="E204" s="399" t="s">
        <v>1434</v>
      </c>
      <c r="F204" s="221"/>
      <c r="G204" s="173" t="s">
        <v>1429</v>
      </c>
      <c r="H204" s="214"/>
      <c r="I204" s="214"/>
      <c r="J204" s="12" t="s">
        <v>71</v>
      </c>
      <c r="K204" s="140"/>
      <c r="L204" s="140"/>
      <c r="M204" s="216" t="s">
        <v>1336</v>
      </c>
      <c r="N204" s="140"/>
      <c r="O204" s="19"/>
      <c r="P204" s="19"/>
    </row>
    <row r="205" spans="1:16" ht="30">
      <c r="A205" s="142" t="s">
        <v>1435</v>
      </c>
      <c r="B205" s="220"/>
      <c r="C205" s="149"/>
      <c r="D205" s="397"/>
      <c r="E205" s="399"/>
      <c r="F205" s="221"/>
      <c r="G205" s="213" t="s">
        <v>160</v>
      </c>
      <c r="H205" s="96"/>
      <c r="I205" s="214"/>
      <c r="J205" s="22" t="s">
        <v>1436</v>
      </c>
      <c r="K205" s="140"/>
      <c r="L205" s="140"/>
      <c r="M205" s="216" t="s">
        <v>1336</v>
      </c>
      <c r="N205" s="140"/>
      <c r="O205" s="19"/>
      <c r="P205" s="19"/>
    </row>
    <row r="206" spans="1:16" ht="15.75">
      <c r="A206" s="142" t="s">
        <v>1437</v>
      </c>
      <c r="B206" s="220"/>
      <c r="C206" s="149"/>
      <c r="D206" s="397"/>
      <c r="E206" s="399"/>
      <c r="F206" s="221"/>
      <c r="G206" s="213" t="s">
        <v>1438</v>
      </c>
      <c r="H206" s="96"/>
      <c r="I206" s="214"/>
      <c r="J206" s="22" t="s">
        <v>1439</v>
      </c>
      <c r="K206" s="140"/>
      <c r="L206" s="140"/>
      <c r="M206" s="216" t="s">
        <v>1336</v>
      </c>
      <c r="N206" s="140"/>
      <c r="O206" s="19"/>
      <c r="P206" s="19"/>
    </row>
    <row r="207" spans="1:16" ht="30">
      <c r="A207" s="142" t="s">
        <v>1440</v>
      </c>
      <c r="B207" s="220"/>
      <c r="C207" s="149"/>
      <c r="D207" s="397"/>
      <c r="E207" s="399"/>
      <c r="F207" s="221"/>
      <c r="G207" s="213" t="s">
        <v>1441</v>
      </c>
      <c r="H207" s="96"/>
      <c r="I207" s="214"/>
      <c r="J207" s="22" t="s">
        <v>1442</v>
      </c>
      <c r="K207" s="140"/>
      <c r="L207" s="140"/>
      <c r="M207" s="216" t="s">
        <v>1336</v>
      </c>
      <c r="N207" s="140"/>
      <c r="O207" s="19"/>
      <c r="P207" s="19"/>
    </row>
    <row r="208" spans="1:16" ht="30">
      <c r="A208" s="142" t="s">
        <v>1443</v>
      </c>
      <c r="B208" s="220"/>
      <c r="C208" s="149"/>
      <c r="D208" s="397"/>
      <c r="E208" s="399" t="s">
        <v>1444</v>
      </c>
      <c r="F208" s="221"/>
      <c r="G208" s="173" t="s">
        <v>1429</v>
      </c>
      <c r="H208" s="214"/>
      <c r="I208" s="214"/>
      <c r="J208" s="12" t="s">
        <v>71</v>
      </c>
      <c r="K208" s="140"/>
      <c r="L208" s="140"/>
      <c r="M208" s="216" t="s">
        <v>1336</v>
      </c>
      <c r="N208" s="140"/>
      <c r="O208" s="19"/>
      <c r="P208" s="19"/>
    </row>
    <row r="209" spans="1:16" ht="30">
      <c r="A209" s="142" t="s">
        <v>1445</v>
      </c>
      <c r="B209" s="220"/>
      <c r="C209" s="149"/>
      <c r="D209" s="397"/>
      <c r="E209" s="399"/>
      <c r="F209" s="221"/>
      <c r="G209" s="213" t="s">
        <v>160</v>
      </c>
      <c r="H209" s="96"/>
      <c r="I209" s="214"/>
      <c r="J209" s="22" t="s">
        <v>1436</v>
      </c>
      <c r="K209" s="140"/>
      <c r="L209" s="140"/>
      <c r="M209" s="216" t="s">
        <v>1336</v>
      </c>
      <c r="N209" s="140"/>
      <c r="O209" s="19"/>
      <c r="P209" s="19"/>
    </row>
    <row r="210" spans="1:16" ht="30">
      <c r="A210" s="142" t="s">
        <v>1446</v>
      </c>
      <c r="B210" s="220"/>
      <c r="C210" s="149"/>
      <c r="D210" s="397"/>
      <c r="E210" s="399"/>
      <c r="F210" s="221"/>
      <c r="G210" s="213" t="s">
        <v>1447</v>
      </c>
      <c r="H210" s="96"/>
      <c r="I210" s="214"/>
      <c r="J210" s="22" t="s">
        <v>1448</v>
      </c>
      <c r="K210" s="140"/>
      <c r="L210" s="140"/>
      <c r="M210" s="216" t="s">
        <v>1336</v>
      </c>
      <c r="N210" s="140"/>
      <c r="O210" s="19"/>
      <c r="P210" s="19"/>
    </row>
    <row r="211" spans="1:16" ht="15.75">
      <c r="A211" s="142" t="s">
        <v>1449</v>
      </c>
      <c r="B211" s="220"/>
      <c r="C211" s="149"/>
      <c r="D211" s="397"/>
      <c r="E211" s="399" t="s">
        <v>1450</v>
      </c>
      <c r="F211" s="221"/>
      <c r="G211" s="173" t="s">
        <v>1429</v>
      </c>
      <c r="H211" s="96"/>
      <c r="I211" s="214"/>
      <c r="J211" s="122" t="s">
        <v>1364</v>
      </c>
      <c r="K211" s="140"/>
      <c r="L211" s="140"/>
      <c r="M211" s="216" t="s">
        <v>1336</v>
      </c>
      <c r="N211" s="140"/>
      <c r="O211" s="19"/>
      <c r="P211" s="19"/>
    </row>
    <row r="212" spans="1:16" ht="15.75">
      <c r="A212" s="142" t="s">
        <v>1451</v>
      </c>
      <c r="B212" s="220"/>
      <c r="C212" s="149"/>
      <c r="D212" s="398"/>
      <c r="E212" s="400"/>
      <c r="F212" s="221"/>
      <c r="G212" s="213" t="s">
        <v>160</v>
      </c>
      <c r="H212" s="96"/>
      <c r="I212" s="214"/>
      <c r="J212" s="22"/>
      <c r="K212" s="140"/>
      <c r="L212" s="140"/>
      <c r="M212" s="216" t="s">
        <v>1336</v>
      </c>
      <c r="N212" s="140"/>
      <c r="O212" s="19"/>
      <c r="P212" s="19"/>
    </row>
    <row r="213" spans="1:16" ht="15.75">
      <c r="A213" s="142" t="s">
        <v>1452</v>
      </c>
      <c r="B213" s="220"/>
      <c r="C213" s="149"/>
      <c r="D213" s="380" t="s">
        <v>1453</v>
      </c>
      <c r="E213" s="380" t="s">
        <v>1454</v>
      </c>
      <c r="F213" s="173"/>
      <c r="G213" s="213" t="s">
        <v>1455</v>
      </c>
      <c r="H213" s="96"/>
      <c r="I213" s="214"/>
      <c r="J213" s="122" t="s">
        <v>1364</v>
      </c>
      <c r="K213" s="140"/>
      <c r="L213" s="140"/>
      <c r="M213" s="216" t="s">
        <v>1336</v>
      </c>
      <c r="N213" s="140"/>
      <c r="O213" s="19"/>
      <c r="P213" s="19"/>
    </row>
    <row r="214" spans="1:16" ht="30">
      <c r="A214" s="142" t="s">
        <v>1456</v>
      </c>
      <c r="B214" s="220"/>
      <c r="C214" s="149"/>
      <c r="D214" s="380"/>
      <c r="E214" s="380"/>
      <c r="F214" s="173"/>
      <c r="G214" s="213" t="s">
        <v>1457</v>
      </c>
      <c r="H214" s="96"/>
      <c r="I214" s="214"/>
      <c r="J214" s="122" t="s">
        <v>1367</v>
      </c>
      <c r="K214" s="140"/>
      <c r="L214" s="140"/>
      <c r="M214" s="216" t="s">
        <v>1336</v>
      </c>
      <c r="N214" s="140"/>
      <c r="O214" s="19"/>
      <c r="P214" s="19"/>
    </row>
    <row r="215" spans="1:16" ht="30">
      <c r="A215" s="142" t="s">
        <v>1458</v>
      </c>
      <c r="B215" s="220"/>
      <c r="C215" s="149"/>
      <c r="D215" s="380"/>
      <c r="E215" s="380"/>
      <c r="F215" s="173"/>
      <c r="G215" s="213" t="s">
        <v>1459</v>
      </c>
      <c r="H215" s="96"/>
      <c r="I215" s="214"/>
      <c r="J215" s="122" t="s">
        <v>1370</v>
      </c>
      <c r="K215" s="140"/>
      <c r="L215" s="140"/>
      <c r="M215" s="216" t="s">
        <v>1336</v>
      </c>
      <c r="N215" s="140"/>
      <c r="O215" s="19"/>
      <c r="P215" s="19"/>
    </row>
    <row r="216" spans="1:16" ht="30">
      <c r="A216" s="142" t="s">
        <v>1460</v>
      </c>
      <c r="B216" s="220"/>
      <c r="C216" s="149"/>
      <c r="D216" s="380"/>
      <c r="E216" s="380" t="s">
        <v>1461</v>
      </c>
      <c r="F216" s="173"/>
      <c r="G216" s="213" t="s">
        <v>1462</v>
      </c>
      <c r="H216" s="96"/>
      <c r="I216" s="214"/>
      <c r="J216" s="122" t="s">
        <v>1364</v>
      </c>
      <c r="K216" s="140"/>
      <c r="L216" s="140"/>
      <c r="M216" s="216" t="s">
        <v>1336</v>
      </c>
      <c r="N216" s="140"/>
      <c r="O216" s="19"/>
      <c r="P216" s="19"/>
    </row>
    <row r="217" spans="1:16" ht="30">
      <c r="A217" s="142" t="s">
        <v>1463</v>
      </c>
      <c r="B217" s="220"/>
      <c r="C217" s="149"/>
      <c r="D217" s="380"/>
      <c r="E217" s="380"/>
      <c r="F217" s="173"/>
      <c r="G217" s="213" t="s">
        <v>1457</v>
      </c>
      <c r="H217" s="96"/>
      <c r="I217" s="214"/>
      <c r="J217" s="122" t="s">
        <v>1367</v>
      </c>
      <c r="K217" s="140"/>
      <c r="L217" s="140"/>
      <c r="M217" s="216" t="s">
        <v>1336</v>
      </c>
      <c r="N217" s="140"/>
      <c r="O217" s="19"/>
      <c r="P217" s="19"/>
    </row>
    <row r="218" spans="1:16" ht="30">
      <c r="A218" s="142" t="s">
        <v>1464</v>
      </c>
      <c r="B218" s="220"/>
      <c r="C218" s="149"/>
      <c r="D218" s="380"/>
      <c r="E218" s="380"/>
      <c r="F218" s="173"/>
      <c r="G218" s="213" t="s">
        <v>1459</v>
      </c>
      <c r="H218" s="96"/>
      <c r="I218" s="214"/>
      <c r="J218" s="122" t="s">
        <v>1370</v>
      </c>
      <c r="K218" s="140"/>
      <c r="L218" s="140"/>
      <c r="M218" s="216" t="s">
        <v>1336</v>
      </c>
      <c r="N218" s="140"/>
      <c r="O218" s="19"/>
      <c r="P218" s="19"/>
    </row>
    <row r="219" spans="1:16" ht="30">
      <c r="A219" s="142" t="s">
        <v>1465</v>
      </c>
      <c r="B219" s="220"/>
      <c r="C219" s="149"/>
      <c r="D219" s="380"/>
      <c r="E219" s="380" t="s">
        <v>1466</v>
      </c>
      <c r="F219" s="173"/>
      <c r="G219" s="213" t="s">
        <v>1467</v>
      </c>
      <c r="H219" s="96"/>
      <c r="I219" s="214"/>
      <c r="J219" s="122" t="s">
        <v>1364</v>
      </c>
      <c r="K219" s="140"/>
      <c r="L219" s="140"/>
      <c r="M219" s="216" t="s">
        <v>1336</v>
      </c>
      <c r="N219" s="140"/>
      <c r="O219" s="19"/>
      <c r="P219" s="19"/>
    </row>
    <row r="220" spans="1:16" ht="30">
      <c r="A220" s="142" t="s">
        <v>1468</v>
      </c>
      <c r="B220" s="220"/>
      <c r="C220" s="149"/>
      <c r="D220" s="380"/>
      <c r="E220" s="380"/>
      <c r="F220" s="173"/>
      <c r="G220" s="213" t="s">
        <v>1457</v>
      </c>
      <c r="H220" s="96"/>
      <c r="I220" s="214"/>
      <c r="J220" s="122" t="s">
        <v>1367</v>
      </c>
      <c r="K220" s="140"/>
      <c r="L220" s="140"/>
      <c r="M220" s="216" t="s">
        <v>1336</v>
      </c>
      <c r="N220" s="140"/>
      <c r="O220" s="19"/>
      <c r="P220" s="19"/>
    </row>
    <row r="221" spans="1:16" ht="30">
      <c r="A221" s="142" t="s">
        <v>1469</v>
      </c>
      <c r="B221" s="220"/>
      <c r="C221" s="149"/>
      <c r="D221" s="381"/>
      <c r="E221" s="381"/>
      <c r="F221" s="173"/>
      <c r="G221" s="213" t="s">
        <v>1459</v>
      </c>
      <c r="H221" s="96"/>
      <c r="I221" s="214"/>
      <c r="J221" s="122" t="s">
        <v>1370</v>
      </c>
      <c r="K221" s="140"/>
      <c r="L221" s="140"/>
      <c r="M221" s="216" t="s">
        <v>1336</v>
      </c>
      <c r="N221" s="140"/>
      <c r="O221" s="19"/>
      <c r="P221" s="19"/>
    </row>
    <row r="222" spans="1:16" ht="15.75">
      <c r="A222" s="142" t="s">
        <v>1470</v>
      </c>
      <c r="B222" s="224"/>
      <c r="C222" s="66"/>
      <c r="D222" s="380" t="s">
        <v>1471</v>
      </c>
      <c r="E222" s="380" t="s">
        <v>1472</v>
      </c>
      <c r="F222" s="226"/>
      <c r="G222" s="213" t="s">
        <v>1473</v>
      </c>
      <c r="H222" s="96"/>
      <c r="I222" s="214"/>
      <c r="J222" s="122" t="s">
        <v>1364</v>
      </c>
      <c r="K222" s="140"/>
      <c r="L222" s="140"/>
      <c r="M222" s="216" t="s">
        <v>1336</v>
      </c>
      <c r="N222" s="140"/>
      <c r="O222" s="19"/>
      <c r="P222" s="19"/>
    </row>
    <row r="223" spans="1:16" ht="15.75">
      <c r="A223" s="142" t="s">
        <v>1474</v>
      </c>
      <c r="B223" s="224"/>
      <c r="C223" s="66"/>
      <c r="D223" s="380"/>
      <c r="E223" s="380"/>
      <c r="F223" s="221"/>
      <c r="G223" s="213" t="s">
        <v>1475</v>
      </c>
      <c r="H223" s="96"/>
      <c r="I223" s="214"/>
      <c r="J223" s="122" t="s">
        <v>1367</v>
      </c>
      <c r="K223" s="140"/>
      <c r="L223" s="140"/>
      <c r="M223" s="216" t="s">
        <v>1336</v>
      </c>
      <c r="N223" s="140"/>
      <c r="O223" s="19"/>
      <c r="P223" s="19"/>
    </row>
    <row r="224" spans="1:16" ht="30">
      <c r="A224" s="142" t="s">
        <v>1476</v>
      </c>
      <c r="B224" s="224"/>
      <c r="C224" s="66"/>
      <c r="D224" s="380"/>
      <c r="E224" s="380"/>
      <c r="F224" s="221"/>
      <c r="G224" s="213" t="s">
        <v>1477</v>
      </c>
      <c r="H224" s="96"/>
      <c r="I224" s="214"/>
      <c r="J224" s="122" t="s">
        <v>1370</v>
      </c>
      <c r="K224" s="140"/>
      <c r="L224" s="140"/>
      <c r="M224" s="216" t="s">
        <v>1336</v>
      </c>
      <c r="N224" s="140"/>
      <c r="O224" s="19"/>
      <c r="P224" s="19"/>
    </row>
    <row r="225" spans="1:16" ht="30">
      <c r="A225" s="142" t="s">
        <v>1478</v>
      </c>
      <c r="B225" s="224"/>
      <c r="C225" s="66"/>
      <c r="D225" s="380"/>
      <c r="E225" s="380" t="s">
        <v>1479</v>
      </c>
      <c r="F225" s="221"/>
      <c r="G225" s="213" t="s">
        <v>1480</v>
      </c>
      <c r="H225" s="96"/>
      <c r="I225" s="214"/>
      <c r="J225" s="122" t="s">
        <v>1364</v>
      </c>
      <c r="K225" s="140"/>
      <c r="L225" s="140"/>
      <c r="M225" s="216" t="s">
        <v>1336</v>
      </c>
      <c r="N225" s="140"/>
      <c r="O225" s="19"/>
      <c r="P225" s="19"/>
    </row>
    <row r="226" spans="1:16" ht="30">
      <c r="A226" s="142" t="s">
        <v>1481</v>
      </c>
      <c r="B226" s="224"/>
      <c r="C226" s="66"/>
      <c r="D226" s="380"/>
      <c r="E226" s="380"/>
      <c r="F226" s="221"/>
      <c r="G226" s="213" t="s">
        <v>1482</v>
      </c>
      <c r="H226" s="96"/>
      <c r="I226" s="214"/>
      <c r="J226" s="122" t="s">
        <v>1367</v>
      </c>
      <c r="K226" s="140"/>
      <c r="L226" s="140"/>
      <c r="M226" s="216" t="s">
        <v>1336</v>
      </c>
      <c r="N226" s="140"/>
      <c r="O226" s="19"/>
      <c r="P226" s="19"/>
    </row>
    <row r="227" spans="1:16" ht="30">
      <c r="A227" s="142" t="s">
        <v>1483</v>
      </c>
      <c r="B227" s="224"/>
      <c r="C227" s="66"/>
      <c r="D227" s="380"/>
      <c r="E227" s="380"/>
      <c r="F227" s="221"/>
      <c r="G227" s="213" t="s">
        <v>1484</v>
      </c>
      <c r="H227" s="96"/>
      <c r="I227" s="214"/>
      <c r="J227" s="122" t="s">
        <v>1370</v>
      </c>
      <c r="K227" s="140"/>
      <c r="L227" s="140"/>
      <c r="M227" s="216" t="s">
        <v>1336</v>
      </c>
      <c r="N227" s="140"/>
      <c r="O227" s="19"/>
      <c r="P227" s="19"/>
    </row>
    <row r="228" spans="1:16" ht="30">
      <c r="A228" s="142" t="s">
        <v>1485</v>
      </c>
      <c r="B228" s="224"/>
      <c r="C228" s="66"/>
      <c r="D228" s="380"/>
      <c r="E228" s="380" t="s">
        <v>1486</v>
      </c>
      <c r="F228" s="221"/>
      <c r="G228" s="213" t="s">
        <v>1487</v>
      </c>
      <c r="H228" s="96"/>
      <c r="I228" s="214"/>
      <c r="J228" s="122" t="s">
        <v>1364</v>
      </c>
      <c r="K228" s="140"/>
      <c r="L228" s="140"/>
      <c r="M228" s="216" t="s">
        <v>1336</v>
      </c>
      <c r="N228" s="140"/>
      <c r="O228" s="19"/>
      <c r="P228" s="19"/>
    </row>
    <row r="229" spans="1:16" ht="30">
      <c r="A229" s="142" t="s">
        <v>1488</v>
      </c>
      <c r="B229" s="224"/>
      <c r="C229" s="66"/>
      <c r="D229" s="380"/>
      <c r="E229" s="380"/>
      <c r="F229" s="221"/>
      <c r="G229" s="213" t="s">
        <v>1489</v>
      </c>
      <c r="H229" s="96"/>
      <c r="I229" s="214"/>
      <c r="J229" s="122" t="s">
        <v>1367</v>
      </c>
      <c r="K229" s="140"/>
      <c r="L229" s="140"/>
      <c r="M229" s="216" t="s">
        <v>1336</v>
      </c>
      <c r="N229" s="140"/>
      <c r="O229" s="19"/>
      <c r="P229" s="19"/>
    </row>
    <row r="230" spans="1:16" ht="30">
      <c r="A230" s="142" t="s">
        <v>1490</v>
      </c>
      <c r="B230" s="224"/>
      <c r="C230" s="66"/>
      <c r="D230" s="380"/>
      <c r="E230" s="380"/>
      <c r="F230" s="221"/>
      <c r="G230" s="213" t="s">
        <v>1491</v>
      </c>
      <c r="H230" s="96"/>
      <c r="I230" s="214"/>
      <c r="J230" s="122" t="s">
        <v>1370</v>
      </c>
      <c r="K230" s="140"/>
      <c r="L230" s="140"/>
      <c r="M230" s="216" t="s">
        <v>1336</v>
      </c>
      <c r="N230" s="140"/>
      <c r="O230" s="19"/>
      <c r="P230" s="19"/>
    </row>
    <row r="231" spans="1:16" ht="30">
      <c r="A231" s="142" t="s">
        <v>1492</v>
      </c>
      <c r="B231" s="224"/>
      <c r="C231" s="66"/>
      <c r="D231" s="380"/>
      <c r="E231" s="380" t="s">
        <v>1493</v>
      </c>
      <c r="F231" s="221"/>
      <c r="G231" s="213" t="s">
        <v>1494</v>
      </c>
      <c r="H231" s="96"/>
      <c r="I231" s="214"/>
      <c r="J231" s="122" t="s">
        <v>1364</v>
      </c>
      <c r="K231" s="140"/>
      <c r="L231" s="140"/>
      <c r="M231" s="216" t="s">
        <v>1336</v>
      </c>
      <c r="N231" s="140"/>
      <c r="O231" s="19"/>
      <c r="P231" s="19"/>
    </row>
    <row r="232" spans="1:16" ht="30">
      <c r="A232" s="142" t="s">
        <v>1495</v>
      </c>
      <c r="B232" s="224"/>
      <c r="C232" s="66"/>
      <c r="D232" s="380"/>
      <c r="E232" s="380"/>
      <c r="F232" s="221"/>
      <c r="G232" s="213" t="s">
        <v>1496</v>
      </c>
      <c r="H232" s="96"/>
      <c r="I232" s="214"/>
      <c r="J232" s="122" t="s">
        <v>1367</v>
      </c>
      <c r="K232" s="140"/>
      <c r="L232" s="140"/>
      <c r="M232" s="216" t="s">
        <v>1336</v>
      </c>
      <c r="N232" s="140"/>
      <c r="O232" s="19"/>
      <c r="P232" s="19"/>
    </row>
    <row r="233" spans="1:16" ht="30">
      <c r="A233" s="142" t="s">
        <v>1497</v>
      </c>
      <c r="B233" s="224"/>
      <c r="C233" s="66"/>
      <c r="D233" s="380"/>
      <c r="E233" s="380"/>
      <c r="F233" s="221"/>
      <c r="G233" s="213" t="s">
        <v>1498</v>
      </c>
      <c r="H233" s="96"/>
      <c r="I233" s="214"/>
      <c r="J233" s="122" t="s">
        <v>1370</v>
      </c>
      <c r="K233" s="140"/>
      <c r="L233" s="140"/>
      <c r="M233" s="216" t="s">
        <v>1336</v>
      </c>
      <c r="N233" s="140"/>
      <c r="O233" s="19"/>
      <c r="P233" s="19"/>
    </row>
    <row r="234" spans="1:16" ht="30">
      <c r="A234" s="142" t="s">
        <v>1499</v>
      </c>
      <c r="B234" s="224"/>
      <c r="C234" s="66"/>
      <c r="D234" s="380"/>
      <c r="E234" s="380" t="s">
        <v>1500</v>
      </c>
      <c r="F234" s="221"/>
      <c r="G234" s="213" t="s">
        <v>1501</v>
      </c>
      <c r="H234" s="96"/>
      <c r="I234" s="214"/>
      <c r="J234" s="122" t="s">
        <v>1364</v>
      </c>
      <c r="K234" s="140"/>
      <c r="L234" s="140"/>
      <c r="M234" s="216" t="s">
        <v>1336</v>
      </c>
      <c r="N234" s="140"/>
      <c r="O234" s="19"/>
      <c r="P234" s="19"/>
    </row>
    <row r="235" spans="1:16" ht="30">
      <c r="A235" s="142" t="s">
        <v>1502</v>
      </c>
      <c r="B235" s="224"/>
      <c r="C235" s="66"/>
      <c r="D235" s="380"/>
      <c r="E235" s="380"/>
      <c r="F235" s="221"/>
      <c r="G235" s="213" t="s">
        <v>1503</v>
      </c>
      <c r="H235" s="96"/>
      <c r="I235" s="214"/>
      <c r="J235" s="122" t="s">
        <v>1367</v>
      </c>
      <c r="K235" s="140"/>
      <c r="L235" s="140"/>
      <c r="M235" s="216" t="s">
        <v>1336</v>
      </c>
      <c r="N235" s="140"/>
      <c r="O235" s="19"/>
      <c r="P235" s="19"/>
    </row>
    <row r="236" spans="1:16" ht="30">
      <c r="A236" s="142" t="s">
        <v>1504</v>
      </c>
      <c r="B236" s="224"/>
      <c r="C236" s="66"/>
      <c r="D236" s="380"/>
      <c r="E236" s="380"/>
      <c r="F236" s="221"/>
      <c r="G236" s="213" t="s">
        <v>1505</v>
      </c>
      <c r="H236" s="96"/>
      <c r="I236" s="214"/>
      <c r="J236" s="122" t="s">
        <v>1370</v>
      </c>
      <c r="K236" s="140"/>
      <c r="L236" s="140"/>
      <c r="M236" s="216" t="s">
        <v>1336</v>
      </c>
      <c r="N236" s="140"/>
      <c r="O236" s="19"/>
      <c r="P236" s="19"/>
    </row>
    <row r="237" spans="1:16" ht="30">
      <c r="A237" s="142" t="s">
        <v>1506</v>
      </c>
      <c r="B237" s="224"/>
      <c r="C237" s="66"/>
      <c r="D237" s="380"/>
      <c r="E237" s="380" t="s">
        <v>1507</v>
      </c>
      <c r="F237" s="221"/>
      <c r="G237" s="213" t="s">
        <v>1508</v>
      </c>
      <c r="H237" s="96"/>
      <c r="I237" s="214"/>
      <c r="J237" s="122" t="s">
        <v>1364</v>
      </c>
      <c r="K237" s="140"/>
      <c r="L237" s="140"/>
      <c r="M237" s="216" t="s">
        <v>1336</v>
      </c>
      <c r="N237" s="140"/>
      <c r="O237" s="19"/>
      <c r="P237" s="19"/>
    </row>
    <row r="238" spans="1:16" ht="45">
      <c r="A238" s="142" t="s">
        <v>1509</v>
      </c>
      <c r="B238" s="224"/>
      <c r="C238" s="66"/>
      <c r="D238" s="380"/>
      <c r="E238" s="380"/>
      <c r="F238" s="221"/>
      <c r="G238" s="213" t="s">
        <v>1510</v>
      </c>
      <c r="H238" s="96"/>
      <c r="I238" s="214"/>
      <c r="J238" s="122" t="s">
        <v>1367</v>
      </c>
      <c r="K238" s="140"/>
      <c r="L238" s="140"/>
      <c r="M238" s="216" t="s">
        <v>1336</v>
      </c>
      <c r="N238" s="140"/>
      <c r="O238" s="19"/>
      <c r="P238" s="19"/>
    </row>
    <row r="239" spans="1:16" ht="45">
      <c r="A239" s="142" t="s">
        <v>1511</v>
      </c>
      <c r="B239" s="224"/>
      <c r="C239" s="66"/>
      <c r="D239" s="380"/>
      <c r="E239" s="380"/>
      <c r="F239" s="221"/>
      <c r="G239" s="213" t="s">
        <v>1512</v>
      </c>
      <c r="H239" s="96"/>
      <c r="I239" s="214"/>
      <c r="J239" s="122" t="s">
        <v>1370</v>
      </c>
      <c r="K239" s="140"/>
      <c r="L239" s="140"/>
      <c r="M239" s="216" t="s">
        <v>1336</v>
      </c>
      <c r="N239" s="140"/>
      <c r="O239" s="19"/>
      <c r="P239" s="19"/>
    </row>
    <row r="240" spans="1:16" ht="30">
      <c r="A240" s="142" t="s">
        <v>1513</v>
      </c>
      <c r="B240" s="224"/>
      <c r="C240" s="66"/>
      <c r="D240" s="380"/>
      <c r="E240" s="380" t="s">
        <v>1514</v>
      </c>
      <c r="F240" s="221"/>
      <c r="G240" s="213" t="s">
        <v>1515</v>
      </c>
      <c r="H240" s="96"/>
      <c r="I240" s="214"/>
      <c r="J240" s="122" t="s">
        <v>1364</v>
      </c>
      <c r="K240" s="140"/>
      <c r="L240" s="140"/>
      <c r="M240" s="216" t="s">
        <v>1336</v>
      </c>
      <c r="N240" s="140"/>
      <c r="O240" s="19"/>
      <c r="P240" s="19"/>
    </row>
    <row r="241" spans="1:16" ht="30">
      <c r="A241" s="142" t="s">
        <v>1516</v>
      </c>
      <c r="B241" s="224"/>
      <c r="C241" s="66"/>
      <c r="D241" s="380"/>
      <c r="E241" s="380"/>
      <c r="F241" s="221"/>
      <c r="G241" s="213" t="s">
        <v>1517</v>
      </c>
      <c r="H241" s="96"/>
      <c r="I241" s="214"/>
      <c r="J241" s="122" t="s">
        <v>1367</v>
      </c>
      <c r="K241" s="140"/>
      <c r="L241" s="140"/>
      <c r="M241" s="216" t="s">
        <v>1336</v>
      </c>
      <c r="N241" s="140"/>
      <c r="O241" s="19"/>
      <c r="P241" s="19"/>
    </row>
    <row r="242" spans="1:16" ht="45">
      <c r="A242" s="142" t="s">
        <v>1518</v>
      </c>
      <c r="B242" s="224"/>
      <c r="C242" s="66"/>
      <c r="D242" s="380"/>
      <c r="E242" s="380"/>
      <c r="F242" s="221"/>
      <c r="G242" s="213" t="s">
        <v>1519</v>
      </c>
      <c r="H242" s="96"/>
      <c r="I242" s="214"/>
      <c r="J242" s="122" t="s">
        <v>1370</v>
      </c>
      <c r="K242" s="140"/>
      <c r="L242" s="140"/>
      <c r="M242" s="216" t="s">
        <v>1336</v>
      </c>
      <c r="N242" s="140"/>
      <c r="O242" s="19"/>
      <c r="P242" s="19"/>
    </row>
    <row r="243" spans="1:16">
      <c r="A243" s="390" t="s">
        <v>1601</v>
      </c>
      <c r="B243" s="391"/>
      <c r="C243" s="392"/>
      <c r="D243" s="392"/>
      <c r="E243" s="392"/>
      <c r="F243" s="391"/>
      <c r="G243" s="391"/>
      <c r="H243" s="391"/>
      <c r="I243" s="391"/>
      <c r="J243" s="391"/>
      <c r="K243" s="391"/>
      <c r="L243" s="391"/>
      <c r="M243" s="391"/>
      <c r="N243" s="390"/>
      <c r="O243" s="390"/>
      <c r="P243" s="390"/>
    </row>
    <row r="244" spans="1:16" ht="75">
      <c r="A244" s="142" t="s">
        <v>1521</v>
      </c>
      <c r="B244" s="393"/>
      <c r="C244" s="394"/>
      <c r="D244" s="378" t="s">
        <v>1331</v>
      </c>
      <c r="E244" s="380" t="s">
        <v>1332</v>
      </c>
      <c r="F244" s="395" t="s">
        <v>1333</v>
      </c>
      <c r="G244" s="212" t="s">
        <v>1334</v>
      </c>
      <c r="H244" s="81" t="s">
        <v>1335</v>
      </c>
      <c r="I244" s="82"/>
      <c r="J244" s="22" t="s">
        <v>58</v>
      </c>
      <c r="K244" s="216" t="s">
        <v>1336</v>
      </c>
      <c r="L244" s="140"/>
      <c r="M244" s="140"/>
      <c r="N244" s="140"/>
      <c r="O244" s="19"/>
      <c r="P244" s="19"/>
    </row>
    <row r="245" spans="1:16" ht="30">
      <c r="A245" s="151" t="s">
        <v>1522</v>
      </c>
      <c r="B245" s="393"/>
      <c r="C245" s="394"/>
      <c r="D245" s="378"/>
      <c r="E245" s="380"/>
      <c r="F245" s="395"/>
      <c r="G245" s="212" t="s">
        <v>1338</v>
      </c>
      <c r="H245" s="83" t="s">
        <v>1339</v>
      </c>
      <c r="I245" s="82"/>
      <c r="J245" s="22" t="s">
        <v>64</v>
      </c>
      <c r="K245" s="216" t="s">
        <v>1336</v>
      </c>
      <c r="L245" s="140"/>
      <c r="M245" s="140"/>
      <c r="N245" s="140"/>
      <c r="O245" s="19"/>
      <c r="P245" s="19"/>
    </row>
    <row r="246" spans="1:16" ht="45">
      <c r="A246" s="151" t="s">
        <v>1523</v>
      </c>
      <c r="B246" s="393"/>
      <c r="C246" s="156"/>
      <c r="D246" s="378"/>
      <c r="E246" s="380"/>
      <c r="F246" s="173" t="s">
        <v>1341</v>
      </c>
      <c r="G246" s="213" t="s">
        <v>1342</v>
      </c>
      <c r="H246" s="96" t="s">
        <v>1343</v>
      </c>
      <c r="I246" s="210"/>
      <c r="J246" s="211" t="s">
        <v>1344</v>
      </c>
      <c r="K246" s="216" t="s">
        <v>1336</v>
      </c>
      <c r="L246" s="140"/>
      <c r="M246" s="140"/>
      <c r="N246" s="140"/>
      <c r="O246" s="19"/>
      <c r="P246" s="19"/>
    </row>
    <row r="247" spans="1:16" ht="45">
      <c r="A247" s="151" t="s">
        <v>1524</v>
      </c>
      <c r="B247" s="393"/>
      <c r="C247" s="156"/>
      <c r="D247" s="378"/>
      <c r="E247" s="380"/>
      <c r="F247" s="173" t="s">
        <v>1346</v>
      </c>
      <c r="G247" s="213" t="s">
        <v>1347</v>
      </c>
      <c r="H247" s="96" t="s">
        <v>1348</v>
      </c>
      <c r="I247" s="210"/>
      <c r="J247" s="211" t="s">
        <v>1349</v>
      </c>
      <c r="K247" s="216" t="s">
        <v>1336</v>
      </c>
      <c r="L247" s="140"/>
      <c r="M247" s="140"/>
      <c r="N247" s="140"/>
      <c r="O247" s="19"/>
      <c r="P247" s="19"/>
    </row>
    <row r="248" spans="1:16" ht="30">
      <c r="A248" s="151" t="s">
        <v>1525</v>
      </c>
      <c r="B248" s="393"/>
      <c r="C248" s="156"/>
      <c r="D248" s="378"/>
      <c r="E248" s="380"/>
      <c r="F248" s="173" t="s">
        <v>1351</v>
      </c>
      <c r="G248" s="213" t="s">
        <v>1352</v>
      </c>
      <c r="H248" s="96" t="s">
        <v>1353</v>
      </c>
      <c r="I248" s="210"/>
      <c r="J248" s="211" t="s">
        <v>1354</v>
      </c>
      <c r="K248" s="216" t="s">
        <v>1336</v>
      </c>
      <c r="L248" s="140"/>
      <c r="M248" s="140"/>
      <c r="N248" s="140"/>
      <c r="O248" s="19"/>
      <c r="P248" s="19"/>
    </row>
    <row r="249" spans="1:16" ht="45">
      <c r="A249" s="151" t="s">
        <v>1526</v>
      </c>
      <c r="B249" s="393"/>
      <c r="C249" s="156"/>
      <c r="D249" s="379"/>
      <c r="E249" s="381"/>
      <c r="F249" s="209" t="s">
        <v>1356</v>
      </c>
      <c r="G249" s="213" t="s">
        <v>1357</v>
      </c>
      <c r="H249" s="96" t="s">
        <v>1358</v>
      </c>
      <c r="I249" s="323"/>
      <c r="J249" s="211" t="s">
        <v>1359</v>
      </c>
      <c r="K249" s="216" t="s">
        <v>1336</v>
      </c>
      <c r="L249" s="140"/>
      <c r="M249" s="140"/>
      <c r="N249" s="140"/>
      <c r="O249" s="19"/>
      <c r="P249" s="19"/>
    </row>
    <row r="250" spans="1:16" ht="30">
      <c r="A250" s="151" t="s">
        <v>1527</v>
      </c>
      <c r="B250" s="122"/>
      <c r="C250" s="122"/>
      <c r="D250" s="379" t="s">
        <v>1361</v>
      </c>
      <c r="E250" s="380" t="s">
        <v>1362</v>
      </c>
      <c r="F250" s="173"/>
      <c r="G250" s="173" t="s">
        <v>1363</v>
      </c>
      <c r="H250" s="122"/>
      <c r="I250" s="122"/>
      <c r="J250" s="122" t="s">
        <v>1364</v>
      </c>
      <c r="K250" s="216" t="s">
        <v>1336</v>
      </c>
      <c r="L250" s="140"/>
      <c r="M250" s="140"/>
      <c r="N250" s="140"/>
      <c r="O250" s="19"/>
      <c r="P250" s="19"/>
    </row>
    <row r="251" spans="1:16" ht="30">
      <c r="A251" s="151" t="s">
        <v>1528</v>
      </c>
      <c r="B251" s="122"/>
      <c r="C251" s="122"/>
      <c r="D251" s="386"/>
      <c r="E251" s="380"/>
      <c r="F251" s="173"/>
      <c r="G251" s="152" t="s">
        <v>1366</v>
      </c>
      <c r="H251" s="122"/>
      <c r="I251" s="122"/>
      <c r="J251" s="122" t="s">
        <v>1367</v>
      </c>
      <c r="K251" s="216" t="s">
        <v>1336</v>
      </c>
      <c r="L251" s="140"/>
      <c r="M251" s="140"/>
      <c r="N251" s="140"/>
      <c r="O251" s="19"/>
      <c r="P251" s="19"/>
    </row>
    <row r="252" spans="1:16" ht="30">
      <c r="A252" s="151" t="s">
        <v>1529</v>
      </c>
      <c r="B252" s="122"/>
      <c r="C252" s="122"/>
      <c r="D252" s="386"/>
      <c r="E252" s="380"/>
      <c r="F252" s="122"/>
      <c r="G252" s="152" t="s">
        <v>1369</v>
      </c>
      <c r="H252" s="122"/>
      <c r="I252" s="122"/>
      <c r="J252" s="122" t="s">
        <v>1370</v>
      </c>
      <c r="K252" s="216" t="s">
        <v>1336</v>
      </c>
      <c r="L252" s="140"/>
      <c r="M252" s="140"/>
      <c r="N252" s="140"/>
      <c r="O252" s="19"/>
      <c r="P252" s="19"/>
    </row>
    <row r="253" spans="1:16" ht="30">
      <c r="A253" s="151" t="s">
        <v>1530</v>
      </c>
      <c r="B253" s="122"/>
      <c r="C253" s="122"/>
      <c r="D253" s="386"/>
      <c r="E253" s="389" t="s">
        <v>1372</v>
      </c>
      <c r="F253" s="122"/>
      <c r="G253" s="173" t="s">
        <v>1363</v>
      </c>
      <c r="H253" s="122"/>
      <c r="I253" s="122"/>
      <c r="J253" s="122" t="s">
        <v>1364</v>
      </c>
      <c r="K253" s="216" t="s">
        <v>1336</v>
      </c>
      <c r="L253" s="140"/>
      <c r="M253" s="140"/>
      <c r="N253" s="140"/>
      <c r="O253" s="19"/>
      <c r="P253" s="19"/>
    </row>
    <row r="254" spans="1:16" ht="30">
      <c r="A254" s="151" t="s">
        <v>1531</v>
      </c>
      <c r="B254" s="122"/>
      <c r="C254" s="122"/>
      <c r="D254" s="386"/>
      <c r="E254" s="389"/>
      <c r="F254" s="122"/>
      <c r="G254" s="152" t="s">
        <v>1366</v>
      </c>
      <c r="H254" s="122"/>
      <c r="I254" s="122"/>
      <c r="J254" s="122" t="s">
        <v>1367</v>
      </c>
      <c r="K254" s="216" t="s">
        <v>1336</v>
      </c>
      <c r="L254" s="140"/>
      <c r="M254" s="140"/>
      <c r="N254" s="140"/>
      <c r="O254" s="19"/>
      <c r="P254" s="19"/>
    </row>
    <row r="255" spans="1:16" ht="30">
      <c r="A255" s="151" t="s">
        <v>1532</v>
      </c>
      <c r="B255" s="122"/>
      <c r="C255" s="122"/>
      <c r="D255" s="382"/>
      <c r="E255" s="389"/>
      <c r="F255" s="122"/>
      <c r="G255" s="152" t="s">
        <v>1369</v>
      </c>
      <c r="H255" s="122"/>
      <c r="I255" s="122"/>
      <c r="J255" s="122" t="s">
        <v>1370</v>
      </c>
      <c r="K255" s="216" t="s">
        <v>1336</v>
      </c>
      <c r="L255" s="140"/>
      <c r="M255" s="140"/>
      <c r="N255" s="140"/>
      <c r="O255" s="19"/>
      <c r="P255" s="19"/>
    </row>
    <row r="256" spans="1:16" ht="30">
      <c r="A256" s="151" t="s">
        <v>1533</v>
      </c>
      <c r="B256" s="337"/>
      <c r="C256" s="156"/>
      <c r="D256" s="378" t="s">
        <v>1376</v>
      </c>
      <c r="E256" s="380" t="s">
        <v>1377</v>
      </c>
      <c r="F256" s="221"/>
      <c r="G256" s="173" t="s">
        <v>1378</v>
      </c>
      <c r="H256" s="323"/>
      <c r="I256" s="323"/>
      <c r="J256" s="298" t="s">
        <v>71</v>
      </c>
      <c r="K256" s="216" t="s">
        <v>1336</v>
      </c>
      <c r="L256" s="140"/>
      <c r="M256" s="140"/>
      <c r="N256" s="140"/>
      <c r="O256" s="19"/>
      <c r="P256" s="19"/>
    </row>
    <row r="257" spans="1:16" ht="45">
      <c r="A257" s="151" t="s">
        <v>1534</v>
      </c>
      <c r="B257" s="337"/>
      <c r="C257" s="156"/>
      <c r="D257" s="378"/>
      <c r="E257" s="380"/>
      <c r="F257" s="329"/>
      <c r="G257" s="330" t="s">
        <v>1380</v>
      </c>
      <c r="H257" s="323"/>
      <c r="I257" s="323"/>
      <c r="J257" s="309" t="s">
        <v>81</v>
      </c>
      <c r="K257" s="216" t="s">
        <v>1336</v>
      </c>
      <c r="L257" s="140"/>
      <c r="M257" s="140"/>
      <c r="N257" s="140"/>
      <c r="O257" s="19"/>
      <c r="P257" s="19"/>
    </row>
    <row r="258" spans="1:16" ht="15.75">
      <c r="A258" s="151" t="s">
        <v>1535</v>
      </c>
      <c r="B258" s="337"/>
      <c r="C258" s="156"/>
      <c r="D258" s="378"/>
      <c r="E258" s="380"/>
      <c r="F258" s="331"/>
      <c r="G258" s="153" t="s">
        <v>92</v>
      </c>
      <c r="H258" s="323"/>
      <c r="I258" s="323"/>
      <c r="J258" s="298" t="s">
        <v>94</v>
      </c>
      <c r="K258" s="216" t="s">
        <v>1336</v>
      </c>
      <c r="L258" s="140"/>
      <c r="M258" s="140"/>
      <c r="N258" s="140"/>
      <c r="O258" s="19"/>
      <c r="P258" s="19"/>
    </row>
    <row r="259" spans="1:16" ht="15.75">
      <c r="A259" s="151" t="s">
        <v>1536</v>
      </c>
      <c r="B259" s="337"/>
      <c r="C259" s="156"/>
      <c r="D259" s="378"/>
      <c r="E259" s="380"/>
      <c r="F259" s="221"/>
      <c r="G259" s="173" t="s">
        <v>1383</v>
      </c>
      <c r="H259" s="323"/>
      <c r="I259" s="323"/>
      <c r="J259" s="298" t="s">
        <v>94</v>
      </c>
      <c r="K259" s="216" t="s">
        <v>1336</v>
      </c>
      <c r="L259" s="140"/>
      <c r="M259" s="140"/>
      <c r="N259" s="140"/>
      <c r="O259" s="19"/>
      <c r="P259" s="19"/>
    </row>
    <row r="260" spans="1:16" ht="15.75">
      <c r="A260" s="151" t="s">
        <v>1537</v>
      </c>
      <c r="B260" s="337"/>
      <c r="C260" s="156"/>
      <c r="D260" s="378"/>
      <c r="E260" s="380"/>
      <c r="F260" s="221"/>
      <c r="G260" s="317" t="s">
        <v>1385</v>
      </c>
      <c r="H260" s="323"/>
      <c r="I260" s="323"/>
      <c r="J260" s="155" t="s">
        <v>1386</v>
      </c>
      <c r="K260" s="216" t="s">
        <v>1336</v>
      </c>
      <c r="L260" s="140"/>
      <c r="M260" s="140"/>
      <c r="N260" s="140"/>
      <c r="O260" s="19"/>
      <c r="P260" s="19"/>
    </row>
    <row r="261" spans="1:16" ht="30">
      <c r="A261" s="151" t="s">
        <v>1538</v>
      </c>
      <c r="B261" s="337"/>
      <c r="C261" s="156"/>
      <c r="D261" s="378"/>
      <c r="E261" s="380"/>
      <c r="F261" s="221"/>
      <c r="G261" s="317" t="s">
        <v>1388</v>
      </c>
      <c r="H261" s="323"/>
      <c r="I261" s="323"/>
      <c r="J261" s="155" t="s">
        <v>1389</v>
      </c>
      <c r="K261" s="216" t="s">
        <v>1336</v>
      </c>
      <c r="L261" s="140"/>
      <c r="M261" s="140"/>
      <c r="N261" s="140"/>
      <c r="O261" s="19"/>
      <c r="P261" s="19"/>
    </row>
    <row r="262" spans="1:16" ht="45">
      <c r="A262" s="151" t="s">
        <v>1539</v>
      </c>
      <c r="B262" s="337"/>
      <c r="C262" s="156"/>
      <c r="D262" s="378" t="s">
        <v>1391</v>
      </c>
      <c r="E262" s="380" t="s">
        <v>1392</v>
      </c>
      <c r="F262" s="209"/>
      <c r="G262" s="330" t="s">
        <v>1380</v>
      </c>
      <c r="H262" s="323"/>
      <c r="I262" s="323"/>
      <c r="J262" s="309" t="s">
        <v>81</v>
      </c>
      <c r="K262" s="216" t="s">
        <v>1336</v>
      </c>
      <c r="L262" s="140"/>
      <c r="M262" s="140"/>
      <c r="N262" s="140"/>
      <c r="O262" s="19"/>
      <c r="P262" s="19"/>
    </row>
    <row r="263" spans="1:16" ht="30">
      <c r="A263" s="151" t="s">
        <v>1540</v>
      </c>
      <c r="B263" s="337"/>
      <c r="C263" s="156"/>
      <c r="D263" s="378"/>
      <c r="E263" s="380"/>
      <c r="F263" s="209"/>
      <c r="G263" s="173" t="s">
        <v>1378</v>
      </c>
      <c r="H263" s="323"/>
      <c r="I263" s="323"/>
      <c r="J263" s="298" t="s">
        <v>71</v>
      </c>
      <c r="K263" s="216" t="s">
        <v>1336</v>
      </c>
      <c r="L263" s="140"/>
      <c r="M263" s="140"/>
      <c r="N263" s="140"/>
      <c r="O263" s="19"/>
      <c r="P263" s="19"/>
    </row>
    <row r="264" spans="1:16" ht="15.75">
      <c r="A264" s="151" t="s">
        <v>1541</v>
      </c>
      <c r="B264" s="337"/>
      <c r="C264" s="66"/>
      <c r="D264" s="378"/>
      <c r="E264" s="380"/>
      <c r="F264" s="209"/>
      <c r="G264" t="s">
        <v>1385</v>
      </c>
      <c r="H264" s="323"/>
      <c r="I264" s="323"/>
      <c r="J264" s="155" t="s">
        <v>1386</v>
      </c>
      <c r="K264" s="216" t="s">
        <v>1336</v>
      </c>
      <c r="L264" s="140"/>
      <c r="M264" s="140"/>
      <c r="N264" s="140"/>
      <c r="O264" s="19"/>
      <c r="P264" s="19"/>
    </row>
    <row r="265" spans="1:16" ht="15.75">
      <c r="A265" s="151" t="s">
        <v>1542</v>
      </c>
      <c r="B265" s="337"/>
      <c r="C265" s="66"/>
      <c r="D265" s="378"/>
      <c r="E265" s="380"/>
      <c r="F265" s="209"/>
      <c r="G265" s="332" t="s">
        <v>1396</v>
      </c>
      <c r="H265" s="323"/>
      <c r="I265" s="323"/>
      <c r="J265" s="155" t="s">
        <v>1397</v>
      </c>
      <c r="K265" s="216" t="s">
        <v>1336</v>
      </c>
      <c r="L265" s="140"/>
      <c r="M265" s="140"/>
      <c r="N265" s="140"/>
      <c r="O265" s="19"/>
      <c r="P265" s="19"/>
    </row>
    <row r="266" spans="1:16" ht="30">
      <c r="A266" s="151" t="s">
        <v>1543</v>
      </c>
      <c r="B266" s="337"/>
      <c r="C266" s="66"/>
      <c r="D266" s="378"/>
      <c r="E266" s="380"/>
      <c r="F266" s="209"/>
      <c r="G266" s="324" t="s">
        <v>1388</v>
      </c>
      <c r="H266" s="154"/>
      <c r="I266" s="333"/>
      <c r="J266" s="155" t="s">
        <v>1389</v>
      </c>
      <c r="K266" s="216" t="s">
        <v>1336</v>
      </c>
      <c r="L266" s="140"/>
      <c r="M266" s="140"/>
      <c r="N266" s="140"/>
      <c r="O266" s="19"/>
      <c r="P266" s="19"/>
    </row>
    <row r="267" spans="1:16" ht="45">
      <c r="A267" s="151" t="s">
        <v>1544</v>
      </c>
      <c r="B267" s="337"/>
      <c r="C267" s="66"/>
      <c r="D267" s="378" t="s">
        <v>192</v>
      </c>
      <c r="E267" s="380" t="s">
        <v>1400</v>
      </c>
      <c r="F267" s="209"/>
      <c r="G267" s="334" t="s">
        <v>1380</v>
      </c>
      <c r="H267" s="154"/>
      <c r="I267" s="333"/>
      <c r="J267" s="309" t="s">
        <v>81</v>
      </c>
      <c r="K267" s="216" t="s">
        <v>1336</v>
      </c>
      <c r="L267" s="140"/>
      <c r="M267" s="140"/>
      <c r="N267" s="140"/>
      <c r="O267" s="19"/>
      <c r="P267" s="19"/>
    </row>
    <row r="268" spans="1:16" ht="30">
      <c r="A268" s="151" t="s">
        <v>1545</v>
      </c>
      <c r="B268" s="337"/>
      <c r="C268" s="66"/>
      <c r="D268" s="378"/>
      <c r="E268" s="380"/>
      <c r="F268" s="209"/>
      <c r="G268" s="173" t="s">
        <v>1378</v>
      </c>
      <c r="H268" s="323"/>
      <c r="I268" s="323"/>
      <c r="J268" s="298" t="s">
        <v>71</v>
      </c>
      <c r="K268" s="216" t="s">
        <v>1336</v>
      </c>
      <c r="L268" s="140"/>
      <c r="M268" s="140"/>
      <c r="N268" s="140"/>
      <c r="O268" s="19"/>
      <c r="P268" s="19"/>
    </row>
    <row r="269" spans="1:16" ht="15.75">
      <c r="A269" s="151" t="s">
        <v>1546</v>
      </c>
      <c r="B269" s="337"/>
      <c r="C269" s="66"/>
      <c r="D269" s="378"/>
      <c r="E269" s="380"/>
      <c r="F269" s="209"/>
      <c r="G269" s="122" t="s">
        <v>1403</v>
      </c>
      <c r="H269" s="323"/>
      <c r="I269" s="333"/>
      <c r="J269" s="155" t="s">
        <v>1386</v>
      </c>
      <c r="K269" s="216" t="s">
        <v>1336</v>
      </c>
      <c r="L269" s="140"/>
      <c r="M269" s="140"/>
      <c r="N269" s="140"/>
      <c r="O269" s="19"/>
      <c r="P269" s="19"/>
    </row>
    <row r="270" spans="1:16" ht="15.75">
      <c r="A270" s="151" t="s">
        <v>1547</v>
      </c>
      <c r="B270" s="337"/>
      <c r="C270" s="66"/>
      <c r="D270" s="378"/>
      <c r="E270" s="380"/>
      <c r="F270" s="209"/>
      <c r="G270" s="335" t="s">
        <v>1396</v>
      </c>
      <c r="H270" s="323"/>
      <c r="I270" s="323"/>
      <c r="J270" s="155" t="s">
        <v>1397</v>
      </c>
      <c r="K270" s="216" t="s">
        <v>1336</v>
      </c>
      <c r="L270" s="140"/>
      <c r="M270" s="140"/>
      <c r="N270" s="140"/>
      <c r="O270" s="19"/>
      <c r="P270" s="19"/>
    </row>
    <row r="271" spans="1:16" ht="30">
      <c r="A271" s="151" t="s">
        <v>1548</v>
      </c>
      <c r="B271" s="337"/>
      <c r="C271" s="66"/>
      <c r="D271" s="379"/>
      <c r="E271" s="381"/>
      <c r="F271" s="209"/>
      <c r="G271" s="332" t="s">
        <v>1388</v>
      </c>
      <c r="H271" s="323"/>
      <c r="I271" s="323"/>
      <c r="J271" s="339" t="s">
        <v>1389</v>
      </c>
      <c r="K271" s="216" t="s">
        <v>1336</v>
      </c>
      <c r="L271" s="140"/>
      <c r="M271" s="140"/>
      <c r="N271" s="140"/>
      <c r="O271" s="19"/>
      <c r="P271" s="19"/>
    </row>
    <row r="272" spans="1:16" ht="15.75">
      <c r="A272" s="151" t="s">
        <v>1549</v>
      </c>
      <c r="B272" s="337"/>
      <c r="C272" s="156"/>
      <c r="D272" s="379" t="s">
        <v>1407</v>
      </c>
      <c r="E272" s="381" t="s">
        <v>1408</v>
      </c>
      <c r="F272" s="221"/>
      <c r="G272" s="173" t="s">
        <v>1378</v>
      </c>
      <c r="H272" s="323"/>
      <c r="I272" s="323"/>
      <c r="J272" s="122" t="s">
        <v>1364</v>
      </c>
      <c r="K272" s="216" t="s">
        <v>1336</v>
      </c>
      <c r="L272" s="140"/>
      <c r="M272" s="140"/>
      <c r="N272" s="140"/>
      <c r="O272" s="19"/>
      <c r="P272" s="19"/>
    </row>
    <row r="273" spans="1:16" ht="30">
      <c r="A273" s="151" t="s">
        <v>1550</v>
      </c>
      <c r="B273" s="337"/>
      <c r="C273" s="156"/>
      <c r="D273" s="386"/>
      <c r="E273" s="387"/>
      <c r="F273" s="221"/>
      <c r="G273" s="324" t="s">
        <v>1410</v>
      </c>
      <c r="H273" s="323"/>
      <c r="I273" s="323"/>
      <c r="J273" s="155" t="s">
        <v>1411</v>
      </c>
      <c r="K273" s="216" t="s">
        <v>1336</v>
      </c>
      <c r="L273" s="140"/>
      <c r="M273" s="140"/>
      <c r="N273" s="140"/>
      <c r="O273" s="19"/>
      <c r="P273" s="19"/>
    </row>
    <row r="274" spans="1:16" ht="30">
      <c r="A274" s="151" t="s">
        <v>1551</v>
      </c>
      <c r="B274" s="337"/>
      <c r="C274" s="156"/>
      <c r="D274" s="382"/>
      <c r="E274" s="388"/>
      <c r="F274" s="221"/>
      <c r="G274" s="324" t="s">
        <v>1413</v>
      </c>
      <c r="H274" s="323"/>
      <c r="I274" s="323"/>
      <c r="J274" s="155" t="s">
        <v>1411</v>
      </c>
      <c r="K274" s="216" t="s">
        <v>1336</v>
      </c>
      <c r="L274" s="140"/>
      <c r="M274" s="140"/>
      <c r="N274" s="140"/>
      <c r="O274" s="19"/>
      <c r="P274" s="19"/>
    </row>
    <row r="275" spans="1:16" ht="30">
      <c r="A275" s="151" t="s">
        <v>1552</v>
      </c>
      <c r="B275" s="337"/>
      <c r="C275" s="156"/>
      <c r="D275" s="382" t="s">
        <v>1415</v>
      </c>
      <c r="E275" s="383" t="s">
        <v>1362</v>
      </c>
      <c r="F275" s="173"/>
      <c r="G275" s="221" t="s">
        <v>1416</v>
      </c>
      <c r="H275" s="323"/>
      <c r="I275" s="323"/>
      <c r="J275" s="340" t="s">
        <v>71</v>
      </c>
      <c r="K275" s="216" t="s">
        <v>1336</v>
      </c>
      <c r="L275" s="140"/>
      <c r="M275" s="140"/>
      <c r="N275" s="140"/>
      <c r="O275" s="19"/>
      <c r="P275" s="19"/>
    </row>
    <row r="276" spans="1:16" ht="30">
      <c r="A276" s="151" t="s">
        <v>1553</v>
      </c>
      <c r="B276" s="337"/>
      <c r="C276" s="156"/>
      <c r="D276" s="378"/>
      <c r="E276" s="384"/>
      <c r="F276" s="173"/>
      <c r="G276" s="221" t="s">
        <v>1418</v>
      </c>
      <c r="H276" s="323"/>
      <c r="I276" s="323"/>
      <c r="J276" s="298" t="s">
        <v>71</v>
      </c>
      <c r="K276" s="216" t="s">
        <v>1336</v>
      </c>
      <c r="L276" s="140"/>
      <c r="M276" s="140"/>
      <c r="N276" s="140"/>
      <c r="O276" s="19"/>
      <c r="P276" s="19"/>
    </row>
    <row r="277" spans="1:16" ht="15.75">
      <c r="A277" s="151" t="s">
        <v>1554</v>
      </c>
      <c r="B277" s="337"/>
      <c r="C277" s="156"/>
      <c r="D277" s="378"/>
      <c r="E277" s="384"/>
      <c r="F277" s="153"/>
      <c r="G277" s="331" t="s">
        <v>92</v>
      </c>
      <c r="H277" s="323"/>
      <c r="I277" s="323"/>
      <c r="J277" s="298" t="s">
        <v>94</v>
      </c>
      <c r="K277" s="216" t="s">
        <v>1336</v>
      </c>
      <c r="L277" s="140"/>
      <c r="M277" s="140"/>
      <c r="N277" s="140"/>
      <c r="O277" s="19"/>
      <c r="P277" s="19"/>
    </row>
    <row r="278" spans="1:16" ht="15.75">
      <c r="A278" s="151" t="s">
        <v>1555</v>
      </c>
      <c r="B278" s="337"/>
      <c r="C278" s="156"/>
      <c r="D278" s="378"/>
      <c r="E278" s="384"/>
      <c r="F278" s="173"/>
      <c r="G278" s="221" t="s">
        <v>1383</v>
      </c>
      <c r="H278" s="323"/>
      <c r="I278" s="323"/>
      <c r="J278" s="298" t="s">
        <v>94</v>
      </c>
      <c r="K278" s="216" t="s">
        <v>1336</v>
      </c>
      <c r="L278" s="140"/>
      <c r="M278" s="140"/>
      <c r="N278" s="140"/>
      <c r="O278" s="19"/>
      <c r="P278" s="19"/>
    </row>
    <row r="279" spans="1:16" ht="15.75">
      <c r="A279" s="151" t="s">
        <v>1556</v>
      </c>
      <c r="B279" s="337"/>
      <c r="C279" s="156"/>
      <c r="D279" s="378"/>
      <c r="E279" s="384"/>
      <c r="F279" s="173"/>
      <c r="G279" s="221" t="s">
        <v>1422</v>
      </c>
      <c r="H279" s="323"/>
      <c r="I279" s="323"/>
      <c r="J279" s="155" t="s">
        <v>1367</v>
      </c>
      <c r="K279" s="216" t="s">
        <v>1336</v>
      </c>
      <c r="L279" s="140"/>
      <c r="M279" s="140"/>
      <c r="N279" s="140"/>
      <c r="O279" s="19"/>
      <c r="P279" s="19"/>
    </row>
    <row r="280" spans="1:16" ht="15.75">
      <c r="A280" s="151" t="s">
        <v>1557</v>
      </c>
      <c r="B280" s="337"/>
      <c r="C280" s="156"/>
      <c r="D280" s="379"/>
      <c r="E280" s="385"/>
      <c r="F280" s="173"/>
      <c r="G280" s="221" t="s">
        <v>1424</v>
      </c>
      <c r="H280" s="323"/>
      <c r="I280" s="323"/>
      <c r="J280" s="155" t="s">
        <v>1425</v>
      </c>
      <c r="K280" s="216" t="s">
        <v>1336</v>
      </c>
      <c r="L280" s="140"/>
      <c r="M280" s="140"/>
      <c r="N280" s="140"/>
      <c r="O280" s="19"/>
      <c r="P280" s="19"/>
    </row>
    <row r="281" spans="1:16" ht="45">
      <c r="A281" s="151" t="s">
        <v>1558</v>
      </c>
      <c r="B281" s="337"/>
      <c r="C281" s="156"/>
      <c r="D281" s="378" t="s">
        <v>257</v>
      </c>
      <c r="E281" s="380" t="s">
        <v>1427</v>
      </c>
      <c r="F281" s="221"/>
      <c r="G281" s="334" t="s">
        <v>1380</v>
      </c>
      <c r="H281" s="323"/>
      <c r="I281" s="323"/>
      <c r="J281" s="309" t="s">
        <v>81</v>
      </c>
      <c r="K281" s="216" t="s">
        <v>1336</v>
      </c>
      <c r="L281" s="140"/>
      <c r="M281" s="140"/>
      <c r="N281" s="140"/>
      <c r="O281" s="19"/>
      <c r="P281" s="19"/>
    </row>
    <row r="282" spans="1:16" ht="30">
      <c r="A282" s="151" t="s">
        <v>1559</v>
      </c>
      <c r="B282" s="337"/>
      <c r="C282" s="156"/>
      <c r="D282" s="378"/>
      <c r="E282" s="380"/>
      <c r="F282" s="221"/>
      <c r="G282" s="173" t="s">
        <v>1429</v>
      </c>
      <c r="H282" s="323"/>
      <c r="I282" s="323"/>
      <c r="J282" s="298" t="s">
        <v>71</v>
      </c>
      <c r="K282" s="216" t="s">
        <v>1336</v>
      </c>
      <c r="L282" s="140"/>
      <c r="M282" s="140"/>
      <c r="N282" s="140"/>
      <c r="O282" s="19"/>
      <c r="P282" s="19"/>
    </row>
    <row r="283" spans="1:16" ht="15.75">
      <c r="A283" s="151" t="s">
        <v>1560</v>
      </c>
      <c r="B283" s="337"/>
      <c r="C283" s="156"/>
      <c r="D283" s="379"/>
      <c r="E283" s="381"/>
      <c r="F283" s="221"/>
      <c r="G283" s="327" t="s">
        <v>1431</v>
      </c>
      <c r="H283" s="332"/>
      <c r="I283" s="323"/>
      <c r="J283" s="155" t="s">
        <v>1432</v>
      </c>
      <c r="K283" s="216" t="s">
        <v>1336</v>
      </c>
      <c r="L283" s="140"/>
      <c r="M283" s="140"/>
      <c r="N283" s="140"/>
      <c r="O283" s="19"/>
      <c r="P283" s="19"/>
    </row>
    <row r="284" spans="1:16" ht="30">
      <c r="A284" s="151" t="s">
        <v>1561</v>
      </c>
      <c r="B284" s="337"/>
      <c r="C284" s="156"/>
      <c r="D284" s="378" t="s">
        <v>34</v>
      </c>
      <c r="E284" s="378" t="s">
        <v>1434</v>
      </c>
      <c r="F284" s="221"/>
      <c r="G284" s="173" t="s">
        <v>1429</v>
      </c>
      <c r="H284" s="323"/>
      <c r="I284" s="323"/>
      <c r="J284" s="298" t="s">
        <v>71</v>
      </c>
      <c r="K284" s="216" t="s">
        <v>1336</v>
      </c>
      <c r="L284" s="140"/>
      <c r="M284" s="140"/>
      <c r="N284" s="140"/>
      <c r="O284" s="19"/>
      <c r="P284" s="19"/>
    </row>
    <row r="285" spans="1:16" ht="30">
      <c r="A285" s="151" t="s">
        <v>1562</v>
      </c>
      <c r="B285" s="337"/>
      <c r="C285" s="156"/>
      <c r="D285" s="378"/>
      <c r="E285" s="378"/>
      <c r="F285" s="221"/>
      <c r="G285" s="327" t="s">
        <v>160</v>
      </c>
      <c r="H285" s="332"/>
      <c r="I285" s="323"/>
      <c r="J285" s="155" t="s">
        <v>1436</v>
      </c>
      <c r="K285" s="216" t="s">
        <v>1336</v>
      </c>
      <c r="L285" s="140"/>
      <c r="M285" s="140"/>
      <c r="N285" s="140"/>
      <c r="O285" s="19"/>
      <c r="P285" s="19"/>
    </row>
    <row r="286" spans="1:16" ht="15.75">
      <c r="A286" s="151" t="s">
        <v>1563</v>
      </c>
      <c r="B286" s="337"/>
      <c r="C286" s="156"/>
      <c r="D286" s="378"/>
      <c r="E286" s="378"/>
      <c r="F286" s="221"/>
      <c r="G286" s="327" t="s">
        <v>1438</v>
      </c>
      <c r="H286" s="332"/>
      <c r="I286" s="323"/>
      <c r="J286" s="155" t="s">
        <v>1439</v>
      </c>
      <c r="K286" s="216" t="s">
        <v>1336</v>
      </c>
      <c r="L286" s="140"/>
      <c r="M286" s="140"/>
      <c r="N286" s="140"/>
      <c r="O286" s="19"/>
      <c r="P286" s="19"/>
    </row>
    <row r="287" spans="1:16" ht="30">
      <c r="A287" s="151" t="s">
        <v>1564</v>
      </c>
      <c r="B287" s="337"/>
      <c r="C287" s="156"/>
      <c r="D287" s="378"/>
      <c r="E287" s="378"/>
      <c r="F287" s="221"/>
      <c r="G287" s="327" t="s">
        <v>1441</v>
      </c>
      <c r="H287" s="332"/>
      <c r="I287" s="323"/>
      <c r="J287" s="155" t="s">
        <v>1442</v>
      </c>
      <c r="K287" s="216" t="s">
        <v>1336</v>
      </c>
      <c r="L287" s="140"/>
      <c r="M287" s="140"/>
      <c r="N287" s="140"/>
      <c r="O287" s="19"/>
      <c r="P287" s="19"/>
    </row>
    <row r="288" spans="1:16" ht="30">
      <c r="A288" s="151" t="s">
        <v>1565</v>
      </c>
      <c r="B288" s="337"/>
      <c r="C288" s="156"/>
      <c r="D288" s="378"/>
      <c r="E288" s="378" t="s">
        <v>1444</v>
      </c>
      <c r="F288" s="221"/>
      <c r="G288" s="173" t="s">
        <v>1429</v>
      </c>
      <c r="H288" s="323"/>
      <c r="I288" s="323"/>
      <c r="J288" s="298" t="s">
        <v>71</v>
      </c>
      <c r="K288" s="216" t="s">
        <v>1336</v>
      </c>
      <c r="L288" s="140"/>
      <c r="M288" s="140"/>
      <c r="N288" s="140"/>
      <c r="O288" s="19"/>
      <c r="P288" s="19"/>
    </row>
    <row r="289" spans="1:16" ht="30">
      <c r="A289" s="151" t="s">
        <v>1566</v>
      </c>
      <c r="B289" s="337"/>
      <c r="C289" s="156"/>
      <c r="D289" s="378"/>
      <c r="E289" s="378"/>
      <c r="F289" s="221"/>
      <c r="G289" s="327" t="s">
        <v>160</v>
      </c>
      <c r="H289" s="332"/>
      <c r="I289" s="323"/>
      <c r="J289" s="155" t="s">
        <v>1436</v>
      </c>
      <c r="K289" s="216" t="s">
        <v>1336</v>
      </c>
      <c r="L289" s="140"/>
      <c r="M289" s="140"/>
      <c r="N289" s="140"/>
      <c r="O289" s="19"/>
      <c r="P289" s="19"/>
    </row>
    <row r="290" spans="1:16" ht="30">
      <c r="A290" s="151" t="s">
        <v>1567</v>
      </c>
      <c r="B290" s="337"/>
      <c r="C290" s="156"/>
      <c r="D290" s="378"/>
      <c r="E290" s="378"/>
      <c r="F290" s="221"/>
      <c r="G290" s="327" t="s">
        <v>1447</v>
      </c>
      <c r="H290" s="332"/>
      <c r="I290" s="323"/>
      <c r="J290" s="155" t="s">
        <v>1448</v>
      </c>
      <c r="K290" s="216" t="s">
        <v>1336</v>
      </c>
      <c r="L290" s="140"/>
      <c r="M290" s="140"/>
      <c r="N290" s="140"/>
      <c r="O290" s="19"/>
      <c r="P290" s="19"/>
    </row>
    <row r="291" spans="1:16" ht="15.75">
      <c r="A291" s="151" t="s">
        <v>1568</v>
      </c>
      <c r="B291" s="337"/>
      <c r="C291" s="156"/>
      <c r="D291" s="378"/>
      <c r="E291" s="378" t="s">
        <v>1450</v>
      </c>
      <c r="F291" s="221"/>
      <c r="G291" s="173" t="s">
        <v>1429</v>
      </c>
      <c r="H291" s="332"/>
      <c r="I291" s="323"/>
      <c r="J291" s="122" t="s">
        <v>1364</v>
      </c>
      <c r="K291" s="216" t="s">
        <v>1336</v>
      </c>
      <c r="L291" s="140"/>
      <c r="M291" s="140"/>
      <c r="N291" s="140"/>
      <c r="O291" s="19"/>
      <c r="P291" s="19"/>
    </row>
    <row r="292" spans="1:16" ht="15.75">
      <c r="A292" s="151" t="s">
        <v>1569</v>
      </c>
      <c r="B292" s="337"/>
      <c r="C292" s="156"/>
      <c r="D292" s="379"/>
      <c r="E292" s="379"/>
      <c r="F292" s="221"/>
      <c r="G292" s="327" t="s">
        <v>160</v>
      </c>
      <c r="H292" s="332"/>
      <c r="I292" s="323"/>
      <c r="J292" s="155"/>
      <c r="K292" s="216" t="s">
        <v>1336</v>
      </c>
      <c r="L292" s="140"/>
      <c r="M292" s="140"/>
      <c r="N292" s="140"/>
      <c r="O292" s="19"/>
      <c r="P292" s="19"/>
    </row>
    <row r="293" spans="1:16" ht="15.75">
      <c r="A293" s="151" t="s">
        <v>1570</v>
      </c>
      <c r="B293" s="337"/>
      <c r="C293" s="156"/>
      <c r="D293" s="378" t="s">
        <v>1453</v>
      </c>
      <c r="E293" s="380" t="s">
        <v>1454</v>
      </c>
      <c r="F293" s="173"/>
      <c r="G293" s="327" t="s">
        <v>1455</v>
      </c>
      <c r="H293" s="332"/>
      <c r="I293" s="323"/>
      <c r="J293" s="122" t="s">
        <v>1364</v>
      </c>
      <c r="K293" s="216" t="s">
        <v>1336</v>
      </c>
      <c r="L293" s="140"/>
      <c r="M293" s="140"/>
      <c r="N293" s="140"/>
      <c r="O293" s="19"/>
      <c r="P293" s="19"/>
    </row>
    <row r="294" spans="1:16" ht="30">
      <c r="A294" s="151" t="s">
        <v>1571</v>
      </c>
      <c r="B294" s="337"/>
      <c r="C294" s="156"/>
      <c r="D294" s="378"/>
      <c r="E294" s="380"/>
      <c r="F294" s="173"/>
      <c r="G294" s="327" t="s">
        <v>1457</v>
      </c>
      <c r="H294" s="332"/>
      <c r="I294" s="323"/>
      <c r="J294" s="122" t="s">
        <v>1367</v>
      </c>
      <c r="K294" s="216" t="s">
        <v>1336</v>
      </c>
      <c r="L294" s="140"/>
      <c r="M294" s="140"/>
      <c r="N294" s="140"/>
      <c r="O294" s="19"/>
      <c r="P294" s="19"/>
    </row>
    <row r="295" spans="1:16" ht="30">
      <c r="A295" s="151" t="s">
        <v>1572</v>
      </c>
      <c r="B295" s="337"/>
      <c r="C295" s="156"/>
      <c r="D295" s="378"/>
      <c r="E295" s="380"/>
      <c r="F295" s="173"/>
      <c r="G295" s="327" t="s">
        <v>1459</v>
      </c>
      <c r="H295" s="332"/>
      <c r="I295" s="323"/>
      <c r="J295" s="122" t="s">
        <v>1370</v>
      </c>
      <c r="K295" s="216" t="s">
        <v>1336</v>
      </c>
      <c r="L295" s="140"/>
      <c r="M295" s="140"/>
      <c r="N295" s="140"/>
      <c r="O295" s="19"/>
      <c r="P295" s="19"/>
    </row>
    <row r="296" spans="1:16" ht="30">
      <c r="A296" s="151" t="s">
        <v>1573</v>
      </c>
      <c r="B296" s="337"/>
      <c r="C296" s="156"/>
      <c r="D296" s="378"/>
      <c r="E296" s="380" t="s">
        <v>1461</v>
      </c>
      <c r="F296" s="173"/>
      <c r="G296" s="327" t="s">
        <v>1462</v>
      </c>
      <c r="H296" s="332"/>
      <c r="I296" s="323"/>
      <c r="J296" s="122" t="s">
        <v>1364</v>
      </c>
      <c r="K296" s="216" t="s">
        <v>1336</v>
      </c>
      <c r="L296" s="140"/>
      <c r="M296" s="140"/>
      <c r="N296" s="140"/>
      <c r="O296" s="19"/>
      <c r="P296" s="19"/>
    </row>
    <row r="297" spans="1:16" ht="30">
      <c r="A297" s="151" t="s">
        <v>1574</v>
      </c>
      <c r="B297" s="337"/>
      <c r="C297" s="156"/>
      <c r="D297" s="378"/>
      <c r="E297" s="380"/>
      <c r="F297" s="173"/>
      <c r="G297" s="327" t="s">
        <v>1457</v>
      </c>
      <c r="H297" s="332"/>
      <c r="I297" s="323"/>
      <c r="J297" s="122" t="s">
        <v>1367</v>
      </c>
      <c r="K297" s="216" t="s">
        <v>1336</v>
      </c>
      <c r="L297" s="140"/>
      <c r="M297" s="140"/>
      <c r="N297" s="140"/>
      <c r="O297" s="19"/>
      <c r="P297" s="19"/>
    </row>
    <row r="298" spans="1:16" ht="30">
      <c r="A298" s="151" t="s">
        <v>1575</v>
      </c>
      <c r="B298" s="337"/>
      <c r="C298" s="156"/>
      <c r="D298" s="378"/>
      <c r="E298" s="380"/>
      <c r="F298" s="173"/>
      <c r="G298" s="327" t="s">
        <v>1459</v>
      </c>
      <c r="H298" s="332"/>
      <c r="I298" s="323"/>
      <c r="J298" s="122" t="s">
        <v>1370</v>
      </c>
      <c r="K298" s="216" t="s">
        <v>1336</v>
      </c>
      <c r="L298" s="140"/>
      <c r="M298" s="140"/>
      <c r="N298" s="140"/>
      <c r="O298" s="19"/>
      <c r="P298" s="19"/>
    </row>
    <row r="299" spans="1:16" ht="30">
      <c r="A299" s="151" t="s">
        <v>1576</v>
      </c>
      <c r="B299" s="337"/>
      <c r="C299" s="156"/>
      <c r="D299" s="378"/>
      <c r="E299" s="380" t="s">
        <v>1466</v>
      </c>
      <c r="F299" s="173"/>
      <c r="G299" s="327" t="s">
        <v>1467</v>
      </c>
      <c r="H299" s="332"/>
      <c r="I299" s="323"/>
      <c r="J299" s="122" t="s">
        <v>1364</v>
      </c>
      <c r="K299" s="216" t="s">
        <v>1336</v>
      </c>
      <c r="L299" s="140"/>
      <c r="M299" s="140"/>
      <c r="N299" s="140"/>
      <c r="O299" s="19"/>
      <c r="P299" s="19"/>
    </row>
    <row r="300" spans="1:16" ht="30">
      <c r="A300" s="151" t="s">
        <v>1577</v>
      </c>
      <c r="B300" s="337"/>
      <c r="C300" s="156"/>
      <c r="D300" s="378"/>
      <c r="E300" s="380"/>
      <c r="F300" s="173"/>
      <c r="G300" s="327" t="s">
        <v>1457</v>
      </c>
      <c r="H300" s="332"/>
      <c r="I300" s="323"/>
      <c r="J300" s="122" t="s">
        <v>1367</v>
      </c>
      <c r="K300" s="216" t="s">
        <v>1336</v>
      </c>
      <c r="L300" s="140"/>
      <c r="M300" s="140"/>
      <c r="N300" s="140"/>
      <c r="O300" s="19"/>
      <c r="P300" s="19"/>
    </row>
    <row r="301" spans="1:16" ht="30">
      <c r="A301" s="151" t="s">
        <v>1578</v>
      </c>
      <c r="B301" s="337"/>
      <c r="C301" s="156"/>
      <c r="D301" s="379"/>
      <c r="E301" s="381"/>
      <c r="F301" s="173"/>
      <c r="G301" s="327" t="s">
        <v>1459</v>
      </c>
      <c r="H301" s="332"/>
      <c r="I301" s="323"/>
      <c r="J301" s="122" t="s">
        <v>1370</v>
      </c>
      <c r="K301" s="216" t="s">
        <v>1336</v>
      </c>
      <c r="L301" s="140"/>
      <c r="M301" s="140"/>
      <c r="N301" s="140"/>
      <c r="O301" s="19"/>
      <c r="P301" s="19"/>
    </row>
    <row r="302" spans="1:16" ht="15.75">
      <c r="A302" s="151" t="s">
        <v>1579</v>
      </c>
      <c r="B302" s="337"/>
      <c r="C302" s="156"/>
      <c r="D302" s="378" t="s">
        <v>1471</v>
      </c>
      <c r="E302" s="380" t="s">
        <v>1472</v>
      </c>
      <c r="F302" s="226"/>
      <c r="G302" s="327" t="s">
        <v>1473</v>
      </c>
      <c r="H302" s="332"/>
      <c r="I302" s="323"/>
      <c r="J302" s="122" t="s">
        <v>1364</v>
      </c>
      <c r="K302" s="216" t="s">
        <v>1336</v>
      </c>
      <c r="L302" s="140"/>
      <c r="M302" s="140"/>
      <c r="N302" s="140"/>
      <c r="O302" s="19"/>
      <c r="P302" s="19"/>
    </row>
    <row r="303" spans="1:16" ht="15.75">
      <c r="A303" s="151" t="s">
        <v>1580</v>
      </c>
      <c r="B303" s="337"/>
      <c r="C303" s="156"/>
      <c r="D303" s="378"/>
      <c r="E303" s="380"/>
      <c r="F303" s="221"/>
      <c r="G303" s="327" t="s">
        <v>1475</v>
      </c>
      <c r="H303" s="332"/>
      <c r="I303" s="323"/>
      <c r="J303" s="122" t="s">
        <v>1367</v>
      </c>
      <c r="K303" s="216" t="s">
        <v>1336</v>
      </c>
      <c r="L303" s="140"/>
      <c r="M303" s="140"/>
      <c r="N303" s="140"/>
      <c r="O303" s="19"/>
      <c r="P303" s="19"/>
    </row>
    <row r="304" spans="1:16" ht="30">
      <c r="A304" s="151" t="s">
        <v>1581</v>
      </c>
      <c r="B304" s="337"/>
      <c r="C304" s="156"/>
      <c r="D304" s="378"/>
      <c r="E304" s="380"/>
      <c r="F304" s="221"/>
      <c r="G304" s="327" t="s">
        <v>1477</v>
      </c>
      <c r="H304" s="332"/>
      <c r="I304" s="323"/>
      <c r="J304" s="122" t="s">
        <v>1370</v>
      </c>
      <c r="K304" s="216" t="s">
        <v>1336</v>
      </c>
      <c r="L304" s="140"/>
      <c r="M304" s="140"/>
      <c r="N304" s="140"/>
      <c r="O304" s="19"/>
      <c r="P304" s="19"/>
    </row>
    <row r="305" spans="1:16" ht="30">
      <c r="A305" s="151" t="s">
        <v>1582</v>
      </c>
      <c r="B305" s="337"/>
      <c r="C305" s="156"/>
      <c r="D305" s="378"/>
      <c r="E305" s="380" t="s">
        <v>1479</v>
      </c>
      <c r="F305" s="221"/>
      <c r="G305" s="327" t="s">
        <v>1480</v>
      </c>
      <c r="H305" s="332"/>
      <c r="I305" s="323"/>
      <c r="J305" s="122" t="s">
        <v>1364</v>
      </c>
      <c r="K305" s="216" t="s">
        <v>1336</v>
      </c>
      <c r="L305" s="140"/>
      <c r="M305" s="140"/>
      <c r="N305" s="140"/>
      <c r="O305" s="19"/>
      <c r="P305" s="19"/>
    </row>
    <row r="306" spans="1:16" ht="30">
      <c r="A306" s="151" t="s">
        <v>1583</v>
      </c>
      <c r="B306" s="337"/>
      <c r="C306" s="156"/>
      <c r="D306" s="378"/>
      <c r="E306" s="380"/>
      <c r="F306" s="221"/>
      <c r="G306" s="327" t="s">
        <v>1482</v>
      </c>
      <c r="H306" s="332"/>
      <c r="I306" s="323"/>
      <c r="J306" s="122" t="s">
        <v>1367</v>
      </c>
      <c r="K306" s="216" t="s">
        <v>1336</v>
      </c>
      <c r="L306" s="140"/>
      <c r="M306" s="140"/>
      <c r="N306" s="140"/>
      <c r="O306" s="19"/>
      <c r="P306" s="19"/>
    </row>
    <row r="307" spans="1:16" ht="30">
      <c r="A307" s="151" t="s">
        <v>1584</v>
      </c>
      <c r="B307" s="337"/>
      <c r="C307" s="156"/>
      <c r="D307" s="378"/>
      <c r="E307" s="380"/>
      <c r="F307" s="221"/>
      <c r="G307" s="327" t="s">
        <v>1484</v>
      </c>
      <c r="H307" s="332"/>
      <c r="I307" s="323"/>
      <c r="J307" s="122" t="s">
        <v>1370</v>
      </c>
      <c r="K307" s="216" t="s">
        <v>1336</v>
      </c>
      <c r="L307" s="140"/>
      <c r="M307" s="140"/>
      <c r="N307" s="140"/>
      <c r="O307" s="19"/>
      <c r="P307" s="19"/>
    </row>
    <row r="308" spans="1:16" ht="30">
      <c r="A308" s="151" t="s">
        <v>1585</v>
      </c>
      <c r="B308" s="337"/>
      <c r="C308" s="156"/>
      <c r="D308" s="378"/>
      <c r="E308" s="380" t="s">
        <v>1486</v>
      </c>
      <c r="F308" s="221"/>
      <c r="G308" s="327" t="s">
        <v>1487</v>
      </c>
      <c r="H308" s="332"/>
      <c r="I308" s="323"/>
      <c r="J308" s="122" t="s">
        <v>1364</v>
      </c>
      <c r="K308" s="216" t="s">
        <v>1336</v>
      </c>
      <c r="L308" s="140"/>
      <c r="M308" s="140"/>
      <c r="N308" s="140"/>
      <c r="O308" s="19"/>
      <c r="P308" s="19"/>
    </row>
    <row r="309" spans="1:16" ht="30">
      <c r="A309" s="151" t="s">
        <v>1586</v>
      </c>
      <c r="B309" s="337"/>
      <c r="C309" s="156"/>
      <c r="D309" s="378"/>
      <c r="E309" s="380"/>
      <c r="F309" s="221"/>
      <c r="G309" s="327" t="s">
        <v>1489</v>
      </c>
      <c r="H309" s="332"/>
      <c r="I309" s="323"/>
      <c r="J309" s="122" t="s">
        <v>1367</v>
      </c>
      <c r="K309" s="216" t="s">
        <v>1336</v>
      </c>
      <c r="L309" s="140"/>
      <c r="M309" s="140"/>
      <c r="N309" s="140"/>
      <c r="O309" s="19"/>
      <c r="P309" s="19"/>
    </row>
    <row r="310" spans="1:16" ht="30">
      <c r="A310" s="151" t="s">
        <v>1587</v>
      </c>
      <c r="B310" s="337"/>
      <c r="C310" s="156"/>
      <c r="D310" s="378"/>
      <c r="E310" s="380"/>
      <c r="F310" s="221"/>
      <c r="G310" s="327" t="s">
        <v>1491</v>
      </c>
      <c r="H310" s="332"/>
      <c r="I310" s="323"/>
      <c r="J310" s="122" t="s">
        <v>1370</v>
      </c>
      <c r="K310" s="216" t="s">
        <v>1336</v>
      </c>
      <c r="L310" s="140"/>
      <c r="M310" s="140"/>
      <c r="N310" s="140"/>
      <c r="O310" s="19"/>
      <c r="P310" s="19"/>
    </row>
    <row r="311" spans="1:16" ht="30">
      <c r="A311" s="151" t="s">
        <v>1588</v>
      </c>
      <c r="B311" s="337"/>
      <c r="C311" s="156"/>
      <c r="D311" s="378"/>
      <c r="E311" s="380" t="s">
        <v>1493</v>
      </c>
      <c r="F311" s="221"/>
      <c r="G311" s="327" t="s">
        <v>1494</v>
      </c>
      <c r="H311" s="332"/>
      <c r="I311" s="323"/>
      <c r="J311" s="122" t="s">
        <v>1364</v>
      </c>
      <c r="K311" s="216" t="s">
        <v>1336</v>
      </c>
      <c r="L311" s="140"/>
      <c r="M311" s="140"/>
      <c r="N311" s="140"/>
      <c r="O311" s="19"/>
      <c r="P311" s="19"/>
    </row>
    <row r="312" spans="1:16" ht="30">
      <c r="A312" s="151" t="s">
        <v>1589</v>
      </c>
      <c r="B312" s="337"/>
      <c r="C312" s="156"/>
      <c r="D312" s="378"/>
      <c r="E312" s="380"/>
      <c r="F312" s="221"/>
      <c r="G312" s="327" t="s">
        <v>1496</v>
      </c>
      <c r="H312" s="332"/>
      <c r="I312" s="323"/>
      <c r="J312" s="122" t="s">
        <v>1367</v>
      </c>
      <c r="K312" s="216" t="s">
        <v>1336</v>
      </c>
      <c r="L312" s="140"/>
      <c r="M312" s="140"/>
      <c r="N312" s="140"/>
      <c r="O312" s="19"/>
      <c r="P312" s="19"/>
    </row>
    <row r="313" spans="1:16" ht="30">
      <c r="A313" s="151" t="s">
        <v>1590</v>
      </c>
      <c r="B313" s="337"/>
      <c r="C313" s="156"/>
      <c r="D313" s="378"/>
      <c r="E313" s="380"/>
      <c r="F313" s="221"/>
      <c r="G313" s="327" t="s">
        <v>1498</v>
      </c>
      <c r="H313" s="332"/>
      <c r="I313" s="323"/>
      <c r="J313" s="122" t="s">
        <v>1370</v>
      </c>
      <c r="K313" s="216" t="s">
        <v>1336</v>
      </c>
      <c r="L313" s="140"/>
      <c r="M313" s="140"/>
      <c r="N313" s="140"/>
      <c r="O313" s="19"/>
      <c r="P313" s="19"/>
    </row>
    <row r="314" spans="1:16" ht="30">
      <c r="A314" s="151" t="s">
        <v>1591</v>
      </c>
      <c r="B314" s="337"/>
      <c r="C314" s="156"/>
      <c r="D314" s="378"/>
      <c r="E314" s="380" t="s">
        <v>1500</v>
      </c>
      <c r="F314" s="221"/>
      <c r="G314" s="327" t="s">
        <v>1501</v>
      </c>
      <c r="H314" s="332"/>
      <c r="I314" s="323"/>
      <c r="J314" s="122" t="s">
        <v>1364</v>
      </c>
      <c r="K314" s="216" t="s">
        <v>1336</v>
      </c>
      <c r="L314" s="140"/>
      <c r="M314" s="140"/>
      <c r="N314" s="140"/>
      <c r="O314" s="19"/>
      <c r="P314" s="19"/>
    </row>
    <row r="315" spans="1:16" ht="30">
      <c r="A315" s="151" t="s">
        <v>1592</v>
      </c>
      <c r="B315" s="337"/>
      <c r="C315" s="156"/>
      <c r="D315" s="378"/>
      <c r="E315" s="380"/>
      <c r="F315" s="221"/>
      <c r="G315" s="327" t="s">
        <v>1503</v>
      </c>
      <c r="H315" s="332"/>
      <c r="I315" s="323"/>
      <c r="J315" s="122" t="s">
        <v>1367</v>
      </c>
      <c r="K315" s="216" t="s">
        <v>1336</v>
      </c>
      <c r="L315" s="140"/>
      <c r="M315" s="140"/>
      <c r="N315" s="140"/>
      <c r="O315" s="19"/>
      <c r="P315" s="19"/>
    </row>
    <row r="316" spans="1:16" ht="30">
      <c r="A316" s="151" t="s">
        <v>1593</v>
      </c>
      <c r="B316" s="337"/>
      <c r="C316" s="156"/>
      <c r="D316" s="378"/>
      <c r="E316" s="380"/>
      <c r="F316" s="221"/>
      <c r="G316" s="327" t="s">
        <v>1505</v>
      </c>
      <c r="H316" s="332"/>
      <c r="I316" s="323"/>
      <c r="J316" s="122" t="s">
        <v>1370</v>
      </c>
      <c r="K316" s="216" t="s">
        <v>1336</v>
      </c>
      <c r="L316" s="140"/>
      <c r="M316" s="140"/>
      <c r="N316" s="140"/>
      <c r="O316" s="19"/>
      <c r="P316" s="19"/>
    </row>
    <row r="317" spans="1:16" ht="30">
      <c r="A317" s="151" t="s">
        <v>1594</v>
      </c>
      <c r="B317" s="337"/>
      <c r="C317" s="156"/>
      <c r="D317" s="378"/>
      <c r="E317" s="380" t="s">
        <v>1507</v>
      </c>
      <c r="F317" s="221"/>
      <c r="G317" s="327" t="s">
        <v>1508</v>
      </c>
      <c r="H317" s="332"/>
      <c r="I317" s="323"/>
      <c r="J317" s="122" t="s">
        <v>1364</v>
      </c>
      <c r="K317" s="216" t="s">
        <v>1336</v>
      </c>
      <c r="L317" s="140"/>
      <c r="M317" s="140"/>
      <c r="N317" s="140"/>
      <c r="O317" s="19"/>
      <c r="P317" s="19"/>
    </row>
    <row r="318" spans="1:16" ht="45">
      <c r="A318" s="151" t="s">
        <v>1595</v>
      </c>
      <c r="B318" s="337"/>
      <c r="C318" s="156"/>
      <c r="D318" s="378"/>
      <c r="E318" s="380"/>
      <c r="F318" s="221"/>
      <c r="G318" s="327" t="s">
        <v>1510</v>
      </c>
      <c r="H318" s="332"/>
      <c r="I318" s="323"/>
      <c r="J318" s="122" t="s">
        <v>1367</v>
      </c>
      <c r="K318" s="216" t="s">
        <v>1336</v>
      </c>
      <c r="L318" s="140"/>
      <c r="M318" s="140"/>
      <c r="N318" s="140"/>
      <c r="O318" s="19"/>
      <c r="P318" s="19"/>
    </row>
    <row r="319" spans="1:16" ht="45">
      <c r="A319" s="151" t="s">
        <v>1596</v>
      </c>
      <c r="B319" s="337"/>
      <c r="C319" s="156"/>
      <c r="D319" s="378"/>
      <c r="E319" s="380"/>
      <c r="F319" s="221"/>
      <c r="G319" s="327" t="s">
        <v>1512</v>
      </c>
      <c r="H319" s="332"/>
      <c r="I319" s="323"/>
      <c r="J319" s="122" t="s">
        <v>1370</v>
      </c>
      <c r="K319" s="216" t="s">
        <v>1336</v>
      </c>
      <c r="L319" s="140"/>
      <c r="M319" s="140"/>
      <c r="N319" s="140"/>
      <c r="O319" s="19"/>
      <c r="P319" s="19"/>
    </row>
    <row r="320" spans="1:16" ht="30">
      <c r="A320" s="151" t="s">
        <v>1597</v>
      </c>
      <c r="B320" s="337"/>
      <c r="C320" s="156"/>
      <c r="D320" s="378"/>
      <c r="E320" s="380" t="s">
        <v>1514</v>
      </c>
      <c r="F320" s="221"/>
      <c r="G320" s="327" t="s">
        <v>1515</v>
      </c>
      <c r="H320" s="332"/>
      <c r="I320" s="323"/>
      <c r="J320" s="122" t="s">
        <v>1364</v>
      </c>
      <c r="K320" s="216" t="s">
        <v>1336</v>
      </c>
      <c r="L320" s="140"/>
      <c r="M320" s="140"/>
      <c r="N320" s="140"/>
      <c r="O320" s="19"/>
      <c r="P320" s="19"/>
    </row>
    <row r="321" spans="1:16" ht="30">
      <c r="A321" s="151" t="s">
        <v>1598</v>
      </c>
      <c r="B321" s="337"/>
      <c r="C321" s="156"/>
      <c r="D321" s="378"/>
      <c r="E321" s="380"/>
      <c r="F321" s="221"/>
      <c r="G321" s="327" t="s">
        <v>1517</v>
      </c>
      <c r="H321" s="332"/>
      <c r="I321" s="323"/>
      <c r="J321" s="122" t="s">
        <v>1367</v>
      </c>
      <c r="K321" s="216" t="s">
        <v>1336</v>
      </c>
      <c r="L321" s="140"/>
      <c r="M321" s="140"/>
      <c r="N321" s="140"/>
      <c r="O321" s="19"/>
      <c r="P321" s="19"/>
    </row>
    <row r="322" spans="1:16" ht="45">
      <c r="A322" s="151" t="s">
        <v>1599</v>
      </c>
      <c r="B322" s="337"/>
      <c r="C322" s="156"/>
      <c r="D322" s="378"/>
      <c r="E322" s="380"/>
      <c r="F322" s="221"/>
      <c r="G322" s="327" t="s">
        <v>1519</v>
      </c>
      <c r="H322" s="332"/>
      <c r="I322" s="323"/>
      <c r="J322" s="122" t="s">
        <v>1370</v>
      </c>
      <c r="K322" s="216" t="s">
        <v>1336</v>
      </c>
      <c r="L322" s="140"/>
      <c r="M322" s="140"/>
      <c r="N322" s="140"/>
      <c r="O322" s="19"/>
      <c r="P322" s="19"/>
    </row>
  </sheetData>
  <mergeCells count="162">
    <mergeCell ref="E44:E47"/>
    <mergeCell ref="E27:E31"/>
    <mergeCell ref="D41:D43"/>
    <mergeCell ref="E41:E43"/>
    <mergeCell ref="D35:D40"/>
    <mergeCell ref="D16:D21"/>
    <mergeCell ref="A1:A2"/>
    <mergeCell ref="B1:B2"/>
    <mergeCell ref="E51:E52"/>
    <mergeCell ref="D44:D52"/>
    <mergeCell ref="D27:D31"/>
    <mergeCell ref="D22:D26"/>
    <mergeCell ref="E35:E40"/>
    <mergeCell ref="E16:E21"/>
    <mergeCell ref="E22:E26"/>
    <mergeCell ref="E48:E50"/>
    <mergeCell ref="E32:E34"/>
    <mergeCell ref="D32:D34"/>
    <mergeCell ref="E10:E12"/>
    <mergeCell ref="E13:E15"/>
    <mergeCell ref="D10:D15"/>
    <mergeCell ref="K1:M1"/>
    <mergeCell ref="G1:G2"/>
    <mergeCell ref="H1:H2"/>
    <mergeCell ref="I1:I2"/>
    <mergeCell ref="J1:J2"/>
    <mergeCell ref="A3:P3"/>
    <mergeCell ref="C4:C5"/>
    <mergeCell ref="F4:F5"/>
    <mergeCell ref="C1:C2"/>
    <mergeCell ref="E1:E2"/>
    <mergeCell ref="B4:B9"/>
    <mergeCell ref="D4:D9"/>
    <mergeCell ref="E4:E9"/>
    <mergeCell ref="F1:F2"/>
    <mergeCell ref="D1:D2"/>
    <mergeCell ref="P1:P2"/>
    <mergeCell ref="N1:N2"/>
    <mergeCell ref="O1:O2"/>
    <mergeCell ref="B84:B89"/>
    <mergeCell ref="C84:C85"/>
    <mergeCell ref="D84:D89"/>
    <mergeCell ref="D90:D95"/>
    <mergeCell ref="E90:E92"/>
    <mergeCell ref="E93:E95"/>
    <mergeCell ref="E53:E55"/>
    <mergeCell ref="E56:E58"/>
    <mergeCell ref="E59:E61"/>
    <mergeCell ref="D53:D61"/>
    <mergeCell ref="E80:E82"/>
    <mergeCell ref="E77:E79"/>
    <mergeCell ref="E74:E76"/>
    <mergeCell ref="E71:E73"/>
    <mergeCell ref="E68:E70"/>
    <mergeCell ref="E65:E67"/>
    <mergeCell ref="E62:E64"/>
    <mergeCell ref="D62:D82"/>
    <mergeCell ref="A83:P83"/>
    <mergeCell ref="E84:E89"/>
    <mergeCell ref="F84:F85"/>
    <mergeCell ref="D112:D114"/>
    <mergeCell ref="E112:E114"/>
    <mergeCell ref="D115:D120"/>
    <mergeCell ref="E115:E120"/>
    <mergeCell ref="D121:D123"/>
    <mergeCell ref="E121:E123"/>
    <mergeCell ref="D96:D101"/>
    <mergeCell ref="E96:E101"/>
    <mergeCell ref="D102:D106"/>
    <mergeCell ref="E102:E106"/>
    <mergeCell ref="D107:D111"/>
    <mergeCell ref="E107:E111"/>
    <mergeCell ref="D142:D162"/>
    <mergeCell ref="E142:E144"/>
    <mergeCell ref="E145:E147"/>
    <mergeCell ref="E148:E150"/>
    <mergeCell ref="E151:E153"/>
    <mergeCell ref="E154:E156"/>
    <mergeCell ref="E157:E159"/>
    <mergeCell ref="E160:E162"/>
    <mergeCell ref="D124:D132"/>
    <mergeCell ref="E124:E127"/>
    <mergeCell ref="E128:E130"/>
    <mergeCell ref="E131:E132"/>
    <mergeCell ref="D133:D141"/>
    <mergeCell ref="E133:E135"/>
    <mergeCell ref="E136:E138"/>
    <mergeCell ref="E139:E141"/>
    <mergeCell ref="D170:D175"/>
    <mergeCell ref="E170:E172"/>
    <mergeCell ref="E173:E175"/>
    <mergeCell ref="D176:D181"/>
    <mergeCell ref="E176:E181"/>
    <mergeCell ref="A163:P163"/>
    <mergeCell ref="B164:B169"/>
    <mergeCell ref="C164:C165"/>
    <mergeCell ref="D164:D169"/>
    <mergeCell ref="E164:E169"/>
    <mergeCell ref="F164:F165"/>
    <mergeCell ref="D195:D200"/>
    <mergeCell ref="E195:E200"/>
    <mergeCell ref="D201:D203"/>
    <mergeCell ref="E201:E203"/>
    <mergeCell ref="D204:D212"/>
    <mergeCell ref="E204:E207"/>
    <mergeCell ref="E208:E210"/>
    <mergeCell ref="E211:E212"/>
    <mergeCell ref="D182:D186"/>
    <mergeCell ref="E182:E186"/>
    <mergeCell ref="D187:D191"/>
    <mergeCell ref="E187:E191"/>
    <mergeCell ref="D192:D194"/>
    <mergeCell ref="E192:E194"/>
    <mergeCell ref="D213:D221"/>
    <mergeCell ref="E213:E215"/>
    <mergeCell ref="E216:E218"/>
    <mergeCell ref="E219:E221"/>
    <mergeCell ref="D222:D242"/>
    <mergeCell ref="E222:E224"/>
    <mergeCell ref="E225:E227"/>
    <mergeCell ref="E228:E230"/>
    <mergeCell ref="E231:E233"/>
    <mergeCell ref="E234:E236"/>
    <mergeCell ref="E237:E239"/>
    <mergeCell ref="E240:E242"/>
    <mergeCell ref="D250:D255"/>
    <mergeCell ref="E250:E252"/>
    <mergeCell ref="E253:E255"/>
    <mergeCell ref="D256:D261"/>
    <mergeCell ref="E256:E261"/>
    <mergeCell ref="A243:P243"/>
    <mergeCell ref="B244:B249"/>
    <mergeCell ref="C244:C245"/>
    <mergeCell ref="D244:D249"/>
    <mergeCell ref="E244:E249"/>
    <mergeCell ref="F244:F245"/>
    <mergeCell ref="D275:D280"/>
    <mergeCell ref="E275:E280"/>
    <mergeCell ref="D281:D283"/>
    <mergeCell ref="E281:E283"/>
    <mergeCell ref="D284:D292"/>
    <mergeCell ref="E284:E287"/>
    <mergeCell ref="E288:E290"/>
    <mergeCell ref="E291:E292"/>
    <mergeCell ref="D262:D266"/>
    <mergeCell ref="E262:E266"/>
    <mergeCell ref="D267:D271"/>
    <mergeCell ref="E267:E271"/>
    <mergeCell ref="D272:D274"/>
    <mergeCell ref="E272:E274"/>
    <mergeCell ref="D293:D301"/>
    <mergeCell ref="E293:E295"/>
    <mergeCell ref="E296:E298"/>
    <mergeCell ref="E299:E301"/>
    <mergeCell ref="D302:D322"/>
    <mergeCell ref="E302:E304"/>
    <mergeCell ref="E305:E307"/>
    <mergeCell ref="E308:E310"/>
    <mergeCell ref="E311:E313"/>
    <mergeCell ref="E314:E316"/>
    <mergeCell ref="E317:E319"/>
    <mergeCell ref="E320:E322"/>
  </mergeCells>
  <conditionalFormatting sqref="K1:K2">
    <cfRule type="containsText" dxfId="9" priority="33" operator="containsText" text="FAIL">
      <formula>NOT(ISERROR(SEARCH("FAIL",K1)))</formula>
    </cfRule>
    <cfRule type="containsText" dxfId="8" priority="34" operator="containsText" text="PASS">
      <formula>NOT(ISERROR(SEARCH("PASS",K1)))</formula>
    </cfRule>
  </conditionalFormatting>
  <conditionalFormatting sqref="K3:M3">
    <cfRule type="containsText" dxfId="7" priority="31" operator="containsText" text="FAIL">
      <formula>NOT(ISERROR(SEARCH("FAIL",K3)))</formula>
    </cfRule>
    <cfRule type="containsText" dxfId="6" priority="32" operator="containsText" text="PASS">
      <formula>NOT(ISERROR(SEARCH("PASS",K3)))</formula>
    </cfRule>
  </conditionalFormatting>
  <conditionalFormatting sqref="K83:M83">
    <cfRule type="containsText" dxfId="5" priority="21" operator="containsText" text="FAIL">
      <formula>NOT(ISERROR(SEARCH("FAIL",K83)))</formula>
    </cfRule>
    <cfRule type="containsText" dxfId="4" priority="22" operator="containsText" text="PASS">
      <formula>NOT(ISERROR(SEARCH("PASS",K83)))</formula>
    </cfRule>
  </conditionalFormatting>
  <conditionalFormatting sqref="K163:M163">
    <cfRule type="containsText" dxfId="3" priority="3" operator="containsText" text="FAIL">
      <formula>NOT(ISERROR(SEARCH("FAIL",K163)))</formula>
    </cfRule>
    <cfRule type="containsText" dxfId="2" priority="4" operator="containsText" text="PASS">
      <formula>NOT(ISERROR(SEARCH("PASS",K163)))</formula>
    </cfRule>
  </conditionalFormatting>
  <conditionalFormatting sqref="K243:M243">
    <cfRule type="containsText" dxfId="1" priority="1" operator="containsText" text="FAIL">
      <formula>NOT(ISERROR(SEARCH("FAIL",K243)))</formula>
    </cfRule>
    <cfRule type="containsText" dxfId="0" priority="2" operator="containsText" text="PASS">
      <formula>NOT(ISERROR(SEARCH("PASS",K243)))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4bdffc1-a38a-4965-b8c7-6b995394fa38" xsi:nil="true"/>
    <lcf76f155ced4ddcb4097134ff3c332f xmlns="fa6523cc-f9d2-4d22-b899-9712b14156b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5AB0CD1DD65FF45ACCBA0C60D1867E8" ma:contentTypeVersion="17" ma:contentTypeDescription="Create a new document." ma:contentTypeScope="" ma:versionID="9b8b9fc55244cc43035c853b0fde500e">
  <xsd:schema xmlns:xsd="http://www.w3.org/2001/XMLSchema" xmlns:xs="http://www.w3.org/2001/XMLSchema" xmlns:p="http://schemas.microsoft.com/office/2006/metadata/properties" xmlns:ns2="fa6523cc-f9d2-4d22-b899-9712b14156b8" xmlns:ns3="14bdffc1-a38a-4965-b8c7-6b995394fa38" targetNamespace="http://schemas.microsoft.com/office/2006/metadata/properties" ma:root="true" ma:fieldsID="965d4105b9913476a602caf9f8528410" ns2:_="" ns3:_="">
    <xsd:import namespace="fa6523cc-f9d2-4d22-b899-9712b14156b8"/>
    <xsd:import namespace="14bdffc1-a38a-4965-b8c7-6b995394fa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6523cc-f9d2-4d22-b899-9712b14156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ac5745c-5c93-4373-b075-94cdddb688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bdffc1-a38a-4965-b8c7-6b995394fa3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5adecdc-87ea-4187-aeab-fa79453d2e31}" ma:internalName="TaxCatchAll" ma:showField="CatchAllData" ma:web="14bdffc1-a38a-4965-b8c7-6b995394fa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85868A-75EE-4F82-A28F-7A0DB9037D43}">
  <ds:schemaRefs>
    <ds:schemaRef ds:uri="http://schemas.microsoft.com/sharepoint/v3/contenttype/forms"/>
  </ds:schemaRefs>
</ds:datastoreItem>
</file>

<file path=customXml/itemProps2.xml><?xml version="1.0" encoding="utf-8"?>
<ds:datastoreItem xmlns:ds="http://schemas.openxmlformats.org/officeDocument/2006/customXml" ds:itemID="{A7512958-8316-4FBD-B63C-5F8DBEEA0A57}">
  <ds:schemaRefs>
    <ds:schemaRef ds:uri="http://schemas.microsoft.com/office/2006/metadata/properties"/>
    <ds:schemaRef ds:uri="http://schemas.microsoft.com/office/infopath/2007/PartnerControls"/>
    <ds:schemaRef ds:uri="14bdffc1-a38a-4965-b8c7-6b995394fa38"/>
    <ds:schemaRef ds:uri="fa6523cc-f9d2-4d22-b899-9712b14156b8"/>
  </ds:schemaRefs>
</ds:datastoreItem>
</file>

<file path=customXml/itemProps3.xml><?xml version="1.0" encoding="utf-8"?>
<ds:datastoreItem xmlns:ds="http://schemas.openxmlformats.org/officeDocument/2006/customXml" ds:itemID="{1772EAE2-B8B9-410A-873F-F301C70119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6523cc-f9d2-4d22-b899-9712b14156b8"/>
    <ds:schemaRef ds:uri="14bdffc1-a38a-4965-b8c7-6b995394fa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Doc Info</vt:lpstr>
      <vt:lpstr>Progress</vt:lpstr>
      <vt:lpstr>eCom Reporting</vt:lpstr>
      <vt:lpstr>eComplaint</vt:lpstr>
      <vt:lpstr>NNS Quota Allocation Reporting</vt:lpstr>
      <vt:lpstr>Quota Application Reporting</vt:lpstr>
      <vt:lpstr>IDM UAT Feedback</vt:lpstr>
      <vt:lpstr>#37022</vt:lpstr>
      <vt:lpstr>IDM - KDNK</vt:lpstr>
      <vt:lpstr>IDM - KESUMA</vt:lpstr>
      <vt:lpstr>Biodata Screening</vt:lpstr>
      <vt:lpstr>Mobile Responsive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RAIMI BIN ROSMAN</dc:creator>
  <cp:keywords/>
  <dc:description/>
  <cp:lastModifiedBy>SYAMIL BIN ABDUL SAMAT</cp:lastModifiedBy>
  <cp:revision/>
  <dcterms:created xsi:type="dcterms:W3CDTF">2026-02-16T01:24:10Z</dcterms:created>
  <dcterms:modified xsi:type="dcterms:W3CDTF">2026-05-11T13:23:13Z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0x010100D5AB0CD1DD65FF45ACCBA0C60D1867E8</vt:lpwstr>
  </property>
  <property fmtid="{D5CDD505-2E9C-101B-9397-08002B2CF9AE}" pid="3" name="MediaServiceImageTags">
    <vt:lpwstr/>
  </property>
</Properties>
</file>